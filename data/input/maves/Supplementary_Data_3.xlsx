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jeremy/Development/Projects/IGVF CVFG project/Source/IGVF-cvfg-pillar-project/data/input/maves/"/>
    </mc:Choice>
  </mc:AlternateContent>
  <xr:revisionPtr revIDLastSave="0" documentId="13_ncr:1_{4A670A5D-AAB5-704D-913D-223F16C1E9CF}" xr6:coauthVersionLast="47" xr6:coauthVersionMax="47" xr10:uidLastSave="{00000000-0000-0000-0000-000000000000}"/>
  <bookViews>
    <workbookView xWindow="0" yWindow="880" windowWidth="36000" windowHeight="21540" activeTab="1" xr2:uid="{00000000-000D-0000-FFFF-FFFF00000000}"/>
  </bookViews>
  <sheets>
    <sheet name="Column Definitions" sheetId="1" r:id="rId1"/>
    <sheet name="Curation" sheetId="2" r:id="rId2"/>
    <sheet name="Sheet1" sheetId="3" r:id="rId3"/>
  </sheets>
  <definedNames>
    <definedName name="_xlnm._FilterDatabase" localSheetId="1" hidden="1">Curation!$AI$1:$AK$85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1pukXfRLjtyuw7LlFZJGa6QPrjRyGp31CVXZ5mZ4IxU="/>
    </ext>
  </extLst>
</workbook>
</file>

<file path=xl/calcChain.xml><?xml version="1.0" encoding="utf-8"?>
<calcChain xmlns="http://schemas.openxmlformats.org/spreadsheetml/2006/main">
  <c r="CD1" i="2" l="1"/>
  <c r="CC1" i="2"/>
  <c r="CB1" i="2"/>
  <c r="CA1" i="2"/>
  <c r="BZ1" i="2"/>
  <c r="BY1" i="2"/>
  <c r="BX1" i="2"/>
  <c r="BW1" i="2"/>
  <c r="BV1" i="2"/>
  <c r="BU1" i="2"/>
  <c r="BT1" i="2"/>
  <c r="BS1" i="2"/>
  <c r="BR1" i="2"/>
  <c r="BQ1" i="2"/>
  <c r="BP1" i="2"/>
  <c r="BO1" i="2"/>
  <c r="BN1" i="2"/>
  <c r="BM1" i="2"/>
  <c r="BL1" i="2"/>
  <c r="BK1" i="2"/>
  <c r="BJ1" i="2"/>
  <c r="BI1" i="2"/>
  <c r="BH1" i="2"/>
  <c r="BG1" i="2"/>
  <c r="BF1" i="2"/>
  <c r="BE1" i="2"/>
  <c r="BD1" i="2"/>
  <c r="BC1" i="2"/>
  <c r="BB1" i="2"/>
  <c r="BA1" i="2"/>
  <c r="AZ1" i="2"/>
  <c r="AY1" i="2"/>
  <c r="AX1" i="2"/>
  <c r="AW1" i="2"/>
  <c r="AV1" i="2"/>
  <c r="AU1" i="2"/>
  <c r="AT1" i="2"/>
  <c r="AS1" i="2"/>
  <c r="AR1" i="2"/>
  <c r="AQ1" i="2"/>
  <c r="AP1" i="2"/>
  <c r="AO1" i="2"/>
  <c r="AN1" i="2"/>
  <c r="AM1" i="2"/>
  <c r="AL1" i="2"/>
  <c r="AK1" i="2"/>
  <c r="AJ1" i="2"/>
  <c r="AI1" i="2"/>
  <c r="AH1" i="2"/>
  <c r="AG1" i="2"/>
  <c r="AF1" i="2"/>
  <c r="AE1" i="2"/>
  <c r="AD1" i="2"/>
  <c r="AC1" i="2"/>
  <c r="AB1" i="2"/>
  <c r="AA1" i="2"/>
  <c r="Z1" i="2"/>
  <c r="Y1" i="2"/>
  <c r="X1" i="2"/>
  <c r="W1" i="2"/>
  <c r="V1" i="2"/>
  <c r="U1" i="2"/>
  <c r="T1" i="2"/>
  <c r="S1" i="2"/>
  <c r="R1" i="2"/>
  <c r="Q1" i="2"/>
  <c r="P1" i="2"/>
  <c r="O1" i="2"/>
  <c r="N1" i="2"/>
  <c r="M1" i="2"/>
  <c r="L1" i="2"/>
  <c r="K1" i="2"/>
  <c r="J1" i="2"/>
  <c r="I1" i="2"/>
  <c r="H1" i="2"/>
  <c r="G1" i="2"/>
  <c r="F1" i="2"/>
  <c r="E1" i="2"/>
  <c r="D1" i="2"/>
  <c r="C1" i="2"/>
  <c r="B1" i="2"/>
  <c r="A1" i="2"/>
</calcChain>
</file>

<file path=xl/sharedStrings.xml><?xml version="1.0" encoding="utf-8"?>
<sst xmlns="http://schemas.openxmlformats.org/spreadsheetml/2006/main" count="4606" uniqueCount="1334">
  <si>
    <t>Column Name</t>
  </si>
  <si>
    <t>Dataset</t>
  </si>
  <si>
    <t>Description</t>
  </si>
  <si>
    <t>Dataset Name</t>
  </si>
  <si>
    <t xml:space="preserve">Filter </t>
  </si>
  <si>
    <t>Unique identifier for the dataset used for database linking and referencing</t>
  </si>
  <si>
    <t>Gene</t>
  </si>
  <si>
    <t>Official HGNC gene symbol for the target gene</t>
  </si>
  <si>
    <t>HGNC ID</t>
  </si>
  <si>
    <t>BAP1_Waters_2024</t>
  </si>
  <si>
    <t>HGNC database gene identifier</t>
  </si>
  <si>
    <t>Broad Disease Category</t>
  </si>
  <si>
    <t>Broad disease category</t>
  </si>
  <si>
    <t>Experiment Description</t>
  </si>
  <si>
    <t>Brief description of the dataset and experimental approach</t>
  </si>
  <si>
    <t>File was filtered to remove SNVRE entries in `mutator` column</t>
  </si>
  <si>
    <t>IGVF Produced?</t>
  </si>
  <si>
    <t>Indicates if produced by IGVF consortium</t>
  </si>
  <si>
    <t>MaveDB Score Set URN</t>
  </si>
  <si>
    <t>MaveDB URN for the score set - the most clinically relevant version</t>
  </si>
  <si>
    <t>DDX3X_Radford_2023</t>
  </si>
  <si>
    <t>Arrayed or Pooled?</t>
  </si>
  <si>
    <t>Experimental design approach - pooled libraries vs arrayed individual variants</t>
  </si>
  <si>
    <t>File was filtered to remove SNVRE entries in `Variant_design_type` column</t>
  </si>
  <si>
    <t>Saturation or Variants of Interest (VOI)?</t>
  </si>
  <si>
    <t>Library design strategy - comprehensive saturation vs targeted variants</t>
  </si>
  <si>
    <t>OTC_Lo_2023</t>
  </si>
  <si>
    <t>PMID</t>
  </si>
  <si>
    <t>PubMed identifier for the publication</t>
  </si>
  <si>
    <t>SMG Loop variants dropped</t>
  </si>
  <si>
    <t>First Author</t>
  </si>
  <si>
    <t>First author's surname from the publication</t>
  </si>
  <si>
    <t>RAD51C_Olvera-León_2024</t>
  </si>
  <si>
    <t>Year of Publication</t>
  </si>
  <si>
    <t>Publication year</t>
  </si>
  <si>
    <t>Primary Score Set or Meta-analysis?</t>
  </si>
  <si>
    <t>Whether this represents original data or analysis of existing data</t>
  </si>
  <si>
    <t>KCNQ4_Zheng_2022_current_homozygous</t>
  </si>
  <si>
    <t>Meta-analysis Type</t>
  </si>
  <si>
    <t>Type of meta-analysis being performed</t>
  </si>
  <si>
    <t>PMIDs Included in Meta-analysis</t>
  </si>
  <si>
    <t>PMIDs of papers whose data is being analyzed</t>
  </si>
  <si>
    <t xml:space="preserve">Filtered to retain only SNVs </t>
  </si>
  <si>
    <t>Author Provided Transcript ID</t>
  </si>
  <si>
    <t>Reference sequence for the variants as provided by authors</t>
  </si>
  <si>
    <t>KCNQ4_Zheng_2022_v12_homozygous</t>
  </si>
  <si>
    <t>Ensembl Transcript ID</t>
  </si>
  <si>
    <t>Ensembl transcript identifier</t>
  </si>
  <si>
    <t>RefSeq Transcript ID</t>
  </si>
  <si>
    <t>CHK2_Gebbia_2024</t>
  </si>
  <si>
    <t>RefSeq transcript identifier</t>
  </si>
  <si>
    <t>remove variants from column where  'Filter_CI' == 1</t>
  </si>
  <si>
    <t>Transcript ID Additional Details</t>
  </si>
  <si>
    <t>Additional details regarding transcript identifiers</t>
  </si>
  <si>
    <t>Experimental Methods</t>
  </si>
  <si>
    <t>Detailed description of experimental procedures</t>
  </si>
  <si>
    <t>Model System</t>
  </si>
  <si>
    <t>Biological system used for the functional assay</t>
  </si>
  <si>
    <t>Model System NCBI Taxon</t>
  </si>
  <si>
    <t>NCBI taxid of model system organism</t>
  </si>
  <si>
    <t>Cell Line Type</t>
  </si>
  <si>
    <t>Cell line type (immortal cell line, embryonic stemcell line etc.)</t>
  </si>
  <si>
    <t>Cell Line Name</t>
  </si>
  <si>
    <t xml:space="preserve">Cell line name (HEK293, U2OS) </t>
  </si>
  <si>
    <t>Yeast Strain</t>
  </si>
  <si>
    <t>Yeast strain</t>
  </si>
  <si>
    <t>Yeast Strain Genotyope</t>
  </si>
  <si>
    <t xml:space="preserve">Yeast strain genotype </t>
  </si>
  <si>
    <t>Model System Modifications</t>
  </si>
  <si>
    <t>Modifications made to model organism such as knocking out or overexpressing other genes</t>
  </si>
  <si>
    <t>Assay Name</t>
  </si>
  <si>
    <t>Assay name, one of SGE, Vamp-seq or Other</t>
  </si>
  <si>
    <t>Assay Type</t>
  </si>
  <si>
    <t>Broad assay categories</t>
  </si>
  <si>
    <t xml:space="preserve">Assay Subtype </t>
  </si>
  <si>
    <t>BAO or other ontology term for the assay type</t>
  </si>
  <si>
    <t>Phenotype Measured</t>
  </si>
  <si>
    <t>Ontology term describing the measured phenotype</t>
  </si>
  <si>
    <t>Selective Pressure</t>
  </si>
  <si>
    <t>Type of selective pressure applied during the assay</t>
  </si>
  <si>
    <t>Selective Pressure Additional Details</t>
  </si>
  <si>
    <t xml:space="preserve">Additional details about selective pressure </t>
  </si>
  <si>
    <t>Molecular or Biological Process Investigated</t>
  </si>
  <si>
    <t>GO term describing the biological process being investigated</t>
  </si>
  <si>
    <t>Functional Consequence Detected by Assay</t>
  </si>
  <si>
    <t>Type of functional consequence detected by the assay</t>
  </si>
  <si>
    <t>Detects Splicing Variants?</t>
  </si>
  <si>
    <t>Whether this assay can detect variants that affect splicing</t>
  </si>
  <si>
    <t>Detects NMD Variants?</t>
  </si>
  <si>
    <t>Whether this assay can detect variants subject to nonsense-mediated decay</t>
  </si>
  <si>
    <t>Scoring Methods</t>
  </si>
  <si>
    <t>Detailed description of data analysis methods used to generate scores</t>
  </si>
  <si>
    <t>Number of Complete Replicates</t>
  </si>
  <si>
    <t>Number of complete experimental replicates</t>
  </si>
  <si>
    <t>Replicates Description</t>
  </si>
  <si>
    <t>Description of the replication strategy used</t>
  </si>
  <si>
    <t>Analysis of Variance Across Replicates</t>
  </si>
  <si>
    <t>Whether variance analysis across replicates was performed</t>
  </si>
  <si>
    <t>Analysis of Variance Across Replicates Details</t>
  </si>
  <si>
    <t>Description of variance analysis methodology and results</t>
  </si>
  <si>
    <t>Library Type</t>
  </si>
  <si>
    <t>Whether variants are tested in endogenous genomic context or artificial constructs</t>
  </si>
  <si>
    <t>Library Scope</t>
  </si>
  <si>
    <t>Types of genomic regions covered by the variant library (coding, non-coding, intronic, regulatory, etc.)</t>
  </si>
  <si>
    <t>Library Coverage</t>
  </si>
  <si>
    <t>Specific regions or features covered by the variant library</t>
  </si>
  <si>
    <t>Variant Expression Method</t>
  </si>
  <si>
    <t>Whether variants are introduced into endogenous locus (e.g via CRISPR/Cas9 system) or synthetic constructs (e.g. cDNA plasmid)</t>
  </si>
  <si>
    <t>Library Construction Method</t>
  </si>
  <si>
    <t>Method used to construct the variant library</t>
  </si>
  <si>
    <t>Library Construction Method Details</t>
  </si>
  <si>
    <t>Detailed description of library construction methodology</t>
  </si>
  <si>
    <t>Library Integration</t>
  </si>
  <si>
    <t>How the library was integrated into the model system</t>
  </si>
  <si>
    <t>Library Delivery Method</t>
  </si>
  <si>
    <t>Method used to deliver the library to cells</t>
  </si>
  <si>
    <t>Library Delivery Method Details</t>
  </si>
  <si>
    <t>Detailed description of library delivery method</t>
  </si>
  <si>
    <t>Sequencing Read Type</t>
  </si>
  <si>
    <t>Type of sequencing reads used for analysis</t>
  </si>
  <si>
    <t>Library Profile Strategy</t>
  </si>
  <si>
    <t>Strategy used to profile the variant library</t>
  </si>
  <si>
    <t>CRISPR/Cas9 System</t>
  </si>
  <si>
    <t>CRISPR/Cas system used for genome editing (if applicable)</t>
  </si>
  <si>
    <t>Editing Enzyme Functionality</t>
  </si>
  <si>
    <t>Type of editing enzyme functionality</t>
  </si>
  <si>
    <t>Dimensionality</t>
  </si>
  <si>
    <t>Dimensionality of the data collected</t>
  </si>
  <si>
    <t>Biological Controls?</t>
  </si>
  <si>
    <t>Whether biological controls were included in the experiment</t>
  </si>
  <si>
    <t>Number of synonymous variants (presumed normal biological controls)</t>
  </si>
  <si>
    <t>Number of normal/functional biological controls published in supplement (not including splice variants)</t>
  </si>
  <si>
    <t>Number of Truncating variants (presumed abnormal biological controls)</t>
  </si>
  <si>
    <t>Number of abnormal/non-functional biological controls published in supplement (not including splice variants)</t>
  </si>
  <si>
    <t>Additional Biological Controls</t>
  </si>
  <si>
    <t>Description of other biological controls included beyond syn</t>
  </si>
  <si>
    <t>Functional Classification Provided?</t>
  </si>
  <si>
    <t>Whether functional classifications were provided by authors</t>
  </si>
  <si>
    <t>Score Intervals Reported?</t>
  </si>
  <si>
    <t>Whether functional score intervals were explicitly reported</t>
  </si>
  <si>
    <t>New Functional Classifications Created?</t>
  </si>
  <si>
    <t>Whether new functional classifications using a gaussian mixture model were created; different from published functional classisications</t>
  </si>
  <si>
    <t>Interval 1 Name</t>
  </si>
  <si>
    <t>Name or description of first score interval (loss of function, depleted, enriched, normal, WT-like etc.)</t>
  </si>
  <si>
    <t>Interval 1 Range</t>
  </si>
  <si>
    <t>Numeric range for the first score interval using set notation ( [0.53, 0.81) )</t>
  </si>
  <si>
    <t>Interval 1 Class</t>
  </si>
  <si>
    <t>Standardized functional classification for first score interval (Normal, Abnormal, Indeterminate)</t>
  </si>
  <si>
    <t>Interval 2 Name</t>
  </si>
  <si>
    <t>Name or description of second score interval (loss of function, depleted, enriched, normal, WT-like etc.)</t>
  </si>
  <si>
    <t>Interval 2 Range</t>
  </si>
  <si>
    <t>Numeric range for the second score interval using set notation ( [0.53, 0.81) )</t>
  </si>
  <si>
    <t>Interval 2 Class</t>
  </si>
  <si>
    <t>Standardized functional classification for second score interval (Normal, Abnormal, Indeterminate)</t>
  </si>
  <si>
    <t>Interval 3 Name</t>
  </si>
  <si>
    <t>Name or description of third score interval (loss of function, depleted, enriched, normal, WT-like etc.)</t>
  </si>
  <si>
    <t>Interval 3 Range</t>
  </si>
  <si>
    <t>Numeric range for the third score interval using set notation ( [0.53, 0.81) )</t>
  </si>
  <si>
    <t>Interval 3 Class</t>
  </si>
  <si>
    <t>Standardized functional classification for third score interval (Normal, Abnormal, Indeterminate)</t>
  </si>
  <si>
    <t>Interval 4 Name</t>
  </si>
  <si>
    <t>Name or description of fourth score interval (loss of function, depleted, enriched, normal, WT-like etc.)</t>
  </si>
  <si>
    <t>Interval 4 Range</t>
  </si>
  <si>
    <t>Numeric range for the fourth score interval using set notation ( [0.53, 0.81) )</t>
  </si>
  <si>
    <t>Interval 4 Class</t>
  </si>
  <si>
    <t>Standardized functional classification for fourth score interval (Normal, Abnormal, Indeterminate)</t>
  </si>
  <si>
    <t>Interval 5 Name</t>
  </si>
  <si>
    <t>Name or description of fifth score interval (loss of function, depleted, enriched, normal, WT-like etc.)</t>
  </si>
  <si>
    <t>Interval 5 Range</t>
  </si>
  <si>
    <t>Numeric range for the fifth score interval using set notation ( [0.53, 0.81) )</t>
  </si>
  <si>
    <t>Interval 5 Class</t>
  </si>
  <si>
    <t>Standardized functional classification for fifth score interval (Normal, Abnormal, Indeterminate)</t>
  </si>
  <si>
    <t>Interval 6 Name</t>
  </si>
  <si>
    <t>Name or description of sixth score interval (loss of function, depleted, enriched, normal, WT-like etc.)</t>
  </si>
  <si>
    <t>Interval 6 Range</t>
  </si>
  <si>
    <t>Numeric range for the sixth score interval using set notation ( [0.53, 0.81) )</t>
  </si>
  <si>
    <t>Interval 6 Class</t>
  </si>
  <si>
    <t>Standardized functional classification for sixth score interval (Normal, Abnormal, Indeterminate)</t>
  </si>
  <si>
    <t>Additional Notes</t>
  </si>
  <si>
    <t>Additional notes regarding modifications to supplemental score files from publications</t>
  </si>
  <si>
    <t>ASPA_Grønbæk-Thygesen_2024_abundance</t>
  </si>
  <si>
    <t>ASPA</t>
  </si>
  <si>
    <t>Other Rare Disease</t>
  </si>
  <si>
    <t>Protein abundance scores of ASPA variants in human cells measured by VAMP-seq experiments</t>
  </si>
  <si>
    <t>No</t>
  </si>
  <si>
    <t>urn:mavedb:00000657-a-1</t>
  </si>
  <si>
    <t>Pooled</t>
  </si>
  <si>
    <t xml:space="preserve">Saturation </t>
  </si>
  <si>
    <t>Grønbæk-Thygesen</t>
  </si>
  <si>
    <t>primary score set</t>
  </si>
  <si>
    <t>ENST00000263080.3</t>
  </si>
  <si>
    <t>NM_000049.4</t>
  </si>
  <si>
    <t xml:space="preserve">VAMP-seq was used to measure the ASPA protein abundance. This assay uses HEK293T cells with a landing pad locus to express a library of ASPA variants fused to GFP, with mCherry expressed from an IRES as an internal control for mRNA levels. Cells expressing ASPA variants are sorted by FACS into bins based on the GFP:mCherry ratio.  Barcode sequencing was then used to determine the frequency of each variant in each bin.
</t>
  </si>
  <si>
    <t>immortalized human cells</t>
  </si>
  <si>
    <t>Homo sapiens (NCBI:txid9606)</t>
  </si>
  <si>
    <t>immortal cell line (CLO_0000019)</t>
  </si>
  <si>
    <t>HEK-293T cell (CLO_0007533)</t>
  </si>
  <si>
    <t>Landing Pad (BxB1 recombinase sites, dox inducible)</t>
  </si>
  <si>
    <t>Vamp-seq</t>
  </si>
  <si>
    <t>Reporter</t>
  </si>
  <si>
    <t>protein stability assay (BAO_0003004)</t>
  </si>
  <si>
    <t>fluorescence intensity (BAO_0000363)</t>
  </si>
  <si>
    <t>None</t>
  </si>
  <si>
    <t>regulation of protein stability (GO:0031647)</t>
  </si>
  <si>
    <t>loss_of_function_variant (SO:0002054)</t>
  </si>
  <si>
    <t>For abundance scores, protein stability index (PSI) was calculated for each variant using the formula PSI𝑖 = (∑𝑔𝑔×𝑓𝑖,𝑔)/(∑𝑔𝑓𝑖,𝑔), where fi,g represents the frequency of variant i in FACS gate g, with gates numbered from 1 to 4. Normalization was then performed using the equation abundancescore = (PSI𝑖−PSIstop)/(PSIWT−PSIstop), where PSIWT is the PSI value of wild-type and PSIstop is the median PSI value of stop substitutions. Illumina reads were first cleaned for adapters using cutadapt and paired-end reads were joined using fastq-join from ea-utils, with only barcodes having an exact match to the barcode map being counted. Technical replicates were merged without pseudo counts and a minimum threshold of 20 reads per replica was enforced for score calculation.</t>
  </si>
  <si>
    <t>Each of four biological replicates were FACS sorted in three replicates and each of the four sorted bins were sequenced; each variant was represented on average by ~21 different barcodes, thus providing internal replicates for each variant.</t>
  </si>
  <si>
    <t>Yes</t>
  </si>
  <si>
    <t>average Pearson correlation between replicate experiments 0.99</t>
  </si>
  <si>
    <t>in-vitro construct library</t>
  </si>
  <si>
    <t>coding</t>
  </si>
  <si>
    <t>Entire ORF</t>
  </si>
  <si>
    <t>synthetic target sequence</t>
  </si>
  <si>
    <t>oligo pool synthesis</t>
  </si>
  <si>
    <t>site-saturation mutagenesis library was purchased from Twist</t>
  </si>
  <si>
    <t>extra-local construct insertion</t>
  </si>
  <si>
    <t>chemical-based transfection</t>
  </si>
  <si>
    <t>Fugene HD</t>
  </si>
  <si>
    <t>single-segment (short read)</t>
  </si>
  <si>
    <t>barcode sequencing</t>
  </si>
  <si>
    <t>single-dimensional data</t>
  </si>
  <si>
    <t>Reported</t>
  </si>
  <si>
    <t>Wild Type, Variants with known abnormal function</t>
  </si>
  <si>
    <t>low abundance</t>
  </si>
  <si>
    <t>(-Inf, 0.2)</t>
  </si>
  <si>
    <t>Abnormal</t>
  </si>
  <si>
    <t>ASPA_Grønbæk-Thygesen_2024_toxicity</t>
  </si>
  <si>
    <t>Protein toxicity scores of ASPA variants in human cells.</t>
  </si>
  <si>
    <t>urn:mavedb:00000657-b-1</t>
  </si>
  <si>
    <t xml:space="preserve">A cell survival assay was used to measure the ASPA protein toxicity. This assay uses HEK293T cells with a landing pad locus to express a library of ASPA variants fused to GFP, with mCherry expressed from an IRES as an internal control for mRNA levels.  Cells expressing ASPA variants were harvested at multiple time points without flow sorting (days 0, 5, 7, and 9). Barcode sequencing was then used to determine the frequency at each time point.
</t>
  </si>
  <si>
    <t>Other</t>
  </si>
  <si>
    <t>Cell fitness</t>
  </si>
  <si>
    <t>cell viability assay (BAO_0003009)</t>
  </si>
  <si>
    <t>survival rate (OBI_0000789)</t>
  </si>
  <si>
    <t>time (PATO:0000165)</t>
  </si>
  <si>
    <t>response to misfolded protein (GO:0051788)</t>
  </si>
  <si>
    <t>For toxicity scores, variant frequencies were first normalized as a distribution at each time point t using the formula (𝑓𝑖,𝑡)/(∑𝑡𝑓𝑖,𝑡), which enabled comparable slopes across variants without additional normalization. Linear regression was then applied to these normalized frequencies to calculate the slope (α) for each variant across four time points (days 0, 5, 7, and 9). The slopes were subsequently normalized according to toxicityscore = (𝛼𝑖−𝛼WT)/(𝛼C152W−𝛼WT), positioning wild-type at zero and the C152W variant at one. The bioinformatics pipeline involved adapter cleaning, exact barcode matching, and frequency calculations from read counts at each time point, deliberately avoiding pseudo counts to prevent artificial inflation of low-frequency toxic variants.</t>
  </si>
  <si>
    <t>Each of four biological replicates were harvested after 0, 5, 7 and 9 days in culture and the surviving variants identified by sequencing.</t>
  </si>
  <si>
    <t>average Pearson correlation between replicate experiments 0.93</t>
  </si>
  <si>
    <t>Nonsense, Variants with known function, Wild Type</t>
  </si>
  <si>
    <t>Toxic</t>
  </si>
  <si>
    <t>(0.6, Inf)</t>
  </si>
  <si>
    <t>Non-toxic</t>
  </si>
  <si>
    <t>(-Inf, 0.4)</t>
  </si>
  <si>
    <t>Normal</t>
  </si>
  <si>
    <t>BAP1</t>
  </si>
  <si>
    <t>Cancer</t>
  </si>
  <si>
    <t>Saturation genome editing essentiality screen to separate functionally normal and functionally abnormal BAP1 variants.</t>
  </si>
  <si>
    <t>urn:mavedb:00000662-0-1</t>
  </si>
  <si>
    <t>Waters</t>
  </si>
  <si>
    <t>ENST00000460680.6</t>
  </si>
  <si>
    <t>NM_004656.4</t>
  </si>
  <si>
    <t>A cell survival assay was used to measure BAP1 essentiality. LIG4-KO, Cas9-expressing HAP1-A5 cells were transfected with an sgRNA-expressing plasmid to target BAP1 and a variant library containing BAP1 sequences. Cells were harvested at multiple time points (days 4, 7, 10, 14 and 21). Direct sequencing was then used to determine the frequency of each variant at each time point.</t>
  </si>
  <si>
    <t>HAP1 cell (CLO_0037032)</t>
  </si>
  <si>
    <t>HAP1 LIG4 knockout</t>
  </si>
  <si>
    <t>SGE</t>
  </si>
  <si>
    <t xml:space="preserve">molecular function (GO:0003674)
</t>
  </si>
  <si>
    <t>The continuous log fold change (LFC) scores were calculated using DESeq2 to model the change in variant abundance over time. DESeq2 was employed to compute an apparent growth rate by treating time as a continuous variable, with days 4, 7, 10, 14, and 21 assigned the values 0, 3, 6, 10, and 17, respectively. The generalized linear model in DESeq2 includes an exponential function (log-link between the negative binomial distribution's central parameter and the linear regression term) to compute the log-linear growth rate. This approach produced a "continuous LFC" representing the change in variant abundance per unit time across all five time points. The calculation captured the variant depletion or enrichment kinetics throughout the 21-day screening period, with separate calculations initially performed for libraries A and B before their eventual combination into a final functional score.
Functional classifications in the BAP1 saturation genome editing (SGE) assay were assigned using a systematic approach based on both the functional score and statistical significance. For each variant, a z-score was calculated by dividing the combined log fold change (functional score) by its combined standard error, which was then used to generate p-values through a two-tailed z-test. These p-values underwent Benjamini-Hochberg correction for multiple testing to produce false discovery rate (FDR) values. Using these metrics, variants were classified into three categories: "depleted" (variants with FDR &lt; 0.01 and negative functional score), "enriched" (variants with FDR &lt; 0.01 and positive functional score), and "unchanged" (variants with FDR ≥ 0.01). This classification system effectively distinguished between variants that caused loss of function (depleted), potential gain of function (enriched), or had no significant effect on BAP1 function (unchanged), providing a framework for interpreting the functional consequences of thousands of BAP1 variants.</t>
  </si>
  <si>
    <t>Two libraries targeting the same region - library A and library B, three indepemdent transfections for each library</t>
  </si>
  <si>
    <t>Pearson’s R = 0.95, P &lt; 0.0001 between library A and library B</t>
  </si>
  <si>
    <t>endogenous locus library</t>
  </si>
  <si>
    <t>coding, intronic, "non-coding, regulatory", "non-coding, other"</t>
  </si>
  <si>
    <t>All protein coding exons</t>
  </si>
  <si>
    <t>endogenous genome editing</t>
  </si>
  <si>
    <t>microarray synthesis</t>
  </si>
  <si>
    <t>direct sequencing</t>
  </si>
  <si>
    <t>SpCas9</t>
  </si>
  <si>
    <t>nuclease</t>
  </si>
  <si>
    <t>Synonymous, Nonsense</t>
  </si>
  <si>
    <t>Not reported</t>
  </si>
  <si>
    <t>BARD1_IGVF</t>
  </si>
  <si>
    <t>BARD1</t>
  </si>
  <si>
    <t>Saturation genome editing based essentiality screen of BARD1 in Hap1 cells.</t>
  </si>
  <si>
    <t>urn:mavedb:00001250-a-2</t>
  </si>
  <si>
    <t>IGVF, Woo,Casadei, Snyder</t>
  </si>
  <si>
    <t>ENST00000260947.9</t>
  </si>
  <si>
    <t>NM_000465.4</t>
  </si>
  <si>
    <t>A cell survival assay was used to measure BARD1 essentiality. LIG4-KO, cas9-expressing HAP1 cells were transfected with a sgRNA-expressing plasmid to target BARD1 and a library of plasmids containing all SNVs across the target sequence. Cells were harvested at day 5 and day 13. Direct sequencing was then used to determine the frequency of each variant at each time point.</t>
  </si>
  <si>
    <t>Cas9 integration/constitutive expression, LIG4 knockout</t>
  </si>
  <si>
    <t>Counts of each variant at days 5 and 13, and in the repair template library – treated as day 0 – are first smoothed to remove position effects, and then modeled with a continuous-time linear regression model to estimate the log2-transformed fold change in variant abundance per unit time. The modeling is performed within each SGE target. For variants that are double-covered – i.e., variants whose function is assessed in two different SGE target regions – the regression framework includes counts from both targets. The resulting log2 fold changes (LFCs) are the SGE scores for each variant. 95% confidence intervals for each variant’s SGE score are derived from the standard errors of the regression models’ parameter estimates.</t>
  </si>
  <si>
    <t>3 complete replicates for each tile/region</t>
  </si>
  <si>
    <t>Pearson's R = XX between replicates</t>
  </si>
  <si>
    <t>Gibson DNA assembly between genome-amplified homology arm and synthetic library.</t>
  </si>
  <si>
    <t>Xfect</t>
  </si>
  <si>
    <t>BRCA1_Adamovich_2022_Cisplatin_Resistance</t>
  </si>
  <si>
    <t>BRCA1</t>
  </si>
  <si>
    <t>Growth assay separating functionally normal and functionally abnormal BRCA1 variants using cisplatin resistance as a selection</t>
  </si>
  <si>
    <t>urn:mavedb:00001222-a-2</t>
  </si>
  <si>
    <t>Adamovich</t>
  </si>
  <si>
    <t>NM_007294.4</t>
  </si>
  <si>
    <t>ENST00000357654.9</t>
  </si>
  <si>
    <t>AA 1613 residue mismatch between transcripts (reference: Ser; authors: Gly)</t>
  </si>
  <si>
    <t>A cell survival assay was used to measure cisplatin resistance. HeLaDR-FRT cells expressing _BRCA1_ variants were transfected with an siRNA to deplete endogenous _BRCA1_ and then treated with cisplatin for two hours. Cells were harvested at day 5, and barcode sequencing was used to determine variant frequency.</t>
  </si>
  <si>
    <t>HeLa cell (CLO_0003684)</t>
  </si>
  <si>
    <t>HeLa DR-FRT, HeLa cells with two inactive GFP alleles (one allele with an I-SceI endonuclease recognition site) integrated at the same locus. In addition a flippase recognition target sequences was integrated.</t>
  </si>
  <si>
    <t>Antineoplastic Agent (NCIT_C274)</t>
  </si>
  <si>
    <t>DNA Adduct Forming Agent (NCIT_C2163)</t>
  </si>
  <si>
    <t xml:space="preserve">cellular response to cisplatin (GO:0072719), DNA repair (GO:0006281), double-strand break repair via homologous recombination (GO:0000724)
</t>
  </si>
  <si>
    <t>In the Cisplatin Resistance (CR) assay, functional scores were calculated using the Enrich2 software package based on variant survival following cisplatin treatment. The functional score was computed as the log2 transformed ratio of the variant to wild-type in the presence of cisplatin divided by the ratio of the variant to the wild-type in the absence of cisplatin. This normalization accounted for the differential survival of variants regardless of cisplatin treatment. The frequency of each variant was determined by counting barcodes in surviving cells collected 5 days after cisplatin treatment. As with the HDR assay, only variants with sufficient read counts in at least three replicates were included in the final analysis.
Functional cutoffs were established by modeling the scores as normal distributions to determine thresholds for classification. The score for the lowest 1% of the distribution (-0.729) in cells transfected with control siRNA was set as the threshold for loss-of-function variants. The top 99% of the distribution (-0.503) for nonsense variants transfected with _BRCA1_-3′ UTR siRNA was set as the threshold for functional/neutral variants. Variants with scores between these values were considered intermediate in function.</t>
  </si>
  <si>
    <t>4 total replicates, performed 2 at a timeHowever, part of the BRCA1 locus (residues 1,577-1,672) had two replicates that failed. One had low counts and the other showed evidence that the siRNA treatment was ineffective. So that region only has two complete replicates</t>
  </si>
  <si>
    <t>Correlation between replicates now shown.</t>
  </si>
  <si>
    <t>Selected nucleotide or amino acid positions</t>
  </si>
  <si>
    <t>oligo-directed mutagenic PCR</t>
  </si>
  <si>
    <t>Synonymous, Nonsense, Wild Type, Empty Vector/Null</t>
  </si>
  <si>
    <t>Functional</t>
  </si>
  <si>
    <t>(-0.503, Inf)</t>
  </si>
  <si>
    <t>LOF</t>
  </si>
  <si>
    <t>(-Inf, -0.729)</t>
  </si>
  <si>
    <t>Intermediate</t>
  </si>
  <si>
    <t>[-0.729,-0.503]</t>
  </si>
  <si>
    <t>Not specified</t>
  </si>
  <si>
    <t>BRCA1_Adamovich_2022_HDR</t>
  </si>
  <si>
    <t>Multiplexed assay of BRCA1 variants measuring homology directed repair activity</t>
  </si>
  <si>
    <t>urn:mavedb:00001222-b-2</t>
  </si>
  <si>
    <t>A fluorescent reporter assay was used to measure homology directed repair activity. HeLaDR-FRT cells expressing _BRCA1_ variants were transfected with an siRNA to deplete endogenous _BRCA1_ followed by transfection with the I-SceI enzyme to create a double-stranded break in an inactive GFP allele which can be repaired through homology-directed repair (HDR) using another inactive GFP allele as template, resulting in functional GFP expression only if the _BRCA1_ variant is functional. FACS was used to sort cells into GFP+ and GFP- populations, followed by barcode sequencing to determine the frequency of each variant in each bin.</t>
  </si>
  <si>
    <t>homology-directed DNA repair frequency measurement (NCIT_C191744)</t>
  </si>
  <si>
    <t xml:space="preserve">DNA repair (GO:0006281), double-strand break repair via homologous recombination (GO:0000724)
</t>
  </si>
  <si>
    <t>In the multiplex Homology-Directed Repair (HDR) assay, functional scores were calculated using the Enrich2 software package based on the depletion of variants in the GFP-positive population relative to inputs. The functional score was determined as the log2 transformed ratio of the frequency of each variant in the GFP-positive population versus its frequency in the GFP-negative population. This ratio was then normalized to the GFP+/GFP- ratio for wild-type _BRCA1_. A minimum read count threshold was established to exclude variants with anomalous scores, and only variants present above this threshold in at least three replicates were included in the analysis. The final HDR variant functional score was determined as the average of four independent experimental replicates.
Functional cutoffs were established by modeling the scores as normal distributions to determine thresholds for classification. The score for the lowest 1% of the distribution (-0.562) in cells transfected with control siRNA was set as the threshold for loss-of-function variants. The top 99% of the distribution (-0.233) for nonsense variants transfected with _BRCA1_-3′ UTR siRNA was set as the threshold for functional/neutral variants.</t>
  </si>
  <si>
    <t>4 total replicates, performed two at a time</t>
  </si>
  <si>
    <t>(-0.233, Inf)</t>
  </si>
  <si>
    <t>(-Inf, -0.562)</t>
  </si>
  <si>
    <t>[-0.562,-0.233]</t>
  </si>
  <si>
    <t>BRCA1_Findlay_2018</t>
  </si>
  <si>
    <t>Saturation genome editing based essentiality screen of BRCA1 in Hap1 cells.</t>
  </si>
  <si>
    <t>urn:mavedb:00000097-0-2</t>
  </si>
  <si>
    <t>Findlay</t>
  </si>
  <si>
    <t>NM_007294.3</t>
  </si>
  <si>
    <t>A cell survival assay was used to measure BRCA1 essentiality. LIG4-KO HAP1 cells were transfected with a Cas9/gRNA construct was transfected and a library of plasmids containing all SNVs across the target sequence. Cells were harvested at day 5 and day 11. Direct sequencing was then used to determine the frequency of each variant at each time point.</t>
  </si>
  <si>
    <t>LIG4 knockout</t>
  </si>
  <si>
    <t xml:space="preserve">Functional scores were derived through sequential quantitative analyses. Initially, the log2 ratio of each SNV's frequency at day 11 relative to the original plasmid library was calculated. Positional biases in editing rates were subsequently modeled using a LOESS regression fit on day 5 over library SNV ratios and were subtracted from the raw scores to correct for integration efficiency variations across the targeted regions. This adjustment was necessitated by the short gene conversion tracts arising during homology-directed repair (HDR) in human cells, which resulted in library SNVs being introduced more frequently near the CRISPR target site. To facilitate cross-exon comparisons, scores were normalized such that each experiment's median synonymous and nonsense SNV values were aligned with their respective global medians. This normalization enabled direct comparison of functional effects across all 13 exons encoding the RING and BRCT domains of BRCA1.
For threshold determination and variant classification, a two-component Gaussian mixture model was applied to the normalized functional scores. The model was fit using the distributions of nonsense SNVs (defined as the non-functional distribution) and synonymous SNVs with RNA scores within one standard deviation of the median (defined as the functional distribution). The posterior probabilities generated from the model were utilized as point estimates of the probability of each SNV's score being drawn from the non-functional distribution (Pnf). Variants were classified as "non-functional" (Pnf &gt; 0.99), "intermediate" (0.01 &lt; Pnf &lt; 0.99), or "functional" (Pnf &lt; 0.01). </t>
  </si>
  <si>
    <t>2 complete replicates for each exon except 18 and 22 from transfection</t>
  </si>
  <si>
    <t>Spearman’s ρ=0.88 (Exon 17 shown in manuscript)</t>
  </si>
  <si>
    <t>Selected exons, Key domains or regions of protein</t>
  </si>
  <si>
    <t>Synonymous, Nonsense, Wild Type</t>
  </si>
  <si>
    <t>[-0.748, Inf)</t>
  </si>
  <si>
    <t>(-1.328, -0.748)</t>
  </si>
  <si>
    <t>Non-functional</t>
  </si>
  <si>
    <t>(-Inf,-1.328]</t>
  </si>
  <si>
    <t>BRCA2_Hu_2024</t>
  </si>
  <si>
    <t>BRCA2</t>
  </si>
  <si>
    <t>Arrayed screen of BRCA2 homology directed repair function in VC-8 cells</t>
  </si>
  <si>
    <t>urn:mavedb:00001224-a-1</t>
  </si>
  <si>
    <t>Arrayed</t>
  </si>
  <si>
    <t>VOI</t>
  </si>
  <si>
    <t>Hu</t>
  </si>
  <si>
    <t>NM_000059.3</t>
  </si>
  <si>
    <t>ENST00000380152.8</t>
  </si>
  <si>
    <t>A fluorescent reporter assay was used to measure homology directed repair activity.  _BRCA2_-deficient V-C8 cells containing the DR-GFP reporter were co-transfected with _BRCA2_ variant constructs and the iSce1 expression vector. This creates a double-stranded break in an inactive GFP allele which can be repaired through homology-directed repair (HDR) using another inactive GFP allele as template, resulting in functional GFP expression only if the _BRCA2_ variant is functional. The proportion of viable cells displaying green fluorescent protein (GFP+) was quantified by flow cytometry after 72 hours.</t>
  </si>
  <si>
    <t>other</t>
  </si>
  <si>
    <t>Cricetulus griseus (NCBI:txid10029)</t>
  </si>
  <si>
    <t>CLO_0037209 (V-C8 cell)</t>
  </si>
  <si>
    <t>BRCA2-deficient, DR-GFP reporter</t>
  </si>
  <si>
    <t xml:space="preserve">DNA repair (GO:0006281), double-strand break repair via homologous recombination (GO:0000724)
</t>
  </si>
  <si>
    <t>A homology-directed repair (HDR) assay was employed wherein full-length _BRCA2_ cDNA with introduced missense variants was co-transfected with iSce1 expression vector into brca2-deficient V-C8 cells containing a DR-GFP reporter. The proportion of viable cells displaying green fluorescent protein was quantified by flow cytometry after 72 hours, with experiments conducted in duplicate. Fold changes in GFP-positive cells were normalized and rescaled to a 1-5 range based on the c.8167G&gt;C (p.Asp2723His) standard pathogenic variant scored as 1 and wild-type _BRCA2_ scored as 5. A Bayesian regression model for the log HDR scores was used to estimate the distribution of HDR scores and 95% confidence intervals for all variants. Predefined 99.9% probability thresholds were applied to categorize variants as pathogenic (&lt;1.49), benign (&gt;2.50), or intermediate (between 1.49 and 2.50).</t>
  </si>
  <si>
    <t>All experiments were conducted in duplicate</t>
  </si>
  <si>
    <t>plasmid (not integrated)</t>
  </si>
  <si>
    <t>Functionally abnormal</t>
  </si>
  <si>
    <t>(-Inf, 1.49)</t>
  </si>
  <si>
    <t>Functionally normal</t>
  </si>
  <si>
    <t>(2.5, Inf)</t>
  </si>
  <si>
    <t>(1.49,2.5)</t>
  </si>
  <si>
    <t>Author file contained p.Val2687A; corrected to p.Val2687Ala</t>
  </si>
  <si>
    <t>BRCA2_Huang_2025_SGE</t>
  </si>
  <si>
    <t>SGE CRISPR-Cas9 based knock-in assay in exons 15 to 26 of BRCA2 for human HAP1 cells</t>
  </si>
  <si>
    <t>urn:mavedb:00001279-a-1</t>
  </si>
  <si>
    <t>Saturation</t>
  </si>
  <si>
    <t>Huang</t>
  </si>
  <si>
    <t>NM_000059.4</t>
  </si>
  <si>
    <t>A cell survival assay was used to measure _BRCA2_ essentiality. LIG4-KO HAP1 cells were transfected with a Cas9/gRNA construct was transfected and a library of plasmids containing all SNVs across the target sequence. Cells were harvested at day 4 and day 14. Direct sequencing was then used to determine the frequency of each variant at each time point.</t>
  </si>
  <si>
    <t xml:space="preserve">HAP1 LIG4 knockout </t>
  </si>
  <si>
    <t>Cell Fitness</t>
  </si>
  <si>
    <t>phenotypic (BAO_0013017)</t>
  </si>
  <si>
    <t>An efficient single guide RNA (sgRNA) for each target region was cloned into a sgRNA–Cas9 construct and co-transfected with library plasmids into HAP1 cells in triplicate experiments.</t>
  </si>
  <si>
    <t>coding, intronic</t>
  </si>
  <si>
    <t>Key domains or regions of protein, Selected exons</t>
  </si>
  <si>
    <t>exons 15-26 (DNA-binding domain); E15 to E26 encoding the BRCA2 DBD domain, along with 10 bp of adjacent intronic nucleotides</t>
  </si>
  <si>
    <t>Site-saturation mutagenesis libraries that contained 6,959 out of all 6,960 (99.9%) possible SNVs in the 14 target regions were generated by site-directed mutagenesis using NNN-tailed PCR primers.</t>
  </si>
  <si>
    <t>Codon (Degenerate - NNK)</t>
  </si>
  <si>
    <t>turbofectin</t>
  </si>
  <si>
    <t xml:space="preserve">Functional classifications provided using model based score. </t>
  </si>
  <si>
    <t>BRCA2_IGVF</t>
  </si>
  <si>
    <t>Saturation genome editing based essentiality screen of BRCA2 in Hap1 cells.</t>
  </si>
  <si>
    <t>urn:mavedb:00001263-a-2</t>
  </si>
  <si>
    <t>IGVF</t>
  </si>
  <si>
    <t>A cell survival assay was used to measure BRCA2 essentiality. LIG4-KO, cas9-expressing HAP1 cells were transfected with a sgRNA-expressing plasmid to target BRCA2 and a library of plasmids containing all SNVs across the target sequence. Cells were harvested at day 5 and day 13. Direct sequencing was then used to determine the frequency of each variant at each time point.</t>
  </si>
  <si>
    <t>Selected exons</t>
  </si>
  <si>
    <t>BRCA2_Sahu_2023_exon13_Cisplatin_Resistance</t>
  </si>
  <si>
    <t>Saturation mutagenesis of BRCA2 exon 13 with cisplatin drug selection</t>
  </si>
  <si>
    <t>urn:mavedb:00001268-a-1</t>
  </si>
  <si>
    <t>Sahu</t>
  </si>
  <si>
    <t>A BRCA2 variant library was introduced into PL2F7/F7 mouse embryonic stem cells containing a single-copy human BRCA2 transgene integrated at chromosome 12, replacing the deleted endogenous Brca2. Following nucleofection (3x10^7 cells with 3μg sgRNA/Cas9 and 6μg ssODN) and 7 days of culture on feeder cells, 10^7 cells were replated and treated with 0.4μM cisplatin from day 8-14 with media changes every 48 hours. Cell pellets were harvested at day 3 (pre-treatment) and day 14 (post-treatment). Genomic DNA was extracted and amplicon sequencing was performed to determine variant frequency, with function scores calculated as log2(day14/day3) ratios under cisplatin selection.</t>
  </si>
  <si>
    <t>murine primary cells</t>
  </si>
  <si>
    <t>Mus musculus (NCBI:txid10090)</t>
  </si>
  <si>
    <t>embryonic stem cell line (CLO_0037279)</t>
  </si>
  <si>
    <t>mouse embryonic stem cell line cell (CLO_0009828)</t>
  </si>
  <si>
    <t>mESCs BRCA2 knock out, and introduction of BRCA2 using a BAC (BRCA2 transgene was integrated into chromosome 12 position A3). Cell line functions as haploid for BRCA2</t>
  </si>
  <si>
    <t xml:space="preserve">Functional scores were derived through sequential quantitative analyses. Initially, the log2 ratio of each SNV's frequency at day 14 relative to day 3 was calculated. Positional biases in editing rates were subsequently modeled using a LOESS regression fitted on day 14 over day 3 ratios for variants with ratios above 1.25, and were subtracted from the raw scores to correct for position-dependent editing efficiency variations. The corrected log2 ratios were then linearly scaled within each exon segment. To facilitate cross-exon comparisons, scores were normalized such that the median synonymous and nonsense SNV values within each exon segment were aligned with their respective global medians across all of exon 13
</t>
  </si>
  <si>
    <t>2 independent replicates</t>
  </si>
  <si>
    <t>Spearman ρ = 0.86</t>
  </si>
  <si>
    <t>oligo's ordered from IDT and cloned into plasmid containing sgRNA and Cas10</t>
  </si>
  <si>
    <t>native locus replacement (modified)</t>
  </si>
  <si>
    <t>nucleofection</t>
  </si>
  <si>
    <t>native locus is knocked out. BRCA2 integrated on chromosome 13 in mESCs. This locus is targeted for editing.</t>
  </si>
  <si>
    <t>Synonymous, Nonsense, Variants with known function, Wild Type, Empty Vector/Null</t>
  </si>
  <si>
    <t>supplement: added hgvs_c column without transcript annotation; removed “Intronic” from hgvs.p</t>
  </si>
  <si>
    <t>BRCA2_Sahu_2023_exon13_global_score</t>
  </si>
  <si>
    <t>Saturation mutagenesis of BRCA2 exon 13 (weighted average of cisplatin, olaparib, and control assays)</t>
  </si>
  <si>
    <t>urn:mavedb:00001268-0-1</t>
  </si>
  <si>
    <t>meta-analysis</t>
  </si>
  <si>
    <t>new score set (combined assays)</t>
  </si>
  <si>
    <t>A BRCA2 variant library was introduced into PL2F7/F7 mouse embryonic stem cells containing a single-copy human BRCA2 transgene integrated at chromosome 12, replacing the deleted endogenous mouse Brca2. Following nucleofection (3x10^7 cells with 3μg sgRNA/Cas9 and 6μg of 180-mer ssODN library), cells were cultured on feeder cells for 7 days. At day 7, 10^7 cells were divided into three treatment groups: DMSO control, 0.4μM cisplatin, and 0.05μM olaparib, with treatments administered from day 8-14. Cell pellets were harvested at day 3 (pre-treatment baseline) and day 14 (post-treatment) from all three conditions. Genomic DNA was extracted and amplicon sequencing was performed to determine variant frequency across all treatment conditions, enabling calculation of integrated functional scores reflecting both baseline fitness and drug sensitivity phenotypes.</t>
  </si>
  <si>
    <t>time (PATO:0000165), Antineoplastic Agent (NCIT_C274)</t>
  </si>
  <si>
    <t>DNA Adduct Forming Agent (NCIT_C2163), Poly (ADP-Ribose) Polymerase Inhibitor (NCIT_C62554)</t>
  </si>
  <si>
    <t>Functional scores were calculated independently for each treatment condition as log2 ratios of variant frequency at day 14 relative to day 3. Position bias correction was applied using LOESS regression modeling on variants with ratios &gt;1.25 to account for position-dependent editing efficiency. The corrected scores were linearly scaled within exon segments and normalized such that median synonymous and nonsense variant scores aligned with global medians across exon 13. A weighted mean functional score was then computed using weights of 0.4 for DMSO, 0.25 for cisplatin, and 0.25 for olaparib.</t>
  </si>
  <si>
    <t>N/A (meta-analysis)</t>
  </si>
  <si>
    <t>Key domains or regions of protein</t>
  </si>
  <si>
    <t>oligo's ordered from IDT and cloned into plasmid containing sgRNA and Cas9</t>
  </si>
  <si>
    <t>BRCA2_Sahu_2023_exon13_Olaparib_Resistance</t>
  </si>
  <si>
    <t>Saturation mutagenesis of BRCA2 exon 13 with olaparib drug selection</t>
  </si>
  <si>
    <t>urn:mavedb:00001268-b-1</t>
  </si>
  <si>
    <t>A BRCA2 variant library was introduced into PL2F7/F7 mouse embryonic stem cells containing a BAC-integrated single-copy human BRCA2 transgene (replacing endogenous mouse Brca2 following HAT selection for HPRT minigene reconstitution). Following nucleofection and 7 days of culture, cells were treated with 0.05μM olaparib from day 8-14. Cell pellets were harvested at day 3 (pre-treatment) and day 14 (post-treatment). Genomic DNA was extracted and paired-end sequencing was performed to determine variant frequency, with function scores calculated as log2(day14/day3) ratios under olaparib selection.RetryAE</t>
  </si>
  <si>
    <t>Poly (ADP-Ribose) Polymerase Inhibitor (NCIT_C62554)</t>
  </si>
  <si>
    <t>Spearman ρ = 0.81</t>
  </si>
  <si>
    <t>oligo's ordered from IDT and cloned into plasmid containing sgRNA and Cas11</t>
  </si>
  <si>
    <t>BRCA2_Sahu_2023_exon13_SGE</t>
  </si>
  <si>
    <t>Saturation mutagenesis of BRCA2 exon 13</t>
  </si>
  <si>
    <t>urn:mavedb:00001268-c-1</t>
  </si>
  <si>
    <t>A BRCA2 variant library was introduced into PL2F7/F7 mouse embryonic stem cells harboring a single-copy human BRCA2 transgene. These cells were derived from PL2F7 cells (Brca2cko/ko) by integrating a 127kb BAC containing full-length human BRCA2 at chromosome 12 position A3, with endogenous mouse Brca2 deleted by Cre-mediated recombination. Cells were nucleofected with 3μg sgRNA/Cas9 plasmid and 6μg of 180-mer ssODN library. Following nucleofection, 3x10^7 cells were cultured on feeder cells for 72 hours, then replated and maintained until day 14. Cell pellets were harvested at day 3 and day 14. Genomic DNA was extracted and amplicon sequencing (1-3 million reads/sample) was performed to determine variant frequency at each time point, with function scores calculated as log2(day14/day3) ratios.</t>
  </si>
  <si>
    <t xml:space="preserve">Functional scores were derived through sequential quantitative analyses. Initially, the log2 ratio of each SNV's frequency at day 14 relative to day 3 was calculated. Positional biases in editing rates were subsequently modeled using a LOESS regression fitted on day 14 over day 3 ratios for variants with ratios above 1.25, and were subtracted from the raw scores to correct for position-dependent editing efficiency variations. The corrected log2 ratios were then linearly scaled within each exon segment. To facilitate cross-exon comparisons, scores were normalized such that the median synonymous and nonsense SNV values within each exon segment were aligned with their respective global medians across all of exon 13.
</t>
  </si>
  <si>
    <t>Spearman ρ = 0.99</t>
  </si>
  <si>
    <t>BRCA2_Sahu_2025_SGE</t>
  </si>
  <si>
    <t>SGE CRISPR-Cas9 based knock-in assay in exons 15 to 26 in a humanized mouse embryonic stem cell line</t>
  </si>
  <si>
    <t>urn:mavedb:00001242-a-1</t>
  </si>
  <si>
    <t>NM_000059</t>
  </si>
  <si>
    <t>A cell survival assay was used to measure BRCA2 function. A library of BRCA2 variants targeting exons 15-26 (encoding the C-terminal DNA binding domain) was introduced into mouse embryonic stem cells (Brca2−/−;Tg[BRCA2]) harboring a single-copy human BRCA2 transgene using nucleofection with Cas9-sgRNA plasmids and 180-mer single-stranded oligodeoxynucleotide (ssODN) donor libraries. Following nucleofection with 3 μg Cas9-sgRNA plasmid and 6.5 μg ssODN library, 10^7 cells per replicate were cultured on feeder cells and genomic DNA was isolated at day 3. The remaining cells were split into three treatment groups receiving either DMSO (vehicle control), 0.4 μM cisplatin, or 0.05 μM olaparib on days 8, 10, and 12, with final DNA harvesting occurring at day 14.</t>
  </si>
  <si>
    <t>Functional scores were derived through sequential quantitative analyses. Initially, the log2 ratio of each SNV's frequency at day 14 relative to day 3 was calculated for all treatment conditions (DMSO, cisplatin, and olaparib). Positional biases in editing rates were subsequently modeled using a LOESS regression function in R, fitting the ratios against chromosomal position within each exon. The position-dependent bias scores were then subtracted from the raw log2 ratios to correct for editing efficiency variations. The corrected log2 ratios were linearly normalized within each exon and across all exons, such that the median nonsense variant scores within an exon matched the global nonsense median across all exons. A weighted mean functional score was also computed by combining the three treatment conditions using weights of 0.4 for DMSO and 0.25 each for cisplatin and olaparib.</t>
  </si>
  <si>
    <t>2 independent biological experiments (whole experiment repeated, each experiment had 3 transfections)</t>
  </si>
  <si>
    <t>Each oligonucleotide pool comprised 180-mer-long ssODNs that contained a synonymous variant at the protospacer adjacent motif (PAM) site to block recutting by Cas9 and degenerate nucleotides containing all three non-wild-type nucleotides per position along the 30–80 bp region of saturation</t>
  </si>
  <si>
    <t>Synonymous, Nonsense, Variants with known function, Wild Type</t>
  </si>
  <si>
    <t>CALM1_CALM2_CALM3_Weile_2017</t>
  </si>
  <si>
    <t>CALM1, CALM2, CALM3</t>
  </si>
  <si>
    <t>1442, 1445, 1449</t>
  </si>
  <si>
    <t>Cardio</t>
  </si>
  <si>
    <t>A Deep Mutational Scan of human Calmodulin using functional complementation in yeast via DMS-TileSeq.</t>
  </si>
  <si>
    <t>urn:mavedb:00000001-c-1</t>
  </si>
  <si>
    <t>Weile</t>
  </si>
  <si>
    <t>ENST00000356978.9</t>
  </si>
  <si>
    <t>NM_006888.6</t>
  </si>
  <si>
    <t>CALM1 variants were expressed in the temperature-sensitive ortholog (cmd1-1) and observed whether they could complement the yeast calmodulin's function, thus rescuing the yeast from growth defects at the non-permissive temperature. If the human calmodulin variant was functional, the yeast would grow normally at this restrictive temperature, while non-functional variants would not rescue the phenotype​. Direct sequencing was used to determine the variant frequencies in yeast grown at permissive and restrictive temperatures.</t>
  </si>
  <si>
    <t>yeast</t>
  </si>
  <si>
    <t>Saccharomyces cerevisiae (NCBI:txid4932)</t>
  </si>
  <si>
    <t>Not Applicable</t>
  </si>
  <si>
    <t>cmd1-1</t>
  </si>
  <si>
    <t>cmd1-1 - temperature sensitive orthologog of human calmodulin (CALM1, CALM2, and CALM3)</t>
  </si>
  <si>
    <t>cell viability assay (BAO_0003009), genetic complementation (BAO_0002488)</t>
  </si>
  <si>
    <t>temperature sensitive growth (APO_0000092)</t>
  </si>
  <si>
    <t>calcium-mediated signaling (GO:0019722)</t>
  </si>
  <si>
    <t>Raw sequencing reads were aligned to the reference ORF cDNA sequences using Bowtie‐2 and a custom Perl script was used to parse and compare the forward and reverse read alignment files to count the number of co‐occurrences of a codon change in both paired reads. Mutational counts in each condition were normalized to sequencing depth at the respective position. Variants for which the number of reads in the non‐permissive condition was within three standard deviations of the read count in the wild‐type control were considered poorly measured and removed. Then, the normalized mutational counts from the wild‐type control libraries (control for sequencing errors) were subtracted from the normalized mutational counts from the non‐selective and selective conditions, respectively. Finally, the enrichment ratio was calculated for each variant based on the adjusted mutational counts before and after selection.</t>
  </si>
  <si>
    <t>two biological replicates, two technical replicates</t>
  </si>
  <si>
    <t>POPCode (Precision Oligo-Pool based Code Alteration)</t>
  </si>
  <si>
    <t>Wild Type, Empty Vector/Null, Synonymous</t>
  </si>
  <si>
    <t>HGNC ID and additional identifiers for CALM1 used for annotations</t>
  </si>
  <si>
    <t>CARD11_Meitlis_2020_SGE_Ibrutinib_GoF</t>
  </si>
  <si>
    <t>CARD11</t>
  </si>
  <si>
    <t>Diploid SGE of CARD11 exons 3–5 in TMD8 cells in the presence of ibrutinib to select for gain-of-function variants</t>
  </si>
  <si>
    <t>urn:mavedb:00001226-b-1</t>
  </si>
  <si>
    <t>Meitlis</t>
  </si>
  <si>
    <t>NM_032415.3</t>
  </si>
  <si>
    <t>ENST00000396946.9</t>
  </si>
  <si>
    <t>A cell survival assay was used to measure _CARD11_ essentiality. A library of _CARD11_ variants were introduced in TMD8 cells using ribonuclear protein complexes consisting of Cas9 and gRNAs and single stranded oligonucleotide (SSODN) libraries. Following electroporation with Cas9-gRNA complexes and repair templates, cells were cultured and genomic DNA and mRNA were isolated at day 2. The remaining cells were treated with either ibrutinib or vehicle control with final DNA harvesting occurring at day 16.</t>
  </si>
  <si>
    <t>TMD8 cell (CLO_0007886)</t>
  </si>
  <si>
    <t>Signal Transduction Inhibitor (NCIT_C2189), BMX Inhibitor (NCIT_C199627)</t>
  </si>
  <si>
    <t>gain_of_function_variant (SO:0002053)</t>
  </si>
  <si>
    <t>The functional score calculation utilized a logarithmic transformation of variant abundance ratios. Specifically, each variant's score was computed as S = log₂(C₁₄/C₂), where C₁₄ represents the variant count after 14 days of growth and C₂ represents the initial count at day 2 post-transfection. These raw scores were then normalized relative to wild-type performance using the formula S_norm = S_variant - S_wildtype to produce the final normalized functional score. The Enrich2 algorithm was employed for initial count processing, while custom Python scripts handled subsequent data filtering, coverage normalization, and variance estimation across the five experimental replicates.
For the ibrutinib gain-of-function experiment, variants were classified into five distinct groups based on statistical thresholds. Variants were designated as "gain-of-function" if both their functional score and the lower bound of their 90% confidence interval exceeded 0.4294, which represented the lowest measurement of a previously reported gain-of-function variant (Cys49Ser). Variants were classified as "likely gain-of-function" if their functional score was greater than 0.4294 and the lower bound of their 90% confidence interval was greater than -0.1399, which represented the upper bound of the 95% confidence interval for the synonymous distribution.</t>
  </si>
  <si>
    <t>five replicate experiments</t>
  </si>
  <si>
    <t>Not specified for Ibrutinib condition</t>
  </si>
  <si>
    <t>electroporation</t>
  </si>
  <si>
    <t>SSODN + RNP</t>
  </si>
  <si>
    <t>Variants with known function, Synonymous, Nonsense</t>
  </si>
  <si>
    <t>Reported: depends on other statistics</t>
  </si>
  <si>
    <t>CARD11_Meitlis_2020_SGE_LoF</t>
  </si>
  <si>
    <t>Diploid SGE of CARD11 exons 3–5 in TMD8 cells</t>
  </si>
  <si>
    <t xml:space="preserve">No </t>
  </si>
  <si>
    <t>urn:mavedb:00001226-a-1</t>
  </si>
  <si>
    <t>A cell survival assay was used to measure _CARD11_ essentiality.  A library of  _CARD11_ variants were introduced in TMD8 cells using ribonuclear protein complexes consisting of Cas9 and gRNAs and single stranded oligonucleotide (SSODN) libraries. Following electroporation with Cas9-gRNA complexes and repair templates, cells were cultured and genomic DNA and mRNA were isolated at day 2 and day 16.</t>
  </si>
  <si>
    <t>The functional score calculation utilized a logarithmic transformation of variant abundance ratios. Specifically, each variant's score was computed as S = log₂(C₁₄/C₂), where C₁₄ represents the variant count after 14 days of growth and C₂ represents the initial count at day 2 post-transfection. These raw scores were then normalized relative to wild-type performance using the formula S_norm = S_variant - S_wildtype to produce the final normalized functional score. The Enrich2 algorithm was employed for initial count processing, while custom Python scripts handled subsequent data filtering, coverage normalization, and variance estimation across the five experimental replicates.
Classification thresholds were established based on the statistical distributions of known functional and non-functional variants. The upper bound of the 95% confidence interval for nonsense variants (≤ -0.711) defined the non-functional threshold, while the lower bound of the 95% confidence interval for synonymous variants (≥ -0.216) established the functional threshold. These thresholds created three distinct classification zones: variants with mean scores above -0.216 were classified as functionally normal or likely functional, those with mean scores below -0.711 were classified as non-functional or likely non-functional, and variants with confidence intervals spanning these boundaries were labeled as "not definitive." This statistical framework enabled objective classification of 2,542 coding and 38 non-coding variants based on their functional impact.</t>
  </si>
  <si>
    <t>R between 0.45 and 0.72</t>
  </si>
  <si>
    <t>CBS_Sun_2020_high_B6</t>
  </si>
  <si>
    <t>CBS</t>
  </si>
  <si>
    <t>Metabolic</t>
  </si>
  <si>
    <t>A Deep Mutational Scan of the human cystathionine-beta-synthase (CBS) using functional complementation in yeast via DMS-TileSeq at high levels of Vitamin B6.</t>
  </si>
  <si>
    <t>urn:mavedb:00000005-a-6</t>
  </si>
  <si>
    <t>Sun</t>
  </si>
  <si>
    <t>UniprotKB accession P35520</t>
  </si>
  <si>
    <t>ENST00000398165.8</t>
  </si>
  <si>
    <t>NM_000071.3</t>
  </si>
  <si>
    <t>In this high-throughput complementation screening, plasmids containing CBS variants were transformed into S. cerevisiae cys4 mutant strains. Selective media with varying vitamin B6 concentrations (0, 1, and 400 ng/ml) was used, adding histidine, uracil, and lysine to address auxotrophies, while using galactose to induce GAL1-promoter-driven expression. For each B6 concentration condition, cells were cultured in selective medium with growing to full density through 5-6 doublings at 30°C. Plasmids were extracted from non-selective and selective conditions for downstream tiling PCR analysis, with wild-type ORF expression serving as a control.</t>
  </si>
  <si>
    <t>MATα cys4Δ::KanMX his3Δ1 leu2Δ0 lys2Δ0 ura3Δ0)</t>
  </si>
  <si>
    <t>cys4Δ - knockout of human CBS orthologog</t>
  </si>
  <si>
    <t>loss of viability upon nutrient depletion (FYPO_0000244)</t>
  </si>
  <si>
    <t xml:space="preserve">catalytic activity (GO:0003824), cysteine synthase activity (GO:0004124)
</t>
  </si>
  <si>
    <t xml:space="preserve">Fitness scores were calculated for each amino acid substitution based on post-selection changes in allele frequencies during competitive yeast complementation assays under different vitamin B6 conditions. Sequencing was performed at a depth of approximately 2 million reads to ensure adequate coverage of variants. An enrichment ratio (Φ) was calculated for each mutation using the adjusted selective and non-selective condition allele frequencies, with wildtype control libraries used to subtract PCR or sequencing errors from the observed allele frequencies. The final fitness score (sMUT) was then normalized using the formula ln(ΦMUT/ΦSTOP)/ln(ΦSYN/ΦSTOP), such that scores were calibrated to 0 for nonsense variants and 1 for synonymous variants. Standard errors for each score were derived via a weighted average of observed variance and a priori estimates, following an error regularization procedure. Well-measured variants were selected by applying filters that required pre-selection allele frequency to be greater than 0.005% and standard error to be less than 0.2.This score set represents growth in the presence of high B6. 
Functional classifications of CBS variants were assigned by establishing statistically-derived thresholds based on empirical null distributions. Using the fitness score distribution of all synonymous variants as an empirical null distribution, FDR-adjusted p-values were assigned to all missense variants. Variants were classified as deleterious when the upper end of the 95% confidence interval of their fitness scores was less than 0.60, corresponding to an FDR of 5%. </t>
  </si>
  <si>
    <t>with two biological replicate cultures for both the selective and non-selective conditions</t>
  </si>
  <si>
    <t>Pearson R = 0.91 to 0.93 (between techinical replicates of each tile)</t>
  </si>
  <si>
    <t>NNK-degenerate codons</t>
  </si>
  <si>
    <t>chemical or heat shock transformation</t>
  </si>
  <si>
    <t>CBS_Sun_2020_low_B6</t>
  </si>
  <si>
    <t>A Deep Mutational Scan of the human cystathionine-beta-synthase (CBS) using functional complementation in yeast via DMS-TileSeq at low levels of Vitamin B6.</t>
  </si>
  <si>
    <t>urn:mavedb:00000005-a-5</t>
  </si>
  <si>
    <t xml:space="preserve">Fitness scores were calculated for each amino acid substitution based on post-selection changes in allele frequencies during competitive yeast complementation assays under different vitamin B6 conditions. Sequencing was performed at a depth of approximately 2 million reads to ensure adequate coverage of variants. An enrichment ratio (Φ) was calculated for each mutation using the adjusted selective and non-selective condition allele frequencies, with wildtype control libraries used to subtract PCR or sequencing errors from the observed allele frequencies. The final fitness score (sMUT) was then normalized using the formula ln(ΦMUT/ΦSTOP)/ln(ΦSYN/ΦSTOP), such that scores were calibrated to 0 for nonsense variants and 1 for synonymous variants. Standard errors for each score were derived via a weighted average of observed variance and a priori estimates, following an error regularization procedure. Well-measured variants were selected by applying filters that required pre-selection allele frequency to be greater than 0.005% and standard error to be less than 0.2.  This score set represents growth in the presence of low B6. 
Functional classifications of CBS variants were assigned by establishing statistically-derived thresholds based on empirical null distributions. Using the fitness score distribution of all synonymous variants as an empirical null distribution, FDR-adjusted p-values were assigned to all missense variants. Variants were classified as deleterious when the upper end of the 95% confidence interval of their fitness scores was less than 0.60, corresponding to an FDR of 5%. </t>
  </si>
  <si>
    <t>Pearson R = 0.83 to 0.92 (between techinical replicates of each tile)</t>
  </si>
  <si>
    <t>CHEK2_Gebbia_2024</t>
  </si>
  <si>
    <t>CHEK2</t>
  </si>
  <si>
    <t>Human CHK2 rescues growth under MMS induced DNA damage in yeast lacking RAD53</t>
  </si>
  <si>
    <t>urn:mavedb:00001205-a-1</t>
  </si>
  <si>
    <t>Gebbia</t>
  </si>
  <si>
    <t>NM_007194</t>
  </si>
  <si>
    <t>ENST00000404276.6</t>
  </si>
  <si>
    <t>NM_007194.4</t>
  </si>
  <si>
    <t>This study evaluated CHEK2 missense variants using a yeast-based functional complementation assay that measured cell recovery after DNA damage. Yeast transformants containing CHEK2 variants were plated onto selective medium with Methyl methanesulfonate (MMS) and incubated them for 3 days followed by extracted plasmid DNA from both non-selected and selected pools for PCR amplification. Control experiments used the S. cerevisiae sml1Δ rad53Δ strain transformed with either an empty vector (negative control) or wild-type CHEK2 (positive control), which were grown alongside the variant library assays under the same conditions.</t>
  </si>
  <si>
    <t>MATa sml1Δ::kanMX rad53Δ::hygMX</t>
  </si>
  <si>
    <t>Chemical Carcinogen (NCIT_C1743)</t>
  </si>
  <si>
    <t>Organo-sulfur Carcinogen (NCIT_C45190)</t>
  </si>
  <si>
    <t>DNA damage checkpoint signaling (GO:0000077)</t>
  </si>
  <si>
    <t>An enrichment log ratio was calculated for each variant by comparing its frequency in post-selection versus pre-selection pools. Errors were corrected by subtraction of the frequency of variants in wild-type control samples. The log ratios were rescaled so that synonymous variants (assumed to be functional) had a median score of 1, and nonsense variants (assumed to be non-functional) had a median score of 0. Measurement error was regularized using a statistical method described by Baldi and Long, with uncertainty propagated via bootstrapping. For quality filtering, variants with fewer than 10 reads in the pre-selection library were filtered out. Variants whose pre-selection frequencies were statistically indistinguishable from wild-type control were removed. Variants with high divergence between replicates were filtered out. For clinical analysis, variants with scores in the ambiguous range (around 0.5) were further filtered.
The CHK2 variant effect map scores were converted into clinical assertions (evidence strength) through a systematic approach using log-likelihood ratios (LLRs). Probability density functions were initially estimated separately for scores from the positive reference variants (pathogenic) and negative reference variants (benign) using kernel density estimation with a Gaussian kernel. The log-likelihood ratio (LLR) was then calculated for each variant as the log ratio of these two probability densities, regularized against a uniform distribution. These LLR values were subsequently calibrated to the ACMG/AMP variant classification framework using the approach described by Tavtigian et al. (2018) as adapted by van Loggerenberg et al. Specific LLR thresholds were established corresponding to different evidence strengths: LLR values above 2.5 were assigned "PS3_very strong" evidence of pathogenicity; LLR values between 1.3 and 2.5 were designated as "PS3_strong" evidence of pathogenicity; LLR values from 0.64 to 1.3 were classified as "PS3_moderate" evidence of pathogenicity; LLR values from 0.32 to 0.64 were deemed "PS3_supporting" evidence of pathogenicity; and LLR values between -0.32 and -1.32 were considered "BS3_supporting" evidence of benignity.</t>
  </si>
  <si>
    <t>Yeast transformants grown in non-selective conditions were split into two replicates plated on selective media.</t>
  </si>
  <si>
    <t>PCC of 0.64 and p &lt; 1e−320 (Replicate log(ɸ) scores)</t>
  </si>
  <si>
    <t>precision oligo-pool-based code alteration (POPCode)</t>
  </si>
  <si>
    <t>Wild Type, Empty Vector/Null, Synonymous, Nonsense</t>
  </si>
  <si>
    <t>hyper-complementing</t>
  </si>
  <si>
    <t>(1.46, inf)</t>
  </si>
  <si>
    <t>CHEK2_McCarthy-Leo_2024</t>
  </si>
  <si>
    <t>Deep mutational scan of CHEK2 function via complementation in rad53 deficient Sacchromyces cerevisiae</t>
  </si>
  <si>
    <t>urn:mavedb:00001280-a-1</t>
  </si>
  <si>
    <t>McCarthy-Leo</t>
  </si>
  <si>
    <t>The CHEK2 ORF was mutagenized by error-prone PCR, cloned into a GAL1-driven yeast expression plasmid, and transformed into a rad53-null yeast strain maintained by a counterselectable RAD53::URA3 plasmid. Functional CHEK2 variants allowed loss of the RAD53::URA3 plasmid and growth on 5-FOA. Variant frequencies were measured before and after selection by Illumina sequencing.</t>
  </si>
  <si>
    <t>YGB272</t>
  </si>
  <si>
    <t>MATa rad53::HIS3 pRAD53::URA3</t>
  </si>
  <si>
    <t>Yeast were plated on medium containing 1 mg/mL 5-FOA. 5-FOA selects against cells retaining the URA3-marked RAD53 plasmid; growth therefore requires complementation by functional human CHK2. No exogenous DNA-damaging agent was used.</t>
  </si>
  <si>
    <t>For each SNV, frequency was calculated as variant-read count divided by coverage at that nucleotide. Frequencies were averaged across two unselected library aliquots and separately across four post-selection screens. The RAD53 Complementation Score, RCS, was calculated as log2(mean frequency after selection / mean frequency before selection). SNVs producing the same protein-level change were averaged. A logistic regression model trained on synonymous and early stop variants classified variants using an RCS cutoff near −1.9.</t>
  </si>
  <si>
    <t>Four independent replicates</t>
  </si>
  <si>
    <t>The complete CHEK2 ORF was amplified and mutagenized using the GeneMorph II kit with Mutazyme II polymerase. Five error-prone PCR reactions were pooled, digested with EcoRI and BamHI, and ligated into the GAL1-driven pRS314-GU-HR yeast expression plasmid. The library contained an average of approximately 1.4 SNVs per CHEK2 ORF and represented 4,885 of 4,887 possible coding SNVs.</t>
  </si>
  <si>
    <t>Wild Type</t>
  </si>
  <si>
    <t>Damaging</t>
  </si>
  <si>
    <t xml:space="preserve">(-Inf, -1.9) </t>
  </si>
  <si>
    <t>Tolerated</t>
  </si>
  <si>
    <t>(-1.9, Inf)</t>
  </si>
  <si>
    <t>CRX_Shepherdson_2024</t>
  </si>
  <si>
    <t>CRX</t>
  </si>
  <si>
    <t>Deep mutational scan of CRX variants in HEK 293-derived cells expressing a synthetic fluorescent reporter</t>
  </si>
  <si>
    <t>urn:mavedb:00001227-a-2</t>
  </si>
  <si>
    <t>Shepherdson</t>
  </si>
  <si>
    <t>ENST00000221996.12</t>
  </si>
  <si>
    <t>NM_000554.6</t>
  </si>
  <si>
    <t>The deep mutational scanning (DMS) method used a HEK293-derived cell line containing both a synthetic _CRX_ transcriptional reporter and a genomic landing pad system. A library of _CRX_ single amino acid substitution variants was integrated into the landing pad so each cell expressed exactly one variant. Cells were then sorted into four bins based on reporter fluorescence, followed by extraction of genomic DNA and sequencing of variant barcodes from each bin. The relative abundance of each variant across the bins was used to calculate a quantitative activity score, allowing measurement of how each substitution affected _CRX_ transcriptional activity.</t>
  </si>
  <si>
    <t>synthetic CRX transcriptional activity reporter (fluorescent); landing pad (CMV promoter with asymmetric lox sites)</t>
  </si>
  <si>
    <t>reporter gene assay (BAO_0003006)</t>
  </si>
  <si>
    <t>core promoter sequence-specific DNA binding (GO:0001046)</t>
  </si>
  <si>
    <t>Reads were cleaned with fastp, followed by barcode extraction and counting using custom Python scripts, with variant barcodes mapped to specific variants based on PacBio sequencing data and error-corrected up to a Hamming distance of 1 for unambiguous matches. Quality control removed vBC-rBC pairs with fewer than three reads and vBCs with fewer than 10 unique rBCs in any fluorescence bin. Activity scores were calculated using a weighted sum approach, where the number of rBCs in each fluorescence bin was divided by the total across all bins, then multiplied by each bin's mean fluorescence intensity, creating a weighted average reflecting each variant's distribution across the fluorescence spectrum. The final activity scores were normalized by dividing by the wild-type _CRX_ score, establishing a relative scale where wild-type equals 1, while statistical confidence was assessed using a two-sample Kolmogorov-Smirnov test comparing each variant's barcode-level activity distribution to wild-type, with FDR correction for multiple testing.
Functional classifications for _CRX_ variants were assigned by combining the normalized activity scores with statistical significance testing. The researchers used a two-sample Kolmogorov-Smirnov (K-S) test to compare each variant's barcode-level activity distribution to that of wild-type _CRX_, generating a p-value that was then FDR-corrected for multiple testing. Classification thresholds were established where variants with significantly low or high activity relative to wild-type (FDR-corrected p-value &lt; 0.05) were categorized accordingly.</t>
  </si>
  <si>
    <t>2 independent biological replicates (starting from library transfection)</t>
  </si>
  <si>
    <t>PCC between 0.54 to 0.63 (pairwise correlation between 4 replicates)</t>
  </si>
  <si>
    <t>Synthesized (Twist Biosciences, San Francisco, CA)</t>
  </si>
  <si>
    <t>Lipofectamine 3000</t>
  </si>
  <si>
    <t>Wild Type, Variants with known function</t>
  </si>
  <si>
    <t>CTCF_IGVF</t>
  </si>
  <si>
    <t>CTCF</t>
  </si>
  <si>
    <t>Saturation genome editing based essentiality screen of CTCF in Hap1 cells.</t>
  </si>
  <si>
    <t>urn:mavedb:00001262-a-3</t>
  </si>
  <si>
    <t>ENST00000264010.10</t>
  </si>
  <si>
    <t>NM_006565.4</t>
  </si>
  <si>
    <t>A cell survival assay was used to measure CTCF essentiality. LIG4-KO, cas9-expressing HAP1 cells were transfected with a sgRNA-expressing plasmid to target CTCF and a library of plasmids containing all SNVs across the target sequence. Cells were harvested at day 5 and day 13. Direct sequencing was then used to determine the frequency of each variant at each time point.</t>
  </si>
  <si>
    <t>All protein coding exons, except parts of exon 3, and exon 11; key domains or regions of protein.</t>
  </si>
  <si>
    <t>DDX3X</t>
  </si>
  <si>
    <t>Saturation genome essentiality screen of DDX3X in HAP1 cells (log fold change at day 15)</t>
  </si>
  <si>
    <t>urn:mavedb:00001228-a-1</t>
  </si>
  <si>
    <t>Radford</t>
  </si>
  <si>
    <t>NM_001356.4</t>
  </si>
  <si>
    <t>ENST00000644876.2</t>
  </si>
  <si>
    <t>NM_001356</t>
  </si>
  <si>
    <t>This study uses saturation genome editing (SGE) based essentiality screen to determine _DDX3X_ function.  HAP1 cells were transfected with sgRNA and HDR template library plasmids, followed by puromycin selection for two days. Cell pellets were harvested at several time points (Days 4, 7, 11, 15, and 21). Genomic DNA was extracted from these samples and direct sequencing was used to determine the variant frequency at each time point.</t>
  </si>
  <si>
    <t>LIG4 knock-out</t>
  </si>
  <si>
    <t>The Log2 Fold-Change (LFC) values at day15 are computed using DESeq2 analysis by comparing sequence read counts to the day4 baseline reference. Normalization of these values is performed by subtracting the median LFC of synonymous and intronic variants, which are presumed to have no functional impact. For each exon, data from two independent sgRNA experiments are combined using Inverse-Variance-Weighted Average and Weighted Sum of Z-Scores to produce more robust combined LFC (cLFC) values. The statistical significance of each variant's deviation from neutral variants is quantified using Benjamini-Hochberg correction, with an FDR threshold of ≤ 0.01 establishing significance.</t>
  </si>
  <si>
    <t>We performed SGE on all 17 coding exons of DDX3X, with two independent sgRNAs and HDR template libraries per exon, performed in triplicate.</t>
  </si>
  <si>
    <t>Not reported for cLFC day15 replicates.  Reported for LFC trend (Pearson’s correlation: LFC-trend = 0.897, LFC: 0.886–0.913 for each timepoint)</t>
  </si>
  <si>
    <t>F9_Popp_2025_carboxy_F9_specific</t>
  </si>
  <si>
    <t>F9</t>
  </si>
  <si>
    <t xml:space="preserve">MultiSTEP assay for coagulation factor IX (F9) surface expression using a carboxylation-sensitive antibody to the F9 Gla domain
</t>
  </si>
  <si>
    <t>urn:mavedb:00001200-d-1</t>
  </si>
  <si>
    <t>Popp</t>
  </si>
  <si>
    <t>ENST00000218099.7</t>
  </si>
  <si>
    <t>NM_000133.4</t>
  </si>
  <si>
    <t>A variant library was introduced into Freestyle 293-F suspension cells equipped with a landing pad. F9 was tethered to the cell surface (C terminus fused to CD28 type I transmembrane domain with a flexible linker), An antibody specific for F9 gamma-carboxylation, a post-translational modification, was used to assess carboxylation.</t>
  </si>
  <si>
    <t>Freestyle 293-F cell (CLO_0037247)</t>
  </si>
  <si>
    <t>Landing pad integrated suspension 293-F cells</t>
  </si>
  <si>
    <t>posttranslation modification assay (BAO_0040001)</t>
  </si>
  <si>
    <t>protein carboxylation (GO:0018214)</t>
  </si>
  <si>
    <t>Scores were calculated using custom scripts. Barcode sequence reads were converted to FASTQ format and paired using PEAR. Barcodes were counted and assigned to variants. Variants below the frequency of 1 x 10^-6, variants present in fewer than two replicates, and variants containing insertions, deletions, or multiple amino acid substitions were removed from the analysis. Scores were calculated from counts for each replicate using a weighted average as described previously for VAMP-seq, with weights of 0.25, 0.5, 0.75, and 1.0 for bins 1-4 respective. These per-replicate scores were min-max normalized such that the median score of the wild-type barcodes was 1.0 and the median score of the lowest 5th percentile of missense variants was 0.0. The final score is the average across replicates. Standard errors were calculated by dividing the standard deviation of the min-max normalized per-replicate scores by the square root of the number of replicates in which the variant was observed.</t>
  </si>
  <si>
    <t>Not provided</t>
  </si>
  <si>
    <t>Mean Pearson's r 0.98</t>
  </si>
  <si>
    <t>Twist</t>
  </si>
  <si>
    <t>293Fectin</t>
  </si>
  <si>
    <t>Amino acid "X” was replaced with “*” to indicate nonsense variants</t>
  </si>
  <si>
    <t>F9_Popp_2025_carboxy_gla_motif</t>
  </si>
  <si>
    <t>MultiSTEP assay for coagulation factor IX (F9) surface expression using a carboxylation-sensitive antibody to the Gla domain motif.</t>
  </si>
  <si>
    <t>urn:mavedb:00001200-e-1</t>
  </si>
  <si>
    <t>A variant library was introduced into Freestyle 293-F suspension cells equipped with a landing pad. F9 was tethered to the cell surface (C terminus fused to CD28 type I transmembrane domain with a flexible linker), An antibody specific for the gla motif gamma-carboxylation, a post-translational modification, was used to assess carboxylation.</t>
  </si>
  <si>
    <t>Mean Pearson's r 0.99</t>
  </si>
  <si>
    <t>F9_Popp_2025_heavy_chain</t>
  </si>
  <si>
    <t xml:space="preserve">MultiSTEP assay for coagulation factor IX (F9) surface expression using F9 heavy chain antibody.
</t>
  </si>
  <si>
    <t>urn:mavedb:00001200-b-1</t>
  </si>
  <si>
    <t>A variant library was introduced into Freestyle 293-F suspension cells equipped with a landing pad. F9 was tethered to the cell surface (C terminus fused to CD28 type I transmembrane domain with a flexible linker), an antibody against the heavy chain of F9 was used to indirectly assess F9 secretion.</t>
  </si>
  <si>
    <t>Mean Pearson's r 0.97</t>
  </si>
  <si>
    <t>F9_Popp_2025_light_chain</t>
  </si>
  <si>
    <t xml:space="preserve">MultiSTEP assay for coagulation factor IX (F9) surface expression using F9 light chain antibody
</t>
  </si>
  <si>
    <t>urn:mavedb:00001200-c-1</t>
  </si>
  <si>
    <t>A variant library was introduced into Freestyle 293-F suspension cells equipped with a landing pad. F9 was tethered to the cell surface (C terminus fused to CD28 type I transmembrane domain with a flexible linker), an antibody against the light chain of F9 was used to indirectly assess F9 secretion.</t>
  </si>
  <si>
    <t>F9_Popp_2025_model</t>
  </si>
  <si>
    <t xml:space="preserve">Predictor trained on MultiSTEP assays for coagulation factor IX (F9).
</t>
  </si>
  <si>
    <t>urn:mavedb:00001200-0-1</t>
  </si>
  <si>
    <t>new score set (trained a predictor)</t>
  </si>
  <si>
    <t>A variant library was introduced into Freestyle 293-F suspension cells equipped with a landing pad, with F9 tethered to the cell surface (C terminus fused to CD28 type I transmembrane domain with a flexible linker). Multiple antibody-based assays were performed to assess different aspects of F9 expression and modification: antibodies specific for F9 gamma-carboxylation and gla motif gamma-carboxylation were used to evaluate this post-translational modification, while antibodies against the heavy chain, light chain, and strep 2 tag of F9 were employed to indirectly assess F9 secretion. The results from these complementary assays were subsequently used to train a Random Forest Classifier.</t>
  </si>
  <si>
    <t>Not Applicable (trained predictor)</t>
  </si>
  <si>
    <t>combined functional data</t>
  </si>
  <si>
    <t>F9_Popp_2025_strep_2</t>
  </si>
  <si>
    <t xml:space="preserve">MultiSTEP assay for coagulation factor IX (F9) surface expression using strep II tag antibody.
</t>
  </si>
  <si>
    <t>urn:mavedb:00001200-a-1</t>
  </si>
  <si>
    <t>A variant library was introduced into Freestyle 293-F suspension cells equipped with a landing pad. F9 was tethered to the cell surface (C terminus fused to CD28 type I transmembrane domain with a flexible linker), an antibody against the strep 2 tag on the F9 protein was used to indirectly assess F9 secretion.</t>
  </si>
  <si>
    <t>Mean Pearson's r 87</t>
  </si>
  <si>
    <t>FKRP_Ma_2024</t>
  </si>
  <si>
    <t>FKRP</t>
  </si>
  <si>
    <t>Saturation mutagenesis of FKRP SNV variants using SMuRF</t>
  </si>
  <si>
    <t>urn:mavedb:00001197-a-5</t>
  </si>
  <si>
    <t>Ma</t>
  </si>
  <si>
    <t>ENST00000318584.10</t>
  </si>
  <si>
    <t>NM_024301.5</t>
  </si>
  <si>
    <t>A saturation mutagenesis-reinforced functional assay (SMuRF) was used to evaluate the effects of all possible coding single-nucleotide variants in FKRP. HAP1 human haploid cells with endogenous FKRP knocked out and DAG1 (dystroglycan) overexpressed were used as the model system. The FKRP variant library was created using a simplified PALS-C method and introduced into cells via lentiviral delivery under a weak UbC promoter to control expression levels. After lentiviral transduction and blasticidin selection, the cells were stained with IIH6C4 antibody (which recognizes glycosylated α-dystroglycan) and sorted using fluorescence-activated cell sorting (FACS) to separate high-glycosylation from low-glycosylation populations. The enrichment of each variant in these populations was then quantified through next-generation sequencing to generate functional scores that reflect the impact of each variant on FKRP's enzymatic activity.</t>
  </si>
  <si>
    <t>FKRP KO and DAG1 overexpression</t>
  </si>
  <si>
    <t>protein glycosylation (GO:0031647)</t>
  </si>
  <si>
    <t>Functional scores in the SMuRF assay were calculated through a multi-step process that quantified the relative enrichment of each variant between sorted cell populations. First, the enrichment of each variant (Evar) was calculated as the ratio of variant reads to total reads at that position within each FACS-sorted population (high-glycosylation and low-glycosylation). Then, the relative enrichment (rE) was determined by dividing the enrichment in the high-glycosylation group by the enrichment in the low-glycosylation group. This was performed separately for both variants and wild-type sequences. The final functional score for each variant was calculated as the ratio of the variant's relative enrichment to that of the wild-type sequence in the corresponding block. After processing data from three biological replicates using the DiMSum pipeline, the scores were normalized relative to synonymous variants (which were assumed to have neutral effects), followed by log2 transformation to produce the final SMuRF scores. Higher SMuRF scores indicate normal functionality in α-DG glycosylation, while lower scores indicate deleterious effects.
Functional classifications for variants were assigned by establishing threshold boundaries on the SMuRF score scale. For FKRP, three boundary scores were determined to create four classification categories: "functional," "damaging mild," "damaging intermediate," and "damaging severe." The boundary between functional and damaging mild (-0.86) was set at the inflection point between ClinVar pathogenic/likely pathogenic and benign/likely benign variant densities. The boundary between damaging mild and damaging intermediate (-1.62) corresponded to the peak value of mild cases from well-curated patient cohorts. Similarly, the boundary between damaging intermediate and damaging severe (-2.24) was set at the peak value observed in severe cases from these cohorts.</t>
  </si>
  <si>
    <t>Three biological transduction replicates</t>
  </si>
  <si>
    <t>Spearman's rho between each replicate = 0.66 to 0.7 (range)</t>
  </si>
  <si>
    <t>proprietary method</t>
  </si>
  <si>
    <t>PALS-C (programmed allelic series with common reagents)</t>
  </si>
  <si>
    <t>random locus viral integration</t>
  </si>
  <si>
    <t>lentivirus transduction</t>
  </si>
  <si>
    <t>Wild Type, Synonymous, Nonsense, Empty Vector/Null</t>
  </si>
  <si>
    <t>functional</t>
  </si>
  <si>
    <t>(-0.86, Inf)</t>
  </si>
  <si>
    <t>damaging mild</t>
  </si>
  <si>
    <t>(-1.62, -0.86)</t>
  </si>
  <si>
    <t>damaging intermediate</t>
  </si>
  <si>
    <t>(-2.24, -1.62)</t>
  </si>
  <si>
    <t>damaging severe</t>
  </si>
  <si>
    <t>(-Inf, -2.24)</t>
  </si>
  <si>
    <t>G6PD_IGVF</t>
  </si>
  <si>
    <t>G6PD</t>
  </si>
  <si>
    <t>VAMP-seq assay for protein abundance based on relative GFP/mCherry fluorescence for G6PD</t>
  </si>
  <si>
    <t>urn:mavedb:00001266-b-1</t>
  </si>
  <si>
    <t>ENST00000393562.10</t>
  </si>
  <si>
    <t>NM_001360016.2</t>
  </si>
  <si>
    <t>VAMP-seq was used to measure G6PD protein abundance. This assay uses HEK293T cells with a landing pad locus to express a library of G6PD variants fused to GFP, with mCherry expressed from an IRES. Cells expressing G6PD variants are sorted by FACS into quartile bins based on the GFP:mCherry ratio. Barcode sequencing was then used to determine the frequency of each variant in each bin.</t>
  </si>
  <si>
    <t>Tet-on landing pad system with BxB1 recombinase sites</t>
  </si>
  <si>
    <t>Sequence files in FASTQ format were produced by bcl2fastq v2.20 and then merged using PEAR41 v0.9.11 with minimum overlap, minimum assembly length and maximum assembly length all set to the barcode length of 18. Barcodes were mapped to sequences using a barcode to variant map created using analysis of PacBio long-read sequencing with Pacybara. Sequences were mapped to protein variants using the protein variant caller in CountESS. Scoring used weighted abundance values which were min-max normalized using WT and the mean of the bottom 5% of missense varaints to equal 1 and 0, respectively. Scores were calculated according to the approach used in Matreyek et al., 2018. Barcodes and sequences of incorrect length, and protein variants represented by less than three distinct barcodes, were removed from the analysis.</t>
  </si>
  <si>
    <t>3 replicates</t>
  </si>
  <si>
    <t>Pearson's rho between each replicate ranged from 0.73 to 0.86</t>
  </si>
  <si>
    <t>site-saturation mutagenesis library purchased from Twist</t>
  </si>
  <si>
    <t>Chemical transfection</t>
  </si>
  <si>
    <t>Fugene 6</t>
  </si>
  <si>
    <t>Wild type</t>
  </si>
  <si>
    <t>GCK_Gersing_2023_complementation</t>
  </si>
  <si>
    <t>GCK</t>
  </si>
  <si>
    <t>Activity of GCK variants measured by functional complementation of an hxk1Δhxk2Δglk1Δ yeast strain.</t>
  </si>
  <si>
    <t>urn:mavedb:00000096-a-1</t>
  </si>
  <si>
    <t>Gersing</t>
  </si>
  <si>
    <t>ENST00000403799.8</t>
  </si>
  <si>
    <t>NM_000162.5</t>
  </si>
  <si>
    <t>This study assessed the activity of human glucokinase (GCK) variants using functional complementation. The hxk1Δhxk2Δglk1Δ yeast strain shows reduced growth on glucose medium which is rescued by expression of human GCK. The growth of yeast cells expressing GCK variants on 0.2% glucose medium was used as a read-out of GCK activity.</t>
  </si>
  <si>
    <t>BY4741</t>
  </si>
  <si>
    <t>MATa his3Δ1 leu2Δ0 met15Δ0 ura3Δ0 his3Δ1 leu2Δ0 met15Δ0 ura3Δ0 hxk1Δhxk2Δglk1Δ</t>
  </si>
  <si>
    <t>hxk1Δhxk2Δglk1Δ - knockout of human GCK orthologs</t>
  </si>
  <si>
    <t>carbon source (MCO_0000864)</t>
  </si>
  <si>
    <t>D-glucose (CHEBI_17634)</t>
  </si>
  <si>
    <t>catalytic activity (GO:0003824), gluconokinase activity (GO:0046316)</t>
  </si>
  <si>
    <t>loss_of_function_variant (SO:0002054), 
gain_of_function_variant (SO:0002053)</t>
  </si>
  <si>
    <t xml:space="preserve">The TileSeqMave (version 0.6.0.9000) and TileSeq mutation count (version 0.5.9) pipelines were used to process the sequencing data. 
Activity scores for glucokinase (GCK) variants were calculated based on the change in variant frequency before and after selection. The relative frequency of each variant was determined from deep sequencing data obtained pre-selection and post-selection. These frequency changes were then converted to activity scores through a normalization process where synonymous variants were scaled to have scores centered on one, and nonsense variants were scaled to have scores centered on zero. Bayesian regularization was applied to refine the standard deviations associated with each score, improving the statistical robustness of the measurements.
Activity scores were used to classify GCK variants into functional categories based on receiver-operating characteristic (ROC) analyses. These analyses were performed using previously classified pathogenic and benign variants as a training set. The threshold for variants associated with GCK-MODY (maturity-onset diabetes of the young) was determined to be 0.66 (AUC = 0.88), meaning variants with activity scores below this value were classified as loss-of-function. Variants with activity scores above 1.18 were predicted to be associated with hyperinsulinemic hypoglycemia (HH) (AUC = 0.94), classifying them as gain-of-function variants. Variants with scores between these thresholds were considered to have wild-type-like activity. 
</t>
  </si>
  <si>
    <t>The two replicates pre-selection were taken from the same pool of yeast transformants, while the two replicates post-selection were derived from the same pool of yeast transformants that were selected for GCK activity separately.</t>
  </si>
  <si>
    <t>Correlation between replicates not reported.</t>
  </si>
  <si>
    <t>POPCode mutagenesis, degenerate NNK codon</t>
  </si>
  <si>
    <t>Decreased activity</t>
  </si>
  <si>
    <t>(-Inf, 0.66)</t>
  </si>
  <si>
    <t>Hyperactive</t>
  </si>
  <si>
    <t>(1.18, Inf)</t>
  </si>
  <si>
    <t>Synonymous</t>
  </si>
  <si>
    <t>(0.66,1.18)</t>
  </si>
  <si>
    <t>GCK_Gersing_2024_abundance</t>
  </si>
  <si>
    <t>Cellular protein abundance of glucokinase (GCK) variants measured by DHFR-PCA in yeast.</t>
  </si>
  <si>
    <t>urn:mavedb:00000096-b-1</t>
  </si>
  <si>
    <t>This study assayed the abundance of human glucokinase (GCK) variants using DHFR-PCA. In BY4741 yeast cells, methotrexate-resistant DHFR was expressed as two fragments; one fragment was overexpressed freely while the other was fused to libraries of GCK variants. The yeast cells were grown on medium with methotrexate to inhibit the endogenous DHFR, such that yeast growth could be used as a read-out of GCK abundance.</t>
  </si>
  <si>
    <t xml:space="preserve">Variant frequencies were first determined by sequencing the GCK gene library both before and after selection on methotrexate medium, where growth was reflected by protein abundance levels. The sequencing was performed across 14 overlapping tiles covering the entire GCK ORF, with each tile being sequenced on both strands to minimize base-calling errors. The raw sequencing reads were processed by the TileSeqMave and TileSeq mutation count bioinformatic pipelines, and the relative enrichment or depletion of each variant following selection was calculated. Potential PCR errors were accounted for by subtracting variant frequencies observed in a wild-type GCK control from those in both the non-selective and selective conditions. Unreliable data points were removed through quality filtering based on the agreement between replicate measurements and variant counts in the non-selective condition. The resulting abundance scores were statistically normalized so that a median score of zero was assigned to nonsense variants (which typically eliminate protein function), while a median score of one was assigned to synonymous variants (which generally maintain normal protein levels). Standard errors for these abundance scores were refined using Bayesian regularization, whereby empirical standard errors were combined with prior estimates obtained through linear regression of fitness scores against read counts, and more robust error estimates were provided particularly for variants with low read counts.
A threshold of 0.58 was determined for the abundance scores by fitting the distribution with three Gaussian components, representing nonsense-like variants, intermediate variants, and synonymous-like variants. The intersection point between the second and third Gaussian distributions was selected as the cutoff value to objectively classify variants as having decreased or normal abundance. Variants were classified as having low abundance if their abundance score fell below the 0.58 threshold, while those with scores above this value were considered to have normal abundance. </t>
  </si>
  <si>
    <t>The two replicates pre-selection were taken from the same pool of yeast transformants, while the two replicates post-selection were derived from the same pool of yeast transformants that were selected for GCK abundance separately.</t>
  </si>
  <si>
    <t>Synonymous, Nonsense, Empty Vector/Null, Wild Type, Variants with known function</t>
  </si>
  <si>
    <t>Low abundance</t>
  </si>
  <si>
    <t>(-Inf, 0.58)</t>
  </si>
  <si>
    <t>HMBS_van_Loggerenberg_2023_combined</t>
  </si>
  <si>
    <t>HMBS</t>
  </si>
  <si>
    <t>Yeast complementation assay for HMBS variants, combined isoforms scores</t>
  </si>
  <si>
    <t>urn:mavedb:00000108-0-1</t>
  </si>
  <si>
    <t>van_Loggerenberg</t>
  </si>
  <si>
    <t>NM_000190.4</t>
  </si>
  <si>
    <t>ENST00000652429.1</t>
  </si>
  <si>
    <t>HMBS variants were introduced into yeast with a temperature sensitive ortholog of HMBS (HEM3). ts HEM3 yeast strain does not grow well at non-permissive temperatures. Introducing HMBS variants for functional rescue helps determine and differentiate functional and non-functional HMBS variants. Erythroid specific and ubiquitous isoforms were tested.
From both erythroid-specific and ubiquitous HMBS maps, a simple weighted average was calculated for each variant using the equation (FS1/σ21+FS2/σ22)/(1/σ21+1/σ22). A single combined estimate of measurement errors for scores in this map was derived by σ2 = 1/(1/(σ21+σ22)).</t>
  </si>
  <si>
    <t>MATα ts-hem3::KanR his3Δ1 leu2Δ0 ura3Δ0</t>
  </si>
  <si>
    <t>ts-hem3 - temperature sensitive human HMBS ortholog</t>
  </si>
  <si>
    <t xml:space="preserve">catalytic activity (GO:0003824), hydroxymethylbilane synthase activity (GO:0004418)
</t>
  </si>
  <si>
    <t>The combined map scores were calculated as a weighted average when scores from both isoforms were available: (FS₁/σ²₁+FS₂/σ²₂)/(1/σ²₁+1/σ²₂), where FS₁ and FS₂ are the functional scores from each isoform and σ²₁ and σ²₂ are their respective variances. When only one score was available, that score was used directly in the combined map. 
For variant classification purposes, the functional scores were further transformed into log likelihood ratios of pathogenicity (LLRp). This was accomplished through kernel density estimation of the distributions of scores for known pathogenic and benign variants. The resulting LLRp value, calculated as log(π⁺(s)/π⁻(s)), represents the logarithm of the odds that a variant with score s belongs to the pathogenic rather than benign distribution. These LLRp values were calibrated to ACMG/AMP evidence strength categories following the approach of Tavtigian et al., establishing thresholds for different levels of evidence supporting pathogenicity or benignity.</t>
  </si>
  <si>
    <t>HMBS_van_Loggerenberg_2023_erythroid</t>
  </si>
  <si>
    <t>Yeast complementation assay for HMBS variants erythroid specific isoform</t>
  </si>
  <si>
    <t>urn:mavedb:00000108-b-1</t>
  </si>
  <si>
    <t>HMBS variants were introduced into yeast with a temperature sensitive ortholog of HMBS (HEM3). ts HEM3 yeast strain does not grow well at non-permissive temperatures. Introducing HMBS variants for functional rescue helps determine and differentiate functional and non-functional HMBS variants. Erythroid specific and ubiquitous isoforms were tested.This experiment reflects the erythroid specific isoform.</t>
  </si>
  <si>
    <t>Functional impact scores were calculated using an enrichment ratio (Φ) obtained from the ratio of adjusted variant frequencies in selective to non-selective libraries, after subtracting PCR and sequencing errors. A normalized score (FSMUT) was then computed as ln(ΦMUT/ΦSTOP)/ln(ΦSYN/ΦSTOP), where ΦMUT represents the enrichment ratio for a given variant, ΦSTOP is the median enrichment ratio of nonsense variants, and ΦSYN is the median enrichment ratio of synonymous variants. Scores were rescaled such that FSMUT equals 0 when ΦMUT equals ΦSTOP and FSMUT equals 1 when ΦMUT equals ΦSYN. Regional differences in selection stringency were addressed by rescaling the erythroid isoform scores to minimize the average Euclidean distance between scores in the maps.</t>
  </si>
  <si>
    <t>two biological replicates</t>
  </si>
  <si>
    <t>Synonymous, Nonsense, Wild Type, Empty Vector/Null, Variants with known function</t>
  </si>
  <si>
    <t>HMBS_van_Loggerenberg_2023_ubquitous</t>
  </si>
  <si>
    <t>Yeast complementation assay for HMBS variants, ubiquitous specific isoform</t>
  </si>
  <si>
    <t>urn:mavedb:00000108-a-1</t>
  </si>
  <si>
    <t>HMBS variants were introduced into yeast with a temperature sensitive ortholog of HMBS (HEM3). ts HEM3 yeast strain does not grow well at non-permissive temperatures. Introducing HMBS variants for functional rescue helps determine and differentiate functional and non-functional HMBS variants. Erythroid specific and ubiquitous isoforms were tested. This experiment reflects the ubiquitous isoform.</t>
  </si>
  <si>
    <t>JAG1_Gilbert_2024</t>
  </si>
  <si>
    <t>JAG1</t>
  </si>
  <si>
    <t>Cell surface expression of JAG1 variants in NIH3T3 cells.</t>
  </si>
  <si>
    <t>urn:mavedb:00001198-a-1</t>
  </si>
  <si>
    <t>Gilbert</t>
  </si>
  <si>
    <t>NM_000214.3</t>
  </si>
  <si>
    <t>ENST00000254958.10</t>
  </si>
  <si>
    <t>This study assayed the cell surface expression of JAG1. NIH3T3 cells were lentivirus transduced a JAG1 variant library and were sorted using flow cytometry based on membrane expression levels. Cells were separated into high membrane expression (APC high; GFP+) and low membrane expression (APC low; GFP+) populations. Amplicon-based long-read PacBio sequencing was used to analyze the genomic DNA from the sorted cell populations.</t>
  </si>
  <si>
    <t>3T3 cell (CLO_0001345)</t>
  </si>
  <si>
    <t>localization assay (BAO_0002196)</t>
  </si>
  <si>
    <t>protein localization to plasma membrane (GO:0072659)</t>
  </si>
  <si>
    <t>Functional scores were calculated through a multi-step statistical framework applied to sequencing data from flow cytometry-sorted cell populations. First, variant frequencies within each bin were determined by dividing raw counts by the sum of all counts in that bin. These frequencies were then weighted, with the APC low bin assigned a value of 0.1 and APC high bin assigned 0.9, and normalized using experimental data from positive and negative controls to obtain a variant score. The final membrane expression score was averaged from replicate runs with a minimum of two replicates required, and confidence intervals were calculated using standard error.
Classification of variants as functionally normal or abnormal was established using a control set of 111 known/predicted benign and 70 pathogenic variants. The lowest scoring 5th percentile of benign variants defined the upper bound of the functionally abnormal threshold. Variants with both a mean score and an upper confidence interval below this threshold were classified as functionally abnormal, while variants with a mean below the threshold but an upper confidence interval crossing the threshold were classified as likely to be functionally abnormal.</t>
  </si>
  <si>
    <t>Seven replicate sorts of the SSVL (site saturation variant library) were collected.</t>
  </si>
  <si>
    <t>single-segment (long read)</t>
  </si>
  <si>
    <t>Synonymous, Variants with known function, Empty Vector/Null, Wild Type</t>
  </si>
  <si>
    <t>Added aa_ref, aa_alt, and author-encoded functional class columns in supplemental file</t>
  </si>
  <si>
    <t>KCNE1_Muhammad_2024_potassium_flux</t>
  </si>
  <si>
    <t>KCNE1</t>
  </si>
  <si>
    <t>Potassium influx survival scores for KCNE1</t>
  </si>
  <si>
    <t>urn:mavedb:00000674-b-1</t>
  </si>
  <si>
    <t>Muhammad</t>
  </si>
  <si>
    <t>NM_001127670.4</t>
  </si>
  <si>
    <t>ENST00000416357.6</t>
  </si>
  <si>
    <t>AA 38 residue mismatch between transcripts (reference: Ser; authors: Gly)</t>
  </si>
  <si>
    <t>A cell fitness assay was used to measure KCNE1 variant function. HEK293T landing pad cells were engineered to stably express a gain-of-function KCNQ1-S140G variant, which causes increased potassium efflux at resting membrane potential when paired with functional KCNE1, leading to decreased cell viability. The KCNE1 variant library was integrated into these cells using site-specific recombination, cultured with IKs blocker HMR 1556 during initial selection, then grown for 20 days after drug removal. Genomic DNA was extracted at days 0, 8, and 20, and barcodes were PCR-amplified and sequenced to track depletion of variants over time, with cells expressing loss-of-function KCNE1 variants persisting while those with functional KCNE1 being depleted from the population.</t>
  </si>
  <si>
    <t>Tet-on landing pad system with BxB1 recombinase sites plus KCNQ1-S140G (gain of function)</t>
  </si>
  <si>
    <t xml:space="preserve">monoatomic ion transport (GO:0006811), potassium channel activity (GO:0005267)
</t>
  </si>
  <si>
    <t>Functional scores were calculated from the temporal depletion of variant barcodes between day 0, day 8, and day 20 timepoints, with greater depletion indicating more functional potassium channels. Barcode read counts at each timepoint were normalized to account for sequencing depth differences, and the ratio of variant frequencies between day 0 and day 20 was calculated. These depletion ratios were then normalized against the median depletion of synonymous variants to generate calibrated functional scores where 1.0 represents wildtype-like function. Mathematical modeling of the temporal depletion patterns was used to improve score accuracy.
Classification thresholds were established based on the distribution of control variants. Loss-of-function variants were defined as having score estimates below 0.09 (97.5th percentile of early nonsense variants). Partial loss-of-function variants had scores between 0.09 and 0.44 (2.5th percentile of synonymous variants). Normal function variants fell between 0.44 and 1.53 (2.5th and 97.5th percentiles of synonymous variants). Gain-of-function variants had scores above 1.53. Variants with confidence intervals spanning these thresholds were assigned to "possible" intermediate categories to reflect uncertainty in classification.</t>
  </si>
  <si>
    <t>Each assay was conducted in triplicate,
and each variant was represented by an average of 30.7
barcodes in each replicate, allowing for internal and
external validation.</t>
  </si>
  <si>
    <t>Spearman's ρ=0.81 for all 3 pairwise comparisons</t>
  </si>
  <si>
    <t>Saturation mutagenesis: KCNE1-HA, was subcloned into the pIRES2-dsRED2 plasmid using PCR with ag409 and ag410 and NotI restriction digestion (NEB) to create pKCNE1-HA:pIRES2:dsRED2. All plasmid sequences were verified with Sanger sequencing. Using NotI restriction digestion, the KCNE1-HA gene was moved to an AttB plasmid containing pIRES:mCherry:BlastR to create pKCNE1-HA:IRES:mCherry:BlastR (mCherry for fluorescence and blasticidin resistance)</t>
  </si>
  <si>
    <t>Variants with known abnormal function</t>
  </si>
  <si>
    <t>KCNE1_Muhammad_2024_trafficking</t>
  </si>
  <si>
    <t>Trafficking scores for KCNE1 in the absence of KCNQ1</t>
  </si>
  <si>
    <t>urn:mavedb:00000674-c-1</t>
  </si>
  <si>
    <t>A flow cytometry based assay was used to measure KCNE1 surface expression.  Barcoded, hemagglutinin (HA) tagged KCNE1 variants were integrated into HEK293T cells using a Bxb1-mediated landing pad system that allowed standardized expression of a single variant per cell, with or without constitutively expressed KCNQ1. Cells were labeled with fluorescent-conjugated anti-HA antibodies, FACS-sorted into four equal-sized bins based on surface expression levels, and sequenced to determine the frequency of variants in each bin.
This experiment represents trafficking scores of KCNE1 expressed without KCNQ1.</t>
  </si>
  <si>
    <t>cell morphology assay (BAO_0002991)</t>
  </si>
  <si>
    <t>Trafficking scores were derived from the distribution of variant barcodes across four fluorescence-based sorting bins, with cell surface HA labeling determining bin assignment. A weighted average calculation was used where the contribution of each bin was weighted by its fluorescence intensity level to generate a normalized trafficking score for each variant. Normalization was performed relative to the median scores of synonymous variants, resulting in a score where 1.0 represents wildtype-like trafficking. Each variant score was calculated using approximately 30.7 barcodes per replicate, allowing for precise estimation of 95% confidence intervals around each score.
Statistical thresholds for variant classification were established at specific percentile points of control distributions. Loss-of-trafficking variants were defined as having score estimates below 0.2 (97.5th percentile of early nonsense variants). Partial loss-of-trafficking variants had scores between 0.2 and 0.83 (2.5th percentile of synonymous variants). Normal trafficking variants fell between 0.83 and 1.18 (2.5th and 97.5th percentiles of synonymous variants). Gain-of-trafficking variants had scores above 1.18. Variants with confidence intervals spanning these thresholds were assigned to "possible" categories.</t>
  </si>
  <si>
    <t>Each experiment was
performed in triplicate (three independently transfected,
stained, sorted, and sequenced replicates). Two trafficking experimental replicates were performed with cells in suspension. One
replicate was stained while cells were adhered on the dish</t>
  </si>
  <si>
    <t>Spearman's ρ=0.83–0.89 for pairwise comparisons, p&lt;0.001</t>
  </si>
  <si>
    <t>KCNE1_Muhammad_2024_trafficking_WT_background_DN</t>
  </si>
  <si>
    <t>Trafficking scores for KCNE1 in the presence of KCNQ</t>
  </si>
  <si>
    <t>urn:mavedb:00000674-a-2</t>
  </si>
  <si>
    <t>A flow cytometry based assay was used to measure KCNE1 surface expression.  Barcoded, hemagglutinin (HA) tagged KCNE1 variants were integrated into HEK293T cells using a Bxb1-mediated landing pad system that allowed standardized expression of a single variant per cell, with or without constitutively expressed KCNQ1. Cells were labeled with fluorescent-conjugated anti-HA antibodies, FACS-sorted into four equal-sized bins based on surface expression levels, and sequenced to determine the frequency of variants in each bin.
This experiment represents trafficking scores of KCNE1 co-expressed with WT KCNQ1.</t>
  </si>
  <si>
    <t>Tet-on landing pad system with BxB1 recombinase sites + WT KCNQ1</t>
  </si>
  <si>
    <t>KCNH2_Jiang_2022</t>
  </si>
  <si>
    <t>KCNH2</t>
  </si>
  <si>
    <t>Arrayed automated patch clamp experiment for 89 KCNH2 variants</t>
  </si>
  <si>
    <t>urn:mavedb:00001230-a-2</t>
  </si>
  <si>
    <t>Jiang</t>
  </si>
  <si>
    <t>NM_000238.4</t>
  </si>
  <si>
    <t>ENST00000262186.10</t>
  </si>
  <si>
    <t>This _KCNH2_ automated patch-clamp assay employs bicistronic plasmids expressing both wild-type and variant _KCNH2_ alleles in Flp-In HEK293 cells to mimic the heterozygous condition found in LQTS2 patients. Using a SyncroPatch 384PE platform, the protocol measures peak tail current density at -50 mV following depolarization to +40 mV for 1 second, with quality control criteria including seal resistance &gt;300 MΩ, capacitance of 5-50 pF, and minimal leak current.</t>
  </si>
  <si>
    <t>HEK-293 cell (CLO_0007532)</t>
  </si>
  <si>
    <t>Flp-In HEK 293</t>
  </si>
  <si>
    <t>Direct protein function</t>
  </si>
  <si>
    <t>ion channel assay (BAO_0002997), electrophysiological method (BAO_0000424)</t>
  </si>
  <si>
    <t>current density (ICEPO:0000028)</t>
  </si>
  <si>
    <t>Current density was measured at -50 mV following a depolarization step to +40 mV for 1 second, capturing channel trafficking and gating characteristics simultaneously. Raw current densities were transformed using a square root function to normalize the positively skewed cell-to-cell variability data into a Gaussian distribution. The transformed measurements were then normalized to wild-type current density from respective plates to control for plate effects, with each variant tested across four separate plates to ensure reproducibility. Quality control criteria were strictly applied, including seal resistance &gt;300 MΩ, capacitance of 5–50 pF, and leak-corrected current &lt;40 pA.
A threshold for functionally normal versus abnormal variants was established using mean ± 2 standard deviations of normalized peak tail current densities from wild-type and 14 benign/likely benign variant controls. The odds of pathogenicity was calculated based on assay results using formulas derived by the ClinGen Sequence Variant Interpretation Working Group. Variants with current densities 2-4 standard deviations below the mean were classified as having partial loss of function and assigned supporting-level evidence (PS3_supporting), while those with densities &gt;4 standard deviations below the mean were designated as having severe loss of function and assigned moderate-level evidence (PS3_moderate).</t>
  </si>
  <si>
    <t>two independent batches with two technical replicates each</t>
  </si>
  <si>
    <t>Wild Type, Empty Vector/Null, Variants with known function</t>
  </si>
  <si>
    <t>Normal function</t>
  </si>
  <si>
    <t>[0.78,1.22]</t>
  </si>
  <si>
    <t>Abnormal function</t>
  </si>
  <si>
    <t>(-Inf, 0.78)</t>
  </si>
  <si>
    <t>Excel file reformatted to run through script; reformatting performed in Excel</t>
  </si>
  <si>
    <t>KCNH2_Kozek_Glazer_2020</t>
  </si>
  <si>
    <t>Cell surface localization assay of 11 residues in the S5 helix of KCNH2</t>
  </si>
  <si>
    <t>urn:mavedb:00001229-a-2</t>
  </si>
  <si>
    <t>Kozek_Glazer</t>
  </si>
  <si>
    <t>ENST00000262186</t>
  </si>
  <si>
    <t>A flow cytometry-based assay was used to measure KV11.1 (_KCNH2_) surface expression. A library of barcoded _KCNH2_ variants was introduced into HEK293T cells, and cell surface expression was measured using HA-tag antibody staining of an epitope inserted in the first extracellular loop. Fluorescence-activated cell sorting was used to separate variants with different levels of trafficking to the cell surface. High-throughput sequencing of the barcoded variants was used to measure the frequency of each variant in the sorted cell populations.</t>
  </si>
  <si>
    <t>Functional scores were calculated using an approach that transformed high-throughput sequencing read counts into normalized trafficking scores. First, the relative abundance of each variant barcode was determined in each sorted cell pool by dividing its read count by the total number of reads in that pool. These relative abundances were then transformed using a weighted average formula: Score = Σ(wi × pi), where pi represents the proportion of a variant in pool i, and wi represents the weight assigned to that pool based on its surface expression level. The weights were calibrated using known control variants to maximize separation between wildtype and non-trafficking variants, with highest weight assigned to the pool with greatest surface expression.
Functional classification thresholds were established through empirical analysis of the score distribution across all 220 variants tested. The score of 75 was selected as the threshold for wildtype-like function based on the mean score of synonymous variants (101) minus approximately 25% to account for natural variation. The severe loss-of-trafficking threshold of 25 was determined based on the distribution of nonsense variants, which had a mean score of 5, with a generous margin added to minimize false positives. The intermediate thresholds (50) was positioned to create equal-width classification bins between wildtype-like and severe loss-of-trafficking categories. These thresholds were validated by examining the distribution of previously characterized variants and confirmed by single-variant validation experiments, which showed that variants with scores below 25 consistently failed to produce measurable currents in electrophysiological assays.</t>
  </si>
  <si>
    <t>separate transfections of the mutant library pool</t>
  </si>
  <si>
    <t>Spearman’s rho 0.77</t>
  </si>
  <si>
    <t>WT-like</t>
  </si>
  <si>
    <t>(75, Inf)</t>
  </si>
  <si>
    <t>Mild loss-of-trafficking</t>
  </si>
  <si>
    <t>(50,75)</t>
  </si>
  <si>
    <t>loss-of-trafficking</t>
  </si>
  <si>
    <t>(25,50)</t>
  </si>
  <si>
    <t>severe loss-of-trafficking</t>
  </si>
  <si>
    <t>(-Inf, 25)</t>
  </si>
  <si>
    <t>KCNH2_O_Neill_2024_surface_expression</t>
  </si>
  <si>
    <t>Cell surface expression deep mutational scan of KCNH2 variants in HEK293T cells</t>
  </si>
  <si>
    <t>urn:mavedb:00001231-a-2</t>
  </si>
  <si>
    <t>O_Neill</t>
  </si>
  <si>
    <t>A flow cytometry based assay was used to measure membrane concentration of _KCNH2_.  A barcoded _KCNH2_ library was then stably integrated into landing-pad HEK293 cells using BxB1 recombinase. After inducing channel expression, cells were stained with a hemagglutinin (HA) antibody and flow-sorted based on cell surface KV11.1 abundance, separating cells into bins with high versus low surface expression. DNA was then extracted from each bin, and the barcodes were sequenced to quantify variant abundance in each pool.</t>
  </si>
  <si>
    <t>The trafficking scores were computed through a sequence-based quantification system where barcode abundance in each fluorescence-sorted cell bin was used as a proxy for variant protein expression at the cell surface. Computational analysis involved normalizing the frequency distribution of variant-specific barcodes across different fluorescence intensity bins relative to wild-type barcode distribution patterns. A weighted scoring algorithm was implemented that considered the relative enrichment or depletion of variant barcodes in high-fluorescence versus low-fluorescence bins, with scores expressed as percentages of wild-type trafficking efficiency. Statistical quality control measures were applied to filter out variants with high variability, specifically excluding those with standard error of the mean exceeding 0.20 across six biological replicates. 
Z-score thresholds derived from the distribution of benign/likely benign control variants (-2 to +2) were used to define the normal trafficking range (58% to 153% of wild-type), enabling the classification of variants as normal or abnormal functioning.</t>
  </si>
  <si>
    <t>2 independent barcoded KCNH2 variant libraries with unique barcode-variant associations, which were transfected into 3 independent HEK293 cell lines, resulting in 6 total biological replicates; 2 to 9 barcodes per variant</t>
  </si>
  <si>
    <t>Saturation mutagenesis was performed with degenerate primers over on a “tile” of KCNH2 and then digested and ligated into a plasmid containing full-length cDNA of KCNH2 with a hemagglutinin (HA) tag. We then introduced molecular barcodes into variant and wild type (WT) KCNH2 plasmids to enable facile sequencing-based quantification.</t>
  </si>
  <si>
    <t>FuGene 6</t>
  </si>
  <si>
    <t>(58, 153)</t>
  </si>
  <si>
    <t>Loss of function</t>
  </si>
  <si>
    <t>(-Inf, 58)</t>
  </si>
  <si>
    <t>KCNQ4</t>
  </si>
  <si>
    <t>Normalized currents of 4,085 KCNQ4 missense SNVs in the homozygous state</t>
  </si>
  <si>
    <t>urn:mavedb:00000094-a-2, urn:mavedb:00000094-a-13</t>
  </si>
  <si>
    <t>Zheng</t>
  </si>
  <si>
    <t>NM_004700.4</t>
  </si>
  <si>
    <t>ENST00000347132.10</t>
  </si>
  <si>
    <t>A whole-cell patch-clamp technique in Chinese hamster ovary (CHO-K1) cells was used to measure KCNQ4 channel function. Cells were transfected with wild-type or variant KCNQ4 plasmids and recordings were performed 24 hours after transfection. The assay measured whole-cell currents under voltage steps from -100mV to +40mV, with a holding potential of -80mV, and analyzed two key parameters: peak currents and half-maximal activation voltage (V1/2). To mimic both homozygous and heterozygous conditions, two types of expression studies were performed. For homozygous testing, single KCNQ4 variants were expressed alone and measured channel function. For heterozygous testing (mimicking DFNA2 patient conditions), variants were co-expressed with WT KCNQ4 at a 1:1 ratio to measure heteromeric channel function. 
This data set represents the peak current density measurements in the homozygous state.</t>
  </si>
  <si>
    <t>CHO-K1 cell (CLO_0002191)</t>
  </si>
  <si>
    <t>Whole-cell current amplitude scores at +40 mV for all missense SNVs of KCNQ4 were normalized by whole-cell current of WT KCNQ4 at +40 mV. Only variants that contained at least three replicates are included. Variants with whole-cell current amplitude score less than 0.54 were classified as current-reduced variants. Variants with whole-cell current amplitude score more than 2.08 were classified as current-increased variants. Continuous curves were generated by plotting the normalized tail current against membrane potentials using the Boltzmann function I/Imax = 1/(1+ (exp(V1/2-Vm)k)), where I is the magnitude of the tail current, Imax is the maximum current magnitude, V1/2 is the half-activation voltage, Vm is the membrane potential, and k = RT/zF is the slope factor. Only variants that contained at least three replicates are included. Variants with shifted V1/2 more than +10 mV were classified as LOF. Variants with shifted V1/2 more than -10 mV were classified as GOF. Then to mimic the effect of KCNQ4 variants in heterozygous DFNA2 patients and determine the dominant-negative effects, 1,059 LOF mutants and 114 GOF mutants were co-transfected with wild-type KCNQ4.
This data set represents the peak current density measurements in the homozygous state.</t>
  </si>
  <si>
    <t>a minimum of 3 cells were recorded per variant</t>
  </si>
  <si>
    <t>WT KCNQ4 and variants used in patch-clamp recordings were fused with EGFP at the C terminus as a transfection marker. A modified c-Myc tag was inserted in the extracellular domain of the KCNQ4 channel. For the cotransfection experiment, EGFP was substituted with mCherry by a homologous recombination method and verified by Sanger sequencing. Additionally, full-length. cDNAs encoding WT KCNQ4 were also engineered in the vector pIRES2-EGFP as a control. Point-mutated plasmids were constructed based on PCR and homologous recombination and were Sanger sequenced to confirm that the mutation site was included and no other mutations were introduced.</t>
  </si>
  <si>
    <t>Wild Type, Empty Vector/Null</t>
  </si>
  <si>
    <t>Reduced current</t>
  </si>
  <si>
    <t>[0,0.54)</t>
  </si>
  <si>
    <t>Normal current</t>
  </si>
  <si>
    <t>(0.54,2.08]</t>
  </si>
  <si>
    <t>Enhanced current</t>
  </si>
  <si>
    <t>(2.08, Inf)</t>
  </si>
  <si>
    <t>V1/2 of 3,319 KCNQ4 missense SNVs in the homozygous state</t>
  </si>
  <si>
    <t>urn:mavedb:00000094-a-3, urn:mavedb:00000094-a-12</t>
  </si>
  <si>
    <t>A whole-cell patch-clamp technique in Chinese hamster ovary (CHO-K1) cells was used to measure KCNQ4 channel function. Cells were transfected with wild-type or variant KCNQ4 plasmids and recordings were performed 24 hours after transfection. The assay measured whole-cell currents under voltage steps from -100mV to +40mV, with a holding potential of -80mV, and analyzed two key parameters: peak currents and half-maximal activation voltage (V1/2). To mimic both homozygous and heterozygous conditions, two types of expression studies were performed. For homozygous testing, single KCNQ4 variants were expressed alone and measured channel function. For heterozygous testing (mimicking DFNA2 patient conditions), variants were co-expressed with WT KCNQ4 at a 1:1 ratio to measure heteromeric channel function. 
This data set represents the half-maximal activation voltage measurements in the homozygous state.</t>
  </si>
  <si>
    <t>voltage dependence of activation (ICEPO:0000006)</t>
  </si>
  <si>
    <t>Whole-cell current amplitude scores at +40 mV for all missense SNVs of KCNQ4 were normalized by whole-cell current of WT KCNQ4 at +40 mV. Only variants that contained at least three replicates are included. Variants with whole-cell current amplitude score less than 0.54 were classified as current-reduced variants. Variants with whole-cell current amplitude score more than 2.08 were classified as current-increased variants. Continuous curves were generated by plotting the normalized tail current against membrane potentials using the Boltzmann function I/Imax = 1/(1+ (exp(V1/2-Vm)k)), where I is the magnitude of the tail current, Imax is the maximum current magnitude, V1/2 is the half-activation voltage, Vm is the membrane potential, and k = RT/zF is the slope factor. Only variants that contained at least three replicates are included. Variants with shifted V1/2 more than +10 mV were classified as LOF. Variants with shifted V1/2 more than -10 mV were classified as GOF. Then to mimic the effect of KCNQ4 variants in heterozygous DFNA2 patients and determine the dominant-negative effects, 1,059 LOF mutants and 114 GOF mutants were co-transfected with wild-type KCNQ4.
This data set represents the half-maximal activation voltage measurements in the homozygous state.</t>
  </si>
  <si>
    <t>Large rightward shift</t>
  </si>
  <si>
    <t>(10, Inf)</t>
  </si>
  <si>
    <t>Normal V1/2</t>
  </si>
  <si>
    <t>[-10,10]</t>
  </si>
  <si>
    <t>Large leftward shift</t>
  </si>
  <si>
    <t>(-Inf, -10)</t>
  </si>
  <si>
    <t>LARGE1_Ma_2024</t>
  </si>
  <si>
    <t>LARGE1</t>
  </si>
  <si>
    <t>Saturation mutagenesis of LARGE1 SNV variants using SMuRF</t>
  </si>
  <si>
    <t>urn:mavedb:00001254-a-1</t>
  </si>
  <si>
    <t>ENST00000397394.8</t>
  </si>
  <si>
    <t>NM_133642.5</t>
  </si>
  <si>
    <t>A saturation mutagenesis-reinforced functional assay (SMuRF) was used to evaluate the effects of all possible coding single-nucleotide variants in LARGE1. HAP1 human haploid cells with endogenous LARGE1 knocked out and DAG1 (dystroglycan) overexpressed were used as the model system. The LARGE1 variant library was created using a simplified PALS-C method and introduced into cells via lentiviral delivery under a weak UbC promoter to control expression levels. After lentiviral transduction and blasticidin selection, the cells were stained with IIH6C4 antibody (which recognizes glycosylated α-dystroglycan) and sorted using fluorescence-activated cell sorting (FACS) to separate high-glycosylation from low-glycosylation populations. The enrichment of each variant in these populations was then quantified through next-generation sequencing to generate functional scores that reflect the impact of each variant on LARGE1's enzymatic activity.</t>
  </si>
  <si>
    <t>LARGE1 KO and DAG1 overexpression</t>
  </si>
  <si>
    <t>Functional scores in the SMuRF assay were calculated through a multi-step process that quantified the relative enrichment of each variant between sorted cell populations. First, the enrichment of each variant (Evar) was calculated as the ratio of variant reads to total reads at that position within each FACS-sorted population (high-glycosylation and low-glycosylation). Then, the relative enrichment (rE) was determined by dividing the enrichment in the high-glycosylation group by the enrichment in the low-glycosylation group. This was performed separately for both variants and wild-type sequences. The final functional score for each variant was calculated as the ratio of the variant's relative enrichment to that of the wild-type sequence in the corresponding block. After processing data from three biological replicates using the DiMSum pipeline, the scores were normalized relative to synonymous variants (which were assumed to have neutral effects), followed by log2 transformation to produce the final SMuRF scores. Higher SMuRF scores indicate normal functionality in α-DG glycosylation, while lower scores indicate deleterious effects.
For LARGE1, functional classifications were assigned using a single boundary score separating variants into two categories. The boundary score between "functional" and "damaging" (-1.32) was determined according to the inflection point between ClinVar pathogenic/likely pathogenic and ClinVar benign/likely benign variant density distributions.</t>
  </si>
  <si>
    <t>Spearman's rho between each replicate = 0.46 to 0.56 (range)</t>
  </si>
  <si>
    <t>(-1.32, Inf)</t>
  </si>
  <si>
    <t>damaging</t>
  </si>
  <si>
    <t>(-Inf, -1.32)</t>
  </si>
  <si>
    <t>For start-loss variants, NA was replaced with “Del”, and incorrect genomic REF/ALT alleles were corrected and updated</t>
  </si>
  <si>
    <t>LDLR_Tabet_2025_abundance</t>
  </si>
  <si>
    <t>LDLR</t>
  </si>
  <si>
    <t>Deep mutational scan of LDLR cell surface abundance</t>
  </si>
  <si>
    <t>urn:mavedb:00001269-b-1</t>
  </si>
  <si>
    <t>Tabet</t>
  </si>
  <si>
    <t>ENST00000558518</t>
  </si>
  <si>
    <t>ENST00000558518.6</t>
  </si>
  <si>
    <t>NM_000527.5</t>
  </si>
  <si>
    <t>We applied a multiplexed in vitro assay measuring LDLR cell-surface abundance via immunofluorescence. Barcoded cDNA libraries collectively containing nearly all possible single amino acid substitutions in LDLR were introduced at a genomically integrated Bxb1 “landing pad” in HeLa cells lacking endogenous LDLR. Cells were selected for LDL uptake via fluorescence-activated cell sorting. Functional scores were calculated by comparing barcode abundance in selected and unselected populations and scaled such that scores of 0 and 1 correspond to the median behaviour of nonsense and synonymous variants.</t>
  </si>
  <si>
    <t>HeLa LDLR knockout, landing pad (BxB1)</t>
  </si>
  <si>
    <t>Cells were selected for LDL uptake via fluorescence-activated cell sorting. Functional scores were calculated by comparing barcode abundance in selected and unselected populations and scaled such that scores of 0 and 1 correspond to the median behaviour of nonsense and synonymous variants.</t>
  </si>
  <si>
    <t>Four technical replicates</t>
  </si>
  <si>
    <t>Replicate measurements were averaged and replicate variance was incorporated into error estimates</t>
  </si>
  <si>
    <t>Site-saturation mutagenesis libraries covering nearly all possible single amino-acid substitutions in the LDLR ORF were generated using pooled NNK-containing mutagenic oligonucleotides and the POPCode oligo-directed mutagenesis method, followed by barcode addition and cloning into full-length cDNA constructs</t>
  </si>
  <si>
    <t>LDLR_Tabet_2025_uptake</t>
  </si>
  <si>
    <t>Deep mutational scan of LDLR function on LDL uptake</t>
  </si>
  <si>
    <t>urn:mavedb:00001269-a-1</t>
  </si>
  <si>
    <t>A multiplexed in vitro assay measuring the binding and internalization of LDL particles. Barcoded cDNA libraries collectively containing nearly all possible single amino acid substitutions in LDLR were introduced at a genomically integrated Bxb1 “landing pad” in HeLa cells lacking endogenous LDLR. Cells were selected for LDL uptake via fluorescence-activated cell sorting. Functional scores were calculated by comparing barcode abundance in selected and unselected populations and scaled such that scores of 0 and 1 correspond to the median behaviour of nonsense and synonymous variants.</t>
  </si>
  <si>
    <t>MSH2_Jia_2021</t>
  </si>
  <si>
    <t>MSH2</t>
  </si>
  <si>
    <t>Multiplexed 6-Thioguanine resistance assay of mismatch repair of the MSH2 gene in Hap1 cells.</t>
  </si>
  <si>
    <t>urn:mavedb:00000050-a-1</t>
  </si>
  <si>
    <t>Jia</t>
  </si>
  <si>
    <t>NM_000251.2</t>
  </si>
  <si>
    <t>ENST00000233146.7</t>
  </si>
  <si>
    <t>A cell growth assay was used to assay the function of MSH2  variants using human HAP1 cells with MSH2 knockouts. Libraries of MSH2 variants, split into 21 tiles were cloned into inducible lentiviral vectors. HAP1 MSH2 knockout cells were transduced at low multiplicity to ensure each cell expressed a single MSH2 variant. The assay employed 6-thioguanine (6-TG) selection, which is toxic to cells with functional mismatch repair but allows cells with defective MSH2 variants to survive. Cells were grown for two passages under either 6-TG or mock treatment conditions, and variant abundance was measured using direct amplicon sequencing of the integrated MSH2 cDNAs from genomic DNA.</t>
  </si>
  <si>
    <t>MSH2 knockout</t>
  </si>
  <si>
    <t>Antimetabolite (NCIT_C272), Purine Antagonist (NCIT_C1556)</t>
  </si>
  <si>
    <t>DNA repair (GO:0006281), mismatch repair (GO:0006298)</t>
  </si>
  <si>
    <t xml:space="preserve">Loss-of-function (LoF) scores were calculated as the log2-ratio of each variant's frequency after 6-thioguanine (6-TG) treatment divided by its frequency after mock treatment, with positive scores indicating deleterious variants and negative scores indicating functionally neutral ones. Frequencies were first determined by correcting raw read counts of each mutant codon by subtracting mutation-specific error read counts from wild-type MSH2 plasmid tile-seq, which were rescaled to match the same total read count. Any resulting negative counts were clipped to the value 0.9, and per-mutation corrected frequencies were then obtained by dividing corrected counts by total reads. Variants substantially depleted after mock treatment (log2 ratio ≤−2, after two passages blasticidin versus P0) were removed as these were suspected to contain frameshift or premature truncating mutations beyond the sequenced tile. For amino acid substitutions represented by multiple equivalent codon substitutions, the median was taken across those codons' LoF scores to yield an amino acid-level LoF score. The final step involved filtering variants within each replicate when represented by exactly two LoF scores with opposite signs, and calculating the median score across the three biological replicates, with variants being removed when only two replicate scores with discordant signs remained.
Functional classifications of MSH2 variants were assigned based on the calculated Loss-of-function (LoF) scores using a simple binary threshold approach. Variants with positive LoF scores (&gt;0) were classified as functionally deleterious, indicating they were enriched in the 6-thioguanine (6-TG) treatment condition compared to mock treatment. Conversely, variants with negative LoF scores (≤0) were classified as functionally neutral, indicating they were depleted or maintained similar frequencies after 6-TG selection. </t>
  </si>
  <si>
    <t>3 biological replicates (each tile was split into three pools before selection); 16 technical (PCR replicates)</t>
  </si>
  <si>
    <t>Mean Pearson's r = 0.77</t>
  </si>
  <si>
    <t>(0, Inf)</t>
  </si>
  <si>
    <t>(-Inf, 0)</t>
  </si>
  <si>
    <t>NDUFAF6_Sung_2024</t>
  </si>
  <si>
    <t>NDUFAF6</t>
  </si>
  <si>
    <t>Deep mutational scan of complex I assembly factor NDUFAF6</t>
  </si>
  <si>
    <t>urn:mavedb:00000663-a-1</t>
  </si>
  <si>
    <t>Sung</t>
  </si>
  <si>
    <t>ENST00000396124.9</t>
  </si>
  <si>
    <t>NM_152416.4</t>
  </si>
  <si>
    <t>A deep mutational scanning experiment was conducted to measure the fitness of single-amino-acid variants of AF6 protein. Growth competition in galactose media was performed using AF6 knockout HEK293T cells that were transduced with an AF6 variant library and passaged for three to six generations. Since growth in galactose media is dependent on oxidative phosphorylation and functional Complex I, only cells expressing functional AF6 variants could be sustained. The functionality of each variant was determined by deep sequencing analysis, through which read counts were compared before and after the galactose growth selection.</t>
  </si>
  <si>
    <t>NDUFAF6 KO</t>
  </si>
  <si>
    <t>galactose (CHEBI:28260)</t>
  </si>
  <si>
    <t>oxidative phosphorylation (GO:0006119)</t>
  </si>
  <si>
    <t>Raw sequencing reads were first aligned to a wild-type NDUFAF6 cDNA reference using Bowtie2 v.2.4.4, followed by merging aligned reads with FLASH v1.2.11. A custom Python-based pipeline utilizing Pandas, Biopython, and SnakeMake filtered the merged reads to identify those containing only single expected codon substitutions and determined read counts for each variant. Fitness scores were then calculated as the natural logarithm of the ratio between a variant's output count (after selection) and input count (before selection), normalized relative to the wild-type variant. These raw scores were processed through the DiMSum v1.3 pipeline to incorporate replicate-specific error estimates, resulting in weighted average fitness scores. 
Functional classifications were assigned using a three-component Gaussian Mixture Model (GMM) that categorized variants into strong, intermediate, or low functional impact groups. For clinical interpretation, variants with either strong or intermediate functional impact were classified under a single "abnormal function" category, while those with low functional impact were classified as "normal function." A probability of abnormal function (Pabnormal) was calculated for each variant as the likelihood ratio between the abnormal function model and the overall model. Variants were then assigned to "normal," "uncertain," or "abnormal" function categories using probability thresholds of [0, 0.25), [0.25, 0.75), and [0.75, 1], respectively.</t>
  </si>
  <si>
    <t>5 to 10</t>
  </si>
  <si>
    <t>5 pre-selection biological replicates and 10 post-selection biological replicates</t>
  </si>
  <si>
    <t>Pearson's r between individual replicates = 0.897 (0.857 to 0.93) Average (range)</t>
  </si>
  <si>
    <t>site saturation variant library (SSVL) was synthesized by Twist Biosciences</t>
  </si>
  <si>
    <t>Not Reported</t>
  </si>
  <si>
    <t>OTC</t>
  </si>
  <si>
    <t>Yeast growth assay measuring the impact of 1,570 OTC variants via absence of arginine as a quantitative assay for OTC function.</t>
  </si>
  <si>
    <t>urn:mavedb:00000112-a-1</t>
  </si>
  <si>
    <t>Lo</t>
  </si>
  <si>
    <t xml:space="preserve">NM_000531.6 </t>
  </si>
  <si>
    <t>ENST00000039007.5</t>
  </si>
  <si>
    <t>NM_000531.6</t>
  </si>
  <si>
    <t>target is actually codon optimized for yeast, with amino acids 2–32 (mitochondrial leader) deleted</t>
  </si>
  <si>
    <t>The study uses a growth-based assay to measure OTC enzyme function by expressing human OTC variants in individual yeast colonies. S. cerevisiae strains harboring human OTC variants were constructed by replacing the native ARG3 gene with codon-optimized human OTC under control of the ARG3 promoter, with approximately 5,700 individual transformants arrayed in 96-well plates. Each transformant contained a specific amino acid substitution, and the phenotypic effect of these variants was measured by pinning individual yeast colonies onto minimal media lacking arginine and quantifying growth after 72 hours through image analysis. This approach directly correlates colony growth with OTC enzyme functionality, allowing assessment of each variant in isolation.</t>
  </si>
  <si>
    <t>FY4</t>
  </si>
  <si>
    <t>MATa, srd1Δ0 arg3Δ0::yOTC-tTRP2v2-NatMX</t>
  </si>
  <si>
    <t>arg3Δ0::yOTC-tTRP2v2-NatMX - human OTC orthologog knockout</t>
  </si>
  <si>
    <t>survival rate (OBI_0000789), altered colony size phenotype (OMP_0006164)</t>
  </si>
  <si>
    <t>catalytic activity (GO:0003824), ornithine carbamoyltransferase activity (GO:0004585)</t>
  </si>
  <si>
    <t xml:space="preserve">Raw phenotypic values were first extracted from images via a custom pipeline called PyPL8, where patch volumes were calculated as the product of patch area and mean pixel intensity. These raw values were subsequently normalized to control for plate-to-plate variation through a series of statistical adjustments, whereby effects of neighboring patches and edge positions were removed using customized algorithms. After normalization, stringent quality control filters were implemented, wherein isolates containing secondary mutations were identified and excluded from further analysis. A weighted least-squares regression model was then fitted to the filtered dataset, through which variant-specific growth estimates were calculated relative to control strains. The final functional scores were established by rescaling these estimates on a standardized scale, in which growth of null controls was fixed at 0 and wild-type yOTC growth was designated as 1. Statistical significance between variant distributions was determined by permutation testing, whereby p-values were calculated through comparison of observed medians to null distributions generated from one million random samples drawn without replacement from appropriate variant subsets.
Functional classifications were assigned by partitioning the normalized growth scale into three distinct ranges based on observed patterns in the data. Amorphic variants were defined as those exhibiting growth values below 5% of wild-type activity, which corresponded to the approximately normal distribution of values centered around the null control. Hypomorphic variants were classified as those displaying intermediate growth values between 5% and 90% of wild-type activity. Variants with growth exceeding 90% of wild-type levels were designated as functionally unimpaired. These threshold values were not arbitrarily selected but were established through correlation with clinical significance calls in ClinVar, wherein pathogenic variants were observed to have growth values below 86% and benign variants predominantly showed growth above 90%. The 90% cutoff was specifically chosen to minimize misclassification of clinically annotated variants while avoiding potential underdiagnosis of pathogenic variants for this severe and actionable disease. </t>
  </si>
  <si>
    <t>Six independent isolates of each strain (ARG3, arg3D0, wild-type yOTC, yOTC-Arg141Gln, and yOTC-Lys46Arg) were assayed in triplicate.</t>
  </si>
  <si>
    <t>Concordance between genotype (variant) and isolate growth r2 = 0.982</t>
  </si>
  <si>
    <t>yOTC derivatives encoding the complete set of amino acid substitutions were synthesized as a pARG3-yOTC-tTRP2-NatMX variant library.</t>
  </si>
  <si>
    <t>Separate PCR amplification reactions and subsequent integrative yeast transformations were performed for each well. Approximately 500 ng of each PCR-amplified amino acid variant pool was transformed into a MATa haploid deletion strain (arg3D0) via standard methods. From each transformation, single colonies were isolated such that a total of 5,700 individual transformants were arrayed into 96-well plates.</t>
  </si>
  <si>
    <t>Wild Type, Variants with known clinical effects</t>
  </si>
  <si>
    <t>Amorphic</t>
  </si>
  <si>
    <t>(-Inf, 0.05)</t>
  </si>
  <si>
    <t>Hypomorphic</t>
  </si>
  <si>
    <t>(0.05,0.9)</t>
  </si>
  <si>
    <t>Functionally unimpaired</t>
  </si>
  <si>
    <t>(0.9, Inf)</t>
  </si>
  <si>
    <t>Added “p.” prefix to Human variant column, SMG loop dropped (according to author reports)</t>
  </si>
  <si>
    <t>PALB2_Boonen_2026</t>
  </si>
  <si>
    <t>PALB2</t>
  </si>
  <si>
    <t>Site-saturation fuctional screen of PALB2 missense variants in the CC and WD40 domains in mouse embryonic stem cells using PARPi sensitivity as a readout for homologous recombination</t>
  </si>
  <si>
    <t>urn:mavedb:00001278-b-1</t>
  </si>
  <si>
    <t>Boonen</t>
  </si>
  <si>
    <t>NM_024675.4</t>
  </si>
  <si>
    <t>ENST00000261584.9</t>
  </si>
  <si>
    <t>A cDNA-based site-saturation screen was used to measure PALB2 function via PARPi sensitivity as a readout for homologous recombination. Palb2-knockout mouse embryonic stem cells were used to express PALB2 cDNA variant libraries which were at the Rosa26 locus via recombination-mediated cassette exchange. Cells expressing PALB2 variants were treated with PARP inhibitor (olaparib), and next-generation sequencing was used to determine the frequency of each variant in treated vs. untreated conditions. Depletion scores were generated using Enrich2.</t>
  </si>
  <si>
    <t>mouse embryonic stem cells</t>
  </si>
  <si>
    <t>embryonic stem cell line (CLO_0037317)</t>
  </si>
  <si>
    <t>Trp53, Palb2 knockout mES cells with DR-GFP reporter and RMCE system at the Pim1 and Rosa26 locus</t>
  </si>
  <si>
    <t xml:space="preserve">Poly (ADP-Ribose) Polymerase Inhibitor (NCIT_C62554)
</t>
  </si>
  <si>
    <t>double-strand break repair via homologous recombination (GO:0000724)</t>
  </si>
  <si>
    <t xml:space="preserve">FASTQ files for each sample were analyzed using Enrich2. Reads containing insertions, deletions or multiple amino acid substitutions and variants with SE &gt;0.5 were filtered out. Depletion scores were calculated for remaining variants by comparing variant frequencies in PARPi-treated versus untreated conditions. Scores were normalized to wild-type PALB2 (set to 0) and to the average of nonsense variants per library (set to -1). Two component mixture modeling was applied to estimate the probability that each variant is damaging (Pd), based on its average depletion score across replicates. Classification thresholds were defined as follows: variants with Pd &lt;0.02 were classified as ‘functional’, those with Pd &gt; 0.98 as ‘damaging’, and variants with 0.02 &lt;Pd &lt;0.98 were assigned to the ‘intermediate’ category. </t>
  </si>
  <si>
    <t>6 and 3</t>
  </si>
  <si>
    <t>CC domain libraries: 6 biological replicates (n=3 technical replicates each); WD40 domain libraries: 3 biological replicates (n=3 technical replicates each)</t>
  </si>
  <si>
    <t>Correlation between depletion scores of variants across replicates. Pearson's for CC biological replicates ranged from = 0.1454 to 0.4087, and for WD40 domain ranged from = 0.1411 to 0.5610</t>
  </si>
  <si>
    <t>CC domain: multiplex PCR assembly library ordered from Ranomics Inc.
WD40 domain: site-directed mutagenesis library from Twist</t>
  </si>
  <si>
    <t>FlpO-mediated RMCE</t>
  </si>
  <si>
    <t xml:space="preserve">Wild-type PALB2 </t>
  </si>
  <si>
    <t>(-Inf, 0.02)</t>
  </si>
  <si>
    <t>intermediate</t>
  </si>
  <si>
    <t>(0.02,0.98)</t>
  </si>
  <si>
    <t>(0.98, lnf)</t>
  </si>
  <si>
    <t>abnormal</t>
  </si>
  <si>
    <t>PALB2_Boonen_2026_SGE</t>
  </si>
  <si>
    <t>Saturation genome editing of PALB2 exon 10 in haploid HAP1 cells using cell survival as a readout, performed to validate the cDNA-based PARPi screen results.</t>
  </si>
  <si>
    <t>urn:mavedb:00001278-a-1</t>
  </si>
  <si>
    <t>SGE was used to introduce all unique SNVs in the PALB2 exon 10 region (p.G1000 to p.I1037 of the WD40 domain) in haploid HAP1 cells. Cells were co-transfected with variant library and Cas9/sgRNA using Turbofectin 8.0 (Origene). Cells were selected in puromycin (1 µg/ml) for 3 days. Cells were harvested at day 5 (24 hrs after puromycin selection) and day 20 post-transfection, and genomic DNA was extracted. The target region was amplified by PCR to add barcodes for multiplexing and PCR products were sequenced on an Illumina MiSeq.</t>
  </si>
  <si>
    <t xml:space="preserve">FASTQ files of sequenced samples from Illumina MiSeq were converted into single reads and aligned to GRCh38. 'CountReads‘ was used for mutation identification and characterization which produced a VCF that was annotated with CAVA. Sequencing data were processed to quantify the abundance of each variant. SGE scores were calculated using the log2 ratio between the frequency of day 20 and day 5 read counts for each variant. Log2 ratios of variants were linearly scaled relative to median values for synonymous and nonsense SNVs. </t>
  </si>
  <si>
    <t>SGE was performed in duplicate</t>
  </si>
  <si>
    <t>Selected exon</t>
  </si>
  <si>
    <t>Site-saturation mutagenesis by inverse PCR using "NNN" primers for all possible nucleotide changes at in exon 10. A Protospacer Protection Edit encoding a synonymous mutation (c.3030 G &gt; A; p.Glu1010Glu) was introduced into the PAM site of the target region.</t>
  </si>
  <si>
    <t>Turbofectin</t>
  </si>
  <si>
    <t>Synonymous variants (functional controls), nonsense variants (non-functional controls)</t>
  </si>
  <si>
    <t xml:space="preserve">SGE dataset included 179 variants with depleting scores in the PARPi sensitivity-based site-saturation screen (170 missense and 9 nonsense) Pearon correlation between depletion and SGE scores for these variants was r = 0.6439, p &lt; 0.0001. </t>
  </si>
  <si>
    <t>PALB2_IGVF</t>
  </si>
  <si>
    <t>Saturation genome editing based essentiality screen of PALB2 in Hap1 cells.</t>
  </si>
  <si>
    <t>urn:mavedb:00001259-a-2</t>
  </si>
  <si>
    <t>A cell survival assay was used to measure PALB2 essentiality. LIG4-KO, cas9-expressing HAP1 cells were transfected with a sgRNA-expressing plasmid to target PALB2 and a library of plasmids containing all SNVs across the target sequence. Cells were harvested at day 5 and day 13. Direct sequencing was then used to determine the frequency of each variant at each time point.</t>
  </si>
  <si>
    <t>All protein coding exons, except parts of X4 and X5</t>
  </si>
  <si>
    <t>Endogenous genome editing</t>
  </si>
  <si>
    <t>PAX6_McDonnell_2024_BLX_geneticin</t>
  </si>
  <si>
    <t>PAX6</t>
  </si>
  <si>
    <t>Deep mutational scanning of PAX6 paired domain in BLX yeast strain with geneticin selection</t>
  </si>
  <si>
    <t>urn:mavedb:00000665-b-1</t>
  </si>
  <si>
    <t>McDonnell</t>
  </si>
  <si>
    <t>ENST00000640610.1</t>
  </si>
  <si>
    <t>NM_000280.6</t>
  </si>
  <si>
    <t>A Yeast one-hybrid (Y1H) assay was used to measure PAX6 function.  In this assay, PAX6 variants were fused to the GAL4 activation domain and expressed in yeast using a strong synthetic promoter and conferred resistance to geneticin when binding to specific PAX6 DNA response elements (LE9 or BLX) upstream of a geneticin resistance gene. In this system, PAX6 variants that maintained DNA binding ability allowed yeast cells to grow in geneticin-containing media, while variants with impaired binding were depleted. The assay involved a saturation mutagenesis library of PAX6 paired domain variants, with samples collected at 12-hour intervals over 36 hours during competitive growth, both with and without geneticin selection. Variant frequencies were tracked using next-generation sequencing of barcoded constructs.
This experiment represents the use of the BLX promoter with geneticin selection.</t>
  </si>
  <si>
    <t>S288C</t>
  </si>
  <si>
    <t>MATα, ura3-
52, his3-200, ade2-101, trp1-901, leu2-3, 112, gal4Δ, gal80Δ, met–, MEL1.</t>
  </si>
  <si>
    <t>integrated PAX6-binding sequence (BLX)</t>
  </si>
  <si>
    <t xml:space="preserve">selectable marker (BAO_0003068)
</t>
  </si>
  <si>
    <t>The functional scores for PAX6 variants were calculated using a competitive growth assay in yeast with antibiotic selection. Barcoded variant libraries were transformed into yeast strains containing PAX6 binding sites upstream of a geneticin resistance gene, and cultures were grown with or without antibiotic for 36 hours. Samples were collected at 12-hour intervals (T=0, 12, 24, and 36), and barcode frequencies were quantified via next-generation sequencing with a minimum threshold of 25 reads per barcode at T=0. The Enrich2 software package was then employed to calculate fitness scores by modeling the change in barcode frequencies over time, effectively measuring the rate of enrichment or depletion for each variant relative to the population. These raw scores were normalized so that wild-type variants had a mean score of 0, with positive scores indicating increased function and negative scores indicating decreased function.
Variant classification was performed by applying statistical criteria to the normalized fitness scores. For each variant, p-values were calculated under two null hypotheses: that the variant behaves like wild-type (pWT) and that it behaves like a nonsense variant (pnonsense). All p-values were adjusted using the Benjamini-Hochberg false discovery rate (FDR) method. Based on these adjusted q-values and fitness scores, variants were categorized into five functional groups: "increased" (fitness score &gt; 0 and qWT &lt; 0.05), "neutral" (qWT &gt; 0.05), "hypomorphic" (fitness score between 0 and mean nonsense score, with both qWT &lt; 0.05 and qnonsense &lt; 0.05), "LOF" (loss-of-function, qnonsense &gt; 0.05), and "toxic" (fitness score &lt; mean nonsense score and qnonsense &lt; 0.05). This classification scheme allowed systematic interpretation of the biological impact of each variant on PAX6 function.
This score set represents the use of the BLX promoter with geneticin selection.</t>
  </si>
  <si>
    <t>Replicates not performed at the experiment leve.  Each variant had an average of 19 barcodes.  To quantify the reproducibility of these scores, we analysed sets of barcodes associated with the same PAX6 variant. After separating all barcodes into two equal sets and calculating variant scores for each set, we obtained Pearson correlations of 0.77 for the LE9 assay and 0.63 for the BLX assay for all barcodes.</t>
  </si>
  <si>
    <t>Pearson correlations (Split-Barcode Analysis) = 0.63</t>
  </si>
  <si>
    <t>nicking mutagenesis</t>
  </si>
  <si>
    <t>Gateway system to clone the variant library into a centromeric yeast expression plasmid library named</t>
  </si>
  <si>
    <t>YeastMaker (polyethylene glycol (PEG)/LiAc)</t>
  </si>
  <si>
    <t>PAX6_McDonnell_2024_BLX_no_geneticin</t>
  </si>
  <si>
    <t>Deep mutational scanning of PAX6 paired domain in BLX yeast strain without geneticin</t>
  </si>
  <si>
    <t>urn:mavedb:00000665-d-1</t>
  </si>
  <si>
    <t>A Yeast one-hybrid (Y1H) assay was used to measure PAX6 function.  In this assay, PAX6 variants were fused to the GAL4 activation domain and expressed in yeast using a strong synthetic promoter and conferred resistance to geneticin when binding to specific PAX6 DNA response elements (LE9 or BLX) upstream of a geneticin resistance gene. In this system, PAX6 variants that maintained DNA binding ability allowed yeast cells to grow in geneticin-containing media, while variants with impaired binding were depleted. The assay involved a saturation mutagenesis library of PAX6 paired domain variants, with samples collected at 12-hour intervals over 36 hours during competitive growth, both with and without geneticin selection. Variant frequencies were tracked using next-generation sequencing of barcoded constructs.
This experiment represents the use of the BLX promoter without geneticin selection. In this experiment, functional variants appear to be toxic to yeast, likely due to promiscuous DNA binding disrupting normal transcription.</t>
  </si>
  <si>
    <t>The functional scores for PAX6 variants were calculated using a competitive growth assay in yeast with antibiotic selection. Barcoded variant libraries were transformed into yeast strains containing PAX6 binding sites upstream of a geneticin resistance gene, and cultures were grown with or without antibiotic for 36 hours. Samples were collected at 12-hour intervals (T=0, 12, 24, and 36), and barcode frequencies were quantified via next-generation sequencing with a minimum threshold of 25 reads per barcode at T=0. The Enrich2 software package was then employed to calculate fitness scores by modeling the change in barcode frequencies over time, effectively measuring the rate of enrichment or depletion for each variant relative to the population. These raw scores were normalized so that wild-type variants had a mean score of 0, with positive scores indicating increased function and negative scores indicating decreased function.
Variant classification was performed by applying statistical criteria to the normalized fitness scores. For each variant, p-values were calculated under two null hypotheses: that the variant behaves like wild-type (pWT) and that it behaves like a nonsense variant (pnonsense). All p-values were adjusted using the Benjamini-Hochberg false discovery rate (FDR) method. Based on these adjusted q-values and fitness scores, variants were categorized into five functional groups: "increased" (fitness score &gt; 0 and qWT &lt; 0.05), "neutral" (qWT &gt; 0.05), "hypomorphic" (fitness score between 0 and mean nonsense score, with both qWT &lt; 0.05 and qnonsense &lt; 0.05), "LOF" (loss-of-function, qnonsense &gt; 0.05), and "toxic" (fitness score &lt; mean nonsense score and qnonsense &lt; 0.05). This classification scheme allowed systematic interpretation of the biological impact of each variant on PAX6 function.
This score set represents the use of the BLX promoter without geneticin selection. In this experiment, functional variants appear to be toxic to yeast, likely due to promiscuous DNA binding disrupting normal transcription.</t>
  </si>
  <si>
    <t>Pearson correlations (Split-Barcode Analysis)</t>
  </si>
  <si>
    <t>PAX6_McDonnell_2024_LE9_geneticin</t>
  </si>
  <si>
    <t>Deep mutational scanning of PAX6 paired domain in LE9 yeast strain with geneticin selection</t>
  </si>
  <si>
    <t>urn:mavedb:00000665-a-1</t>
  </si>
  <si>
    <t xml:space="preserve">A Yeast one-hybrid (Y1H) assay was used to measure PAX6 function.  In this assay, PAX6 variants were fused to the GAL4 activation domain and expressed in yeast using a strong synthetic promoter and conferred resistance to geneticin when binding to specific PAX6 DNA response elements (LE9 or BLX) upstream of a geneticin resistance gene. In this system, PAX6 variants that maintained DNA binding ability allowed yeast cells to grow in geneticin-containing media, while variants with impaired binding were depleted. The assay involved a saturation mutagenesis library of PAX6 paired domain variants, with samples collected at 12-hour intervals over 36 hours during competitive growth, both with and without geneticin selection. Variant frequencies were tracked using next-generation sequencing of barcoded constructs.
This experiment represents the use of the LE9 promoter with geneticin selection. </t>
  </si>
  <si>
    <t>integrated PAX6-binding sequence (LE9)</t>
  </si>
  <si>
    <t xml:space="preserve">The functional scores for PAX6 variants were calculated using a competitive growth assay in yeast with antibiotic selection. Barcoded variant libraries were transformed into yeast strains containing PAX6 binding sites upstream of a geneticin resistance gene, and cultures were grown with or without antibiotic for 36 hours. Samples were collected at 12-hour intervals (T=0, 12, 24, and 36), and barcode frequencies were quantified via next-generation sequencing with a minimum threshold of 25 reads per barcode at T=0. The Enrich2 software package was then employed to calculate fitness scores by modeling the change in barcode frequencies over time, effectively measuring the rate of enrichment or depletion for each variant relative to the population. These raw scores were normalized so that wild-type variants had a mean score of 0, with positive scores indicating increased function and negative scores indicating decreased function.
Variant classification was performed by applying statistical criteria to the normalized fitness scores. For each variant, p-values were calculated under two null hypotheses: that the variant behaves like wild-type (pWT) and that it behaves like a nonsense variant (pnonsense). All p-values were adjusted using the Benjamini-Hochberg false discovery rate (FDR) method. Based on these adjusted q-values and fitness scores, variants were categorized into five functional groups: "increased" (fitness score &gt; 0 and qWT &lt; 0.05), "neutral" (qWT &gt; 0.05), "hypomorphic" (fitness score between 0 and mean nonsense score, with both qWT &lt; 0.05 and qnonsense &lt; 0.05), "LOF" (loss-of-function, qnonsense &gt; 0.05), and "toxic" (fitness score &lt; mean nonsense score and qnonsense &lt; 0.05). This classification scheme allowed systematic interpretation of the biological impact of each variant on PAX6 function.
This score set represents the use of the LE9 promoter with geneticin selection. </t>
  </si>
  <si>
    <t>Pearson correlations (Split-Barcode Analysis) = 0.77</t>
  </si>
  <si>
    <t>PAX6_McDonnell_2024_LE9_no_geneticin</t>
  </si>
  <si>
    <t>Deep mutational scanning of PAX6 paired domain in LE9 yeast strain without geneticin</t>
  </si>
  <si>
    <t>urn:mavedb:00000665-c-1</t>
  </si>
  <si>
    <t xml:space="preserve">A Yeast one-hybrid (Y1H) assay was used to measure PAX6 function.  In this assay, PAX6 variants were fused to the GAL4 activation domain and expressed in yeast using a strong synthetic promoter and conferred resistance to geneticin when binding to specific PAX6 DNA response elements (LE9 or BLX) upstream of a geneticin resistance gene. In this system, PAX6 variants that maintained DNA binding ability allowed yeast cells to grow in geneticin-containing media, while variants with impaired binding were depleted. The assay involved a saturation mutagenesis library of PAX6 paired domain variants, with samples collected at 12-hour intervals over 36 hours during competitive growth, both with and without geneticin selection. Variant frequencies were tracked using next-generation sequencing of barcoded constructs.
This experiment represents the use of the LE9 promoter without geneticin selection. In this experiment, functional variants appear to be toxic to yeast, likely due to promiscuous DNA binding disrupting normal transcription. </t>
  </si>
  <si>
    <t xml:space="preserve">The functional scores for PAX6 variants were calculated using a competitive growth assay in yeast with antibiotic selection. Barcoded variant libraries were transformed into yeast strains containing PAX6 binding sites upstream of a geneticin resistance gene, and cultures were grown with or without antibiotic for 36 hours. Samples were collected at 12-hour intervals (T=0, 12, 24, and 36), and barcode frequencies were quantified via next-generation sequencing with a minimum threshold of 25 reads per barcode at T=0. The Enrich2 software package was then employed to calculate fitness scores by modeling the change in barcode frequencies over time, effectively measuring the rate of enrichment or depletion for each variant relative to the population. These raw scores were normalized so that wild-type variants had a mean score of 0, with positive scores indicating increased function and negative scores indicating decreased function.
Variant classification was performed by applying statistical criteria to the normalized fitness scores. For each variant, p-values were calculated under two null hypotheses: that the variant behaves like wild-type (pWT) and that it behaves like a nonsense variant (pnonsense). All p-values were adjusted using the Benjamini-Hochberg false discovery rate (FDR) method. Based on these adjusted q-values and fitness scores, variants were categorized into five functional groups: "increased" (fitness score &gt; 0 and qWT &lt; 0.05), "neutral" (qWT &gt; 0.05), "hypomorphic" (fitness score between 0 and mean nonsense score, with both qWT &lt; 0.05 and qnonsense &lt; 0.05), "LOF" (loss-of-function, qnonsense &gt; 0.05), and "toxic" (fitness score &lt; mean nonsense score and qnonsense &lt; 0.05). This classification scheme allowed systematic interpretation of the biological impact of each variant on PAX6 function.
This score set represents the use of the LE9 promoter without geneticin selection. In this experiment, functional variants appear to be toxic to yeast, likely due to promiscuous DNA binding disrupting normal transcription. </t>
  </si>
  <si>
    <t>PTEN_Matreyek_2018</t>
  </si>
  <si>
    <t>PTEN</t>
  </si>
  <si>
    <t>Assay of PTEN protein stability in HEK293 cells.</t>
  </si>
  <si>
    <t>urn:mavedb:00000013-a-1</t>
  </si>
  <si>
    <t>Matreyek</t>
  </si>
  <si>
    <t>ENST00000371953.8</t>
  </si>
  <si>
    <t>NM_000314.8</t>
  </si>
  <si>
    <t>PTEN function was assessed using Variant Abundance by Massively Parallel Sequencing (VAMP-seq), which measures the steady-state abundance of protein variants in cultured human cells. In this method, each PTEN variant was N-terminally tagged with EGFP and recombined into a single genomic locus of an engineered HEK 293T cell line, with mCherry co-expressed to control for expression levels. The stability of each variant dictated the abundance of the EGFP fusion, creating a range of cellular fluorescence signals that were detected by flow cytometry, with cells sorted into bins based on their EGFP:mCherry ratio.  Barcode sequencing was then used to quantify each variant's frequency in each bin.</t>
  </si>
  <si>
    <t>Variant frequencies (Fv) within each bin were determined by dividing individual variant counts by the sum of all counts in that bin, with this calculation systematically repeated across all bins in each replicate experiment. Total frequency values (Fv,total) for each variant were calculated by dividing the total count of each variant by the total count of all variants across bins, and these values were subsequently used to filter out low-frequency variants that would be susceptible to counting noise. The Fv,total filtering threshold was carefully established by analyzing how different minimum values affected the distribution of synonymous variants, which were expected to form a clear, unimodal distribution around wild-type (WT). For variants passing this threshold, weighted averages (Wv) were calculated for each experiment and then subjected to min-max normalization using the wild-type value (Wwt=1) and the median value for non-terminal nonsense variants as reference points, thereby generating variant-specific abundance scores (Sv). The final abundance scores were computed by taking the mean of normalized scores across replicate experiments, with variants being retained only if they were scored in two or more replicates, and standard errors were calculated by dividing the standard deviation of normalized values by the square root of the number of replicates in which each variant was observed.
Synonymous score threshold was calculated by finding score that separated the 95% most abundant synonymous variants from the 5% lowest abundance variants was used to establish a synonymous score threshold; Abnormal (low abundance) variants had scores with confidence intervals below this threshold and normal (wild-type-like) variants had scores with confidence intervals above this threshold. Scores whose confidence intervals crossed this threshold were considered to be possibly abnormal if below and possibly normal if above.</t>
  </si>
  <si>
    <t>Barcode paired sequencing reads for PTEN experiments 1 through 4 were joined using the fastq-join tool within the ea-utils package using the default parameters, whereas only one barcode read was collected for PTEN experiments 5 through 8. Technical amplification and sequencing replicates were conducted for every sample, and compared to assess variability in quantitation stemming from amplification and sequencing.</t>
  </si>
  <si>
    <t>mean Pearson's r across 8 replicates = 0.63; mean Spearman's rho = 0.62</t>
  </si>
  <si>
    <t>PTEN_Mighell_2018</t>
  </si>
  <si>
    <t>Yeast-based assay of PTEN lipid phosphatase activity.</t>
  </si>
  <si>
    <t>urn:mavedb:00000054-a-1</t>
  </si>
  <si>
    <t>Mighell</t>
  </si>
  <si>
    <t>NM_000314.6</t>
  </si>
  <si>
    <t>The lipid phosphatase activity of PTEN was assayed where human PI3K (p110α) was expressed with a membrane-targeting motif which converts essential PIP2 to PIP3 and inhibits yeast growth. Co-expression of functional PTEN variants could rescue growth by converting PIP3 back to PIP2, with growth rate serving as a quantitative measure of phosphatase activity. Specifically, a library of PTEN variants was transformed into yeast, grown under selective conditions for 48 hours, and then harvested.  Direct sequencing was used to determine the variant frequencies in the initial input samples and 48 hour time point.</t>
  </si>
  <si>
    <t>YPH499</t>
  </si>
  <si>
    <t xml:space="preserve">MATa ura3-52 lys2-801_amber ade2-101_ochre trp1-Δ63 his3-Δ200 leu2-Δ
</t>
  </si>
  <si>
    <t>YCpLG-p110α-CAAX</t>
  </si>
  <si>
    <t>rescue (SO_0000814)</t>
  </si>
  <si>
    <t xml:space="preserve">catalytic activity (GO:0003824), lipid phosphatase activity (GO:0042577)
</t>
  </si>
  <si>
    <t>Counts of error reads were normalized to wild-type counts, and then this normalized amount of reads were removed from all experimental samples. Sequence variants were identified and counted with custom python scripts. These raw variant counts files were analyzed with Enrich2 v.1.2.038 to calculate scores and standard errors for each variant. If the 95% confidence interval (based on the standard error) of the fitness score was ≤1, the variant was considered high-confidence. If the 95% confidence interval was &gt;1 but the measurements from each biological replicate were concordant (both lower or both higher than the 95% bound of the synonymous distribution), the variant was also considered high-confidence.
Mutations were classified as "wild-type-like" if their cumulative fitness score was within the 95th percentile (two-tailed) of observed synonymous mutations and "truncation-like" if their cumulative fitness score was within the 95th percentile (two-tailed) of observed nonsense mutations at positions 1-349 (before regulatory tail).</t>
  </si>
  <si>
    <t>2 complete biological replicates each with 3 technical replicates (except for poor performance in the C2 domain)</t>
  </si>
  <si>
    <t>Pearson's r (between the two bio replicates) = 0.76</t>
  </si>
  <si>
    <t>mutagenesis by integrated tiles (MITE)</t>
  </si>
  <si>
    <t>Less than WT</t>
  </si>
  <si>
    <t>(-Inf, -1.11]</t>
  </si>
  <si>
    <t>Truncation-like</t>
  </si>
  <si>
    <t>(-Inf, -2.13]</t>
  </si>
  <si>
    <t>(-2.13,-1.11)</t>
  </si>
  <si>
    <t>(-1.11,0.89)</t>
  </si>
  <si>
    <t>Greater than WT</t>
  </si>
  <si>
    <t>(0.89, Inf)</t>
  </si>
  <si>
    <t>RAD51C</t>
  </si>
  <si>
    <t>Saturation genome editing essentiality screen to separate functionally normal and functionally abnormal RAD51C variants.</t>
  </si>
  <si>
    <t>urn:mavedb:00000673-0-1</t>
  </si>
  <si>
    <t>Olvera-León</t>
  </si>
  <si>
    <t>ENST00000337432.9</t>
  </si>
  <si>
    <t>NM_058216.3</t>
  </si>
  <si>
    <t>A Saturation Genome Editing (SGE) assay was used to functionally assess RAD51C variants. The assay involved introducing Cas9/sgRNA complexes and variant repair libraries into HAP1 near-haploid cells, where Cas9 created double-strand breaks that were repaired through homology-directed repair using the variant libraries as templates. Variants were studied at three time points (days 4, 7, and 14) to evaluate depletion kinetics, with day 4 serving as the baseline and day 14 as the terminal point. Genomic DNA from each time point was processed using next-generation direct amplicon sequencing to assess the frequency of variants at each time point. 
This experiment represents the log fold change between day 4 and day 14.</t>
  </si>
  <si>
    <t>HAP1-A5 Lig4 KO. Stably expressing Cas9 and Lig4 KO</t>
  </si>
  <si>
    <t>Variant log2 fold changes (LFCs) between days 4 and 7 and between days 4 and 14 were calculated using the DESeq2 package. These LFCs were then scaled by the median LFC of synonymous and intronic variants, which were not expected to change over time. For variants assayed twice in overlapping sections of tiled target regions, the LFCs were combined using an inverse-weighted mean to produce a single value for each variant. To allow for comparisons between target regions, median-scaled LFCs were converted to Z scores by dividing by the standard error, with the resulting functional metrics termed "z-score D4 D7" and "z-score D4 D14". Finally, p-values were calculated using a two-tailed Z-test and adjusted for the false discovery rate using the Benjamini-Hochberg method.
The functional classifications in the study were assigned through a multi-step process:
First, variants were initially categorized based on their Z scores and FDR values, where variants with FDR ≥ 0.01 were classified as "unchanged," variants with FDR &lt; 0.01 and negative Z scores between day 4 and day 14 were classified as "depleted," and variants with FDR &lt; 0.01 and positive Z scores were classified as "enriched."
This score set represents the log fold change between day 4 and day 14.</t>
  </si>
  <si>
    <t>3 separate T-75 flasks (Each of the 12 target regions was transfected in triplicate)</t>
  </si>
  <si>
    <t>coding, intronic, non-coding</t>
  </si>
  <si>
    <t>Twist library</t>
  </si>
  <si>
    <t>native locus replacement</t>
  </si>
  <si>
    <t>Xfect Takara Bio</t>
  </si>
  <si>
    <t>RAD51D_IGVF</t>
  </si>
  <si>
    <t>RAD51D</t>
  </si>
  <si>
    <t>Saturation genome editing based essentiality screen of RAD51D in Hap1 cells.</t>
  </si>
  <si>
    <t>urn:mavedb:00001260-a-2</t>
  </si>
  <si>
    <t>ENST00000345365.11</t>
  </si>
  <si>
    <t>NM_002878.4</t>
  </si>
  <si>
    <t>A cell survival assay was used to measure RAD51D essentiality. LIG4-KO, cas9-expressing HAP1 cells were transfected with a sgRNA-expressing plasmid to target RAD51D and a library of plasmids containing all SNVs across the target sequence. Cells were harvested at day 5, day 13 and day17. Direct sequencing was then used to determine the frequency of each variant at each time point.</t>
  </si>
  <si>
    <t>Counts of each variant at days 5, 13 and 17, and in the repair template library – treated as day 0 – are first smoothed to remove position effects, and then modeled with a continuous-time linear regression model to estimate the log2-transformed fold change in variant abundance per unit time. The modeling is performed within each SGE target. For variants that are double-covered – i.e., variants whose function is assessed in two different SGE target regions – the regression framework includes counts from both targets. The resulting log2 fold changes (LFCs) are the SGE scores for each variant. 95% confidence intervals for each variant’s SGE score are derived from the standard errors of the regression models’ parameter estimates.</t>
  </si>
  <si>
    <t>RHO_Wan_2019</t>
  </si>
  <si>
    <t>RHO</t>
  </si>
  <si>
    <t>The impact of 210 RHO variants found in the literature and databases were examined using surface expression in HEK293T cells.</t>
  </si>
  <si>
    <t>urn:mavedb:00000099-a-1</t>
  </si>
  <si>
    <t>Wan</t>
  </si>
  <si>
    <t>NM_000539.3, NP_000530.1</t>
  </si>
  <si>
    <t>ENST00000296271.4</t>
  </si>
  <si>
    <t>NM_000539.3</t>
  </si>
  <si>
    <t>A flow cytometry-based assay was used to measure rhodopsin surface expression function. A library RHO variants was introduced into HEK293 cells, and cell surface expression was measured using Ret-P1 antibody staining. Fluorescence-activated cell sorting was used to separate high-expressing from low-expressing variants. Direct next-generation sequencing of plasmid DNA was used to measure the frequency of each variant in the sorted cell populations.</t>
  </si>
  <si>
    <t xml:space="preserve">Functional scores were calculated as a ratio of variant abundance between the high and low surface-expressing cell populations. Specifically, raw read counts for each mutant probe were normalized to the read depth of the wildtype probe, and the final NGS ratio was calculated as: (mutant probe_high/wildtype probe_high)/(mutant probe_low/wildtype probe_low). These ratios were log-transformed to produce normally distributed values, and the results from three independent biological replicates (separate transfections performed in different weeks) were averaged to determine the final functional score for each variant. Higher ratios indicated better surface expression (similar to wildtype), while lower ratios indicated impaired surface expression consistent with pathogenic variants.
Functional classifications were assigned based on threshold values of the rhodopsin surface expression ratio. Variants were categorized into three primary expression levels: very low,  low, and high based on cutoffs of 40% and 80% surface expression in the unpooled flow cytometry assay, with corresponding thresholds applied to the pooled NGS ratio data. </t>
  </si>
  <si>
    <t>Replicate samples were derived from independent transfections on different weeks (n = 3).</t>
  </si>
  <si>
    <t>r2 = 0.86–0.88</t>
  </si>
  <si>
    <t>gateway cloning</t>
  </si>
  <si>
    <t>A modified hgvs_c column was added, extra information at the bottom of the file was removed, and “synonymous” variants in the protein description column were converted to their corresponding p. notation</t>
  </si>
  <si>
    <t>SCN5A_Glazer_2020</t>
  </si>
  <si>
    <t>SCN5A</t>
  </si>
  <si>
    <t>Deep mutational scan of human SCN5A by measuring response to veratridine+brevetoxin+ouabain drugs.</t>
  </si>
  <si>
    <t>urn:mavedb:00000098-a-2</t>
  </si>
  <si>
    <t>Glazer</t>
  </si>
  <si>
    <t>ENST00000333535</t>
  </si>
  <si>
    <t>ENST00000333535.9</t>
  </si>
  <si>
    <t>NM_198056.3</t>
  </si>
  <si>
    <t>A high-throughput triple drug assay using ouabain, veratridine, and brevetoxin was used to evaluate SCN5A sodium channel variants. The assay works by exposing HEK293T cells expressing SCN5A variants to these drugs, where the sodium channel agonists (veratridine and brevetoxin) synergistically bias channels toward an open state causing sodium influx, while ouabain (a Na+/K+ exchanger inhibitor) increases sensitivity to sodium overload, resulting in death of cells expressing functional channels. They applied negative selection where variants causing loss of function allowed cells to survive, while gain of function variants enhanced cell death compared to wild-type. Cells were harvested before drug treatment and after drug treatment (when dead cells were removed through media changes). Illumina MiSeq high-throughput DNA sequencing was used to count the prevalence of each variant's unique barcode in pre- and post-drug samples.</t>
  </si>
  <si>
    <t>sodium channel modulator (CHEBI:39000)</t>
  </si>
  <si>
    <t>monoatomic ion transport (GO:0006811), sodium ion transport (GO:0006814)</t>
  </si>
  <si>
    <t xml:space="preserve">Functional Deep Mutational Scan (DMS) scores were calculated from the log10 ratio of variant prevalence in the post-drug library compared to the initial library, with prevalence determined by high-throughput sequencing of barcodes in both pre- and post-drug samples. The raw scores were linearly normalized to establish a standardized scale where the mean synonymous variant score was set to 100 and the mean nonsense variant score was set to 0. For statistical robustness, six independent experimental replicates were performed, with scores from all replicates averaged to determine the mean DMS score for each variant, and 95% confidence intervals were calculated to assess score reliability.
Variant function was classified based on both the mean score and confidence interval position relative to the synonymous range (74-127). Variants having both mean and confidence intervals completely outside this range were categorized definitively as gain or loss of function. Variants with means outside but confidence intervals overlapping the synonymous range were classified as possibly gain or loss of function. </t>
  </si>
  <si>
    <t>Six independent transfections and drug treatments</t>
  </si>
  <si>
    <t>Spearman's correlation = 0.59</t>
  </si>
  <si>
    <t>SCN5A_Ma_2024</t>
  </si>
  <si>
    <t>Automatic patch clamping assay (peak current density) of SCN5A variants in HEK293T cells</t>
  </si>
  <si>
    <t>urn:mavedb:00001233-a-1</t>
  </si>
  <si>
    <t>ENST00000423572.7 (NM_000335.5)</t>
  </si>
  <si>
    <t>ENST00000423572.7</t>
  </si>
  <si>
    <t>NM_000335.5</t>
  </si>
  <si>
    <t>An automatic patch clamp assay was used to measure _SCN5A_ variant function. The automated patch clamp (APC) electrophysiology assay measured sodium channel function using voltage protocols that stepped from -100mV to +60mV in +5mV increments, with the -30mV sweep used for primary analyses. Peak sodium current (INa) density was measured from two different holding potentials: -120mV (ensuring channels began in the closed state) and -90mV (representing physiological cardiomyocyte resting potential). The protocol included measurement of steady-state activation (conductance following activation from -100mV to +60mV), steady-state inactivation (channel availability following conditioning pulses), and recovery from inactivation (time needed for channels to recover from the inactivated state).
This experiment represents peak sodium current density (INa) measured by two institutions.</t>
  </si>
  <si>
    <t>Tet-on landing pad system with BxB1 recombinase sites or stably integrated FRT site (Flp-In 293)</t>
  </si>
  <si>
    <t xml:space="preserve">sodium channel activity (GO:0005272)
</t>
  </si>
  <si>
    <t>Peak sodium current (INa) density was measured from HEK293 cells expressing wild-type or variant _SCN5A_ channels. Current measurements were obtained using automated patch clamp (APC) technology at two independent research sites (VCCRI and VUMC). Raw current densities were found to follow a non-gaussian distribution and were therefore transformed using a square root transformation to achieve a more normal distribution. Measurements were typically obtained after holding the membrane at -120 mV, with an additional protocol measuring current from a more physiologically relevant holding potential of -90 mV. 
Data were normalized to wild-type measurements, and Z-scores were calculated based on the distribution of 25 benign variant controls as a reference population. Z-scores between -2 and 2 were considered within normal range, Z-scores between -2 and -4 were classified as moderate loss-of-function, and Z-scores smaller than -4 were designated as severe loss-of-function. A minimum of 36 cells per variant was determined necessary to detect a 25% difference in current density at 90% power with a 95% confidence interval.</t>
  </si>
  <si>
    <t>Variant channel parameters were generated independently at the 2 research sites; at least 36 cells per variant were measured (powered to detect a 25% difference in peak current density).</t>
  </si>
  <si>
    <t>R2 = 0.86</t>
  </si>
  <si>
    <t>Added author-provided functional classifications as a new column in the supplement</t>
  </si>
  <si>
    <t>SFPQ_IGVF</t>
  </si>
  <si>
    <t>SFPQ</t>
  </si>
  <si>
    <t>Saturation genome editing based essentiality screen of SFPQ in Hap1 cells.</t>
  </si>
  <si>
    <t>urn:mavedb:00001265-a-2</t>
  </si>
  <si>
    <t>ENST00000357214.6</t>
  </si>
  <si>
    <t>NM_005066.3</t>
  </si>
  <si>
    <t>A cell survival assay was used to measure SFPQ essentiality. LIG4-KO, cas9-expressing HAP1 cells were transfected with a sgRNA-expressing plasmid to target SFPQ and a library of plasmids containing all SNVs across the target sequence. Cells were harvested at day 5 and day 13. Direct sequencing was then used to determine the frequency of each variant at each time point.</t>
  </si>
  <si>
    <t>SGCB_Li_2023</t>
  </si>
  <si>
    <t>SGCB</t>
  </si>
  <si>
    <t>Comprehensive functional characterization of SGCB coding variants predicts pathogenicity in limb-girdle muscular dystrophy type R4/2E</t>
  </si>
  <si>
    <t>urn:mavedb:00000659-a-1</t>
  </si>
  <si>
    <t>Li</t>
  </si>
  <si>
    <t>ENST00000381431.10</t>
  </si>
  <si>
    <t>NM_000232.5</t>
  </si>
  <si>
    <t>A deep mutational scanning (DMS) approach was employed to assess the function of SGCB variants using ADG-HEK cells (HEK293 cells stably expressing SGCA, SGCD, and SGCG). Protein-coding variants were introduced via lentiviral transduction containing saturating mutagenesis libraries of SGCB divided into six overlapping sublibraries. After 72 hours, cells were bulk-sorted for YFP expression, cultured for 5-7 days, then sorted into four bins based on cell surface expression of SGCB-HA or SGCA. Genomic DNA was isolated from each bin, amplified using PCR, and sequenced on an Illumina MiSeq or NovaSeq to determine the enrichment or depletion of each variant across bins.</t>
  </si>
  <si>
    <t>coexpressing α-, γ-, and δ-sarcoglycan  (SGCA, SGCD, and SGCG)</t>
  </si>
  <si>
    <t xml:space="preserve">The bioinformatic analysis pipeline began with filtering the sequencing data, where variants with fewer than 50 reads per million across bins were excluded. For each sample, raw read counts for mutant codons were processed to calculate per-mutation frequencies. When multiple codon changes resulted in the same amino acid substitution, the median value was taken to produce a single amino acid-level score. The functional scores were then mathematically calculated as the log10 ratio of variant frequency in bin 4 (high expression) divided by its frequency in bin 1 (low expression). These raw scores underwent normalization across all library sections to establish a consistent scale where synonymous mutations were centered at a mean of 0 with a standard deviation of 0.5. Data processing included normalization to account for technical variation between library sections, with biological replicates being integrated by taking the median score across experiments. This approach resulted in a bimodal distribution of scores that ranged from -2.9 to 1.46, with functionally deleterious variants scoring negatively and neutral variants scoring positively
Functional classifications were assigned based on the normalized functional score distribution, with a clear bimodal pattern enabling distinction between deleterious and neutral variants. Variants with functional scores below -0.5 were classified as deleterious (nonfunctional), while those with scores above -0.5 were considered neutral (functional). This cutoff was established by analyzing the distribution of scores from known reference variants - synonymous variants had scores averaging 0 (range -0.05 to 1.2), while nonsense mutations averaged -1.5 (±0.8). </t>
  </si>
  <si>
    <t xml:space="preserve">Each sublibrary assay was performed in duplicate, with the experimental replication beginning from the transduction step.
</t>
  </si>
  <si>
    <t>pairwise Pearson's r²  between biological replicates = 0.77</t>
  </si>
  <si>
    <t>Variants with known clinical effects</t>
  </si>
  <si>
    <t>[-0.5, Inf)</t>
  </si>
  <si>
    <t>(-Inf, -0.5)</t>
  </si>
  <si>
    <t>TARDBP_Bolognesi_Faure_2019</t>
  </si>
  <si>
    <t>TARDBP</t>
  </si>
  <si>
    <t>Deep mutational scanning of TDP-43 prion-like domain using a toxicity assay.</t>
  </si>
  <si>
    <t>urn:mavedb:00000060-a-1, urn:mavedb:00000060-a-2</t>
  </si>
  <si>
    <t>Bolognesi_Faure</t>
  </si>
  <si>
    <t>ENST00000240185.8</t>
  </si>
  <si>
    <t>NM_007375.4</t>
  </si>
  <si>
    <t>The prion-like domain (PRD) of TDP-43 was comprehensively mutated using error-prone oligonucleotide synthesis to generate a library of over 50,000 variants, which was transformed into Saccharomyces cerevisiae cells. Expression of the TDP-43 variants was induced using a galactose-responsive promoter, with yeast cultures grown for approximately 50 hours in non-inducing medium before being transferred to galactose medium for the selection period. Deep sequencing was performed on samples taken before induction (input) and after 5-6 generations of growth under inducing conditions (output) across three biological replicates to track the frequency changes of each variant. The relative toxicity of variants was determined by how they affected yeast growth rate compared to wild-type TDP-43, with variants that decreased in frequency during selection deemed more toxic. This approach allowed high-throughput assessment of how mutations throughout the PRD affected protein toxicity in vivo.</t>
  </si>
  <si>
    <t>MATa his3∆1 leu2∆0 met15∆0 ura3∆0</t>
  </si>
  <si>
    <t>molecular condensate scaffold activity (GO:0140693)</t>
  </si>
  <si>
    <t xml:space="preserve">The functional toxicity scores for TDP-43 variants were calculated by comparing the frequency of each variant in the output samples (after selection) to their frequency in the input samples (before induction). Specifically, for each variant, an enrichment score (ES) was calculated as the natural logarithm of the ratio between its frequency in the output and input samples. The relative toxicity of each variant was then determined by taking the difference between the wild-type TDP-43 enrichment score and the variant's enrichment score. This measurement was normalized by the number of cell doublings during selection to yield relative growth rates per generation.
To account for experimental uncertainty, error estimates combined expected Poisson error based on read counts with error between replicate selections. For double mutants that were underrepresented and often missing from output samples due to their toxicity, a Bayesian approach was implemented to estimate toxicity based on similar variants. The toxicity scores were further normalized between replicate selections and libraries, with distributions centered on the toxicity of synonymous variants and scaled so that stop codon variants had consistent toxicity values across libraries.
The functional classifications of TDP-43 variants were assigned based on statistical comparison to wild-type toxicity. Variants were classified as more toxic or less toxic than wild-type TDP-43 using a t-test with a false discovery rate (FDR) of 0.05. </t>
  </si>
  <si>
    <t>3 biological replicates, 2 techinical replicates</t>
  </si>
  <si>
    <t>Pearson correlation coefficients (R) between replicates 1 and 2 for single and double amino acid  for each library (290–332; 332–373) = 0.93, 0.8</t>
  </si>
  <si>
    <t>Two 186 nt oligonucleotides were purchased from TriLink. Each consisted of a ‘doped’ region of 126 nt, corresponding to TDP-43 AA 290–331 or AA 332–373, flanked by 30 nt of the WT TDP-43 sequence on each side. Each position in the mutated area, was doped with an error rate of 1.59%. The target frequency for each library was 27.0% for single mutants and 27.3% for double mutants.</t>
  </si>
  <si>
    <t>TP53_Boettcher_2019</t>
  </si>
  <si>
    <t>TP53</t>
  </si>
  <si>
    <t>Nutlin-3a treatment of TP53 variant-expressing K562 reporter cells was used to enrich for dominant-negative variants</t>
  </si>
  <si>
    <t>urn:mavedb:00001235-a-1</t>
  </si>
  <si>
    <t>Boettcher</t>
  </si>
  <si>
    <t>ENST00000269305.9</t>
  </si>
  <si>
    <t>NM_000546.5</t>
  </si>
  <si>
    <t>AA 72 residue mismatch between transcripts (reference: Pro; authors: Arg)</t>
  </si>
  <si>
    <t>A fluorescent reporter gene assay was used to measure _TP53_ variant function in the context of background WT _TP53_. K562-_TP53_ wild-type cells were modified such that the endogenous copy of CDKN1A, a target of _TP53_ transcription, was fused to GFP at its C-terminus. These cells were then transduced at low MOI with a variant library containing all possible single amino acid substitutions of _TP53_. Following selection and expansion, the cells were treated with 5 μM Nutlin-3a or DMSO for 24 hours. Subsequently, they were sorted into GFP-high and GFP-low populations using flow cytometry. Genomic DNA was then extracted and sequenced for further analysis.</t>
  </si>
  <si>
    <t>K-562 cell (CLO_0002363)</t>
  </si>
  <si>
    <t>K562-TP53wild-type-CDKN1A-GFP reporter cells
K562 cells frameshift mutation fixed to express WT TP53 with a GFP attached to the C-terminus of the CDKN1A gene at endogenous locus</t>
  </si>
  <si>
    <t>MDM2 Inhibitor (NCIT_C162996)</t>
  </si>
  <si>
    <t>dominant_negative_variant (SO:0002052)</t>
  </si>
  <si>
    <t>The sequences were processed using the ORFcall software developed by the Broad Institute. This software aligned read pairs to the _TP53_ reference sequence and tallied codons corresponding to each variant. At each codon position, counts were generated for all 64 possible codons, including both programmed variants and those appearing due to library synthesis or PCR/NGS errors.
For normalization, raw read counts were converted to the fraction of counts at each codon position, which controlled for positional biases and differences in sequencing depth. This approach normalized for the total number of reads at each amino acid position.
For quantitative analysis of variant effects, the log10 ratio of fractional read counts in GFPlo over GFPhi cells was calculated for each non-synonymous and synonymous p53 variant. This transformation provided a metric where higher values indicated stronger dominant-negative effects.</t>
  </si>
  <si>
    <t>Two independent replicates</t>
  </si>
  <si>
    <t>Amino acid Z was replaced with “*” and B with “=”; Nutlin_Ratio_average was calculated by averaging both replicates</t>
  </si>
  <si>
    <t>TP53_Fayer_2021_meta</t>
  </si>
  <si>
    <t>Combined score from naive Bayes classifier trained on functional data of TP53 from Giacomelli et al. and Boettcher et al.</t>
  </si>
  <si>
    <t>urn:mavedb:00001236-0-1</t>
  </si>
  <si>
    <t>Fayer</t>
  </si>
  <si>
    <t>new VUS reclassification, new score set (trained a predictor)</t>
  </si>
  <si>
    <t>30224644, 31395785</t>
  </si>
  <si>
    <t>The TP53 naive Bayes classifier was trained on 161 TP53 missense variants from ClinVar (129 pathogenic/likely pathogenic and 32 benign/likely benign) using function scores from four multiplexed assays: 1) TP53-null A549 cell line with positive selection for loss-of-function variants with etoposide, 2) TP53-null A549 cell line with negative selection for loss-of-function variants with nutlin-3, 3) TP53-wild-type A549 cell line with positive selection for dominant negative variants with nutlin-3, and 4) TP53-wild-type AML reporter cell line with positive selection for dominant negative variants with nutlin-3.</t>
  </si>
  <si>
    <t>dominant_negative_variant (SO:0002052), loss_of_function_variant (SO:0002054)</t>
  </si>
  <si>
    <t>A Gaussian Naive Bayes classifier was implemented for _TP53_ variant classification using Python's SciKit Learn library. Features from four distinct multiplexed assays were incorporated into the probabilistic model without transformation, where each variant's function score was treated as an independent variable with Gaussian distribution assumptions. Prior probabilities of 0.5 were established for both functionally normal and abnormal classes, allowing equal weighting in the Bayesian probability calculations. Conditional probabilities were computed using 161 ClinVar variants as training data, with 129 pathogenic/likely pathogenic and 32 benign/likely benign instances serving as class labels. The posterior probability of a variant's functional status was determined by multiplying the prior probability by the likelihood derived from the conditional probability distributions across all four assay features.</t>
  </si>
  <si>
    <t>Not applicable</t>
  </si>
  <si>
    <t>Amino acid Z was replaced with “*” and B with “=”; Variant column "Z" is changed to "Ter"</t>
  </si>
  <si>
    <t>TP53_Fortuno_2021</t>
  </si>
  <si>
    <t>Classification of TP53 function using median TP53 transcriptional activity from Kato et al.</t>
  </si>
  <si>
    <t>urn:mavedb:00001234-0-1</t>
  </si>
  <si>
    <t>Fortuno</t>
  </si>
  <si>
    <t>new functional classification or assay cut-offs, new score set (combined assays)</t>
  </si>
  <si>
    <t>A meta-analysis of p53 functional scores was conducted by utilizing the median values across the eight promoter-specific assays (p21WAF1, MDM2, BAX, GADD45, 14-3-3σ, p53AIP1, Noxa, and p53R2).</t>
  </si>
  <si>
    <t>YPH499/YPH500</t>
  </si>
  <si>
    <t>MATa ura3-52 lys2-801_amber ade2-101_ochre trp1-Δ63 his3-Δ200 leu2-Δ1; MATα ura3-52 lys2-801_amber ade2-101_ochre trp1-Δ63 his3-Δ200 leu2-Δ1</t>
  </si>
  <si>
    <t>(-Inf, 20]</t>
  </si>
  <si>
    <t>Partially functional</t>
  </si>
  <si>
    <t>(20,75]</t>
  </si>
  <si>
    <t>(75,Inf)</t>
  </si>
  <si>
    <t>TP53_Funk_2025</t>
  </si>
  <si>
    <t>Saturation genome editing to assess TP53 variants in exons 5-8.</t>
  </si>
  <si>
    <t>urn:mavedb:00001277-a-1</t>
  </si>
  <si>
    <t>Funk</t>
  </si>
  <si>
    <t>NM_000546.6</t>
  </si>
  <si>
    <t>A cell fitness assay was used to measure the functional impact of TP53 variants. HCT116 LSL/Δ cells were co-transfected with a TP53-targeting CRISPR-Cas9 nuclease and a library of HDR donor plasmids containing 9,225 variants across exons 5–8, followed by selection with blasticidin and puromycin. Adenoviral Cre was then delivered to activate expression of the introduced variants, and cells were treated with 10 µM Nutlin-3a or DMSO for 8 days. Genomic DNA was harvested and the edited locus was amplified by nested PCR and sequenced by NGS to determine the frequency of each variant in treated versus control cells.</t>
  </si>
  <si>
    <t>HCT 116 cell (CLO_0007965)</t>
  </si>
  <si>
    <t>loxPstopLoxP-TP53 on TP53 knockout background</t>
  </si>
  <si>
    <t xml:space="preserve"> MDM2 Inhibitor (NCIT_C162996), Nutlin-3a (NCIT_C74594)</t>
  </si>
  <si>
    <t>DNA damage response, signal transduction by p53 class mediator (GO:0030330), MDM2/MDM4 family protein binding (GO:0097371)</t>
  </si>
  <si>
    <t>Enrichment scores (ESs) were calculated as the log2 fold change in variant abundance in Nutlin-3a-treated versus DMSO-treated cells. These ESs were then normalized to a relative fitness score (RFS) using the median ES of nonsense variants (set to +1, representing loss of function) and the median ES of synonymous variants (set to −1, representing wild-type-like function) within each exon, using the formula:
RFS = ((ES − median_nonsense) / (median_nonsense − median_synonymous)) × 2 + 1
The RFS was calculated for each of three biological replicates, and the median RFS across replicates was used as the final score.</t>
  </si>
  <si>
    <t>Biological replicates. Genomic editing was performed once for each tile. The entire functional assay (including Cre transfection and selection with Nutlin) was performed in triplicate sequentially on different days.</t>
  </si>
  <si>
    <t>pair-wise correlation coefficients (Spearman) (values not reported in main text)</t>
  </si>
  <si>
    <t>exon 5 - 8</t>
  </si>
  <si>
    <t>Purchased primers used to generate variant pools through PCR amplification, introduced to HR700 vector using golden gate cloning.</t>
  </si>
  <si>
    <t>Lipfectamine 2000</t>
  </si>
  <si>
    <t>functionally normal</t>
  </si>
  <si>
    <t>Functionally Abnormal</t>
  </si>
  <si>
    <t>TP53_Giacomelli_2018_combined_score</t>
  </si>
  <si>
    <t>Combined score using three assays of TP53 activity that assess loss of function or dominant negative effect</t>
  </si>
  <si>
    <t>urn:mavedb:00000068-0-1</t>
  </si>
  <si>
    <t>Giacomelli</t>
  </si>
  <si>
    <t>This combined score integrates data from three functional assays to provide a comprehensive measure of each TP53 variant's functional impact. It uses the Z-scores from the two nutlin-3 assays (which enrich for loss-of-function and dominant-negative alleles) and the Z-score from the etoposide assay (which enriches for wild-type-like alleles).</t>
  </si>
  <si>
    <t>p53 WT isogenic cell line and p53 NULL cell population</t>
  </si>
  <si>
    <t>loss_of_function_variant (SO:0002054), dominant_negative_variant (SO:0002052)</t>
  </si>
  <si>
    <t>The combined phenotype score was calculated to provide an integrated measure of _TP53_ variant functionality across all three assays. For each _TP53_ variant, Z-scores from the individual assays were algebraically combined using the formula: (Z-score(p53WT + nutlin) + Z-score(p53NULL + nutlin) - Z-score(p53NULL + etoposide))/3 ± SD(+ Z-score(p53WT + nutlin), + Z-score(p53NULL + nutlin), - Z-score(p53NULL + etoposide))/√3. In this calculation, the Z-score from the p53NULL etoposide assay was inverted (multiplied by -1) because wild-type activity in this assay was indicated by positive values, whereas loss-of-function was the predominant phenotype being assessed in the other two assays. The three Z-scores were averaged and accompanied by a standardized measure of variance, providing a comprehensive assessment of each variant's functional status. Higher combined scores indicated variants with stronger loss-of-function and dominant-negative properties across all experimental conditions.</t>
  </si>
  <si>
    <t>Amino acid Z was replaced with “*” and B with “=”</t>
  </si>
  <si>
    <t>TP53_Giacomelli_2018_p53null_etoposide</t>
  </si>
  <si>
    <t>Growth assay using p53 NULL cell line and etoposide (DSB inducing agent) to separate TP53 WT-like variants (enriched) and TP53 LOF variants (depleted).</t>
  </si>
  <si>
    <t>urn:mavedb:00000068-c-1</t>
  </si>
  <si>
    <t>A549 human lung carcinoma cells lacking endogenous p53 were lentivirus transduced with a library of TP53 variants and subsequently treated with etoposide, a topoisomerase II inhibitor that induces DNA double-strand breaks. Cells expressing WT-like p53 survive this treatment and LoF variants are depleted. Variant frequencies after 12 days of selection were compared to variant frequencies before selection.</t>
  </si>
  <si>
    <t>A549 cell (CLO_0001230)</t>
  </si>
  <si>
    <t>p53 NULL cell population (not clonal)</t>
  </si>
  <si>
    <t>Topoisomerase-II Inhibitor (NCIT_C1968)</t>
  </si>
  <si>
    <t xml:space="preserve">double-strand break repair (GO:0006302), DNA damage response, signal transduction by p53 class mediator (GO:0030330), response to etoposide (GO:1902521)
</t>
  </si>
  <si>
    <t>For the p53NULL etoposide assay, the functional impact of TP53 variants was evaluated using the same analytical framework. Raw read counts were obtained from p53NULL cells expressing the TP53-MITE library after 12 days of treatment with 5 μM etoposide and normalized to the fraction of total counts at each codon position. Log2-fold changes relative to early time point samples were calculated, averaged, and standardized to Z-scores. In this context, positive Z-scores indicated variants with wild-type-like activity, as these mutants were able to restore p53-dependent protection against etoposide-induced cell death in p53NULL cells, resulting in enhanced survival compared to loss-of-function mutants.</t>
  </si>
  <si>
    <t>2 replicates, transduced with variant library and treated with 5uM etoposide</t>
  </si>
  <si>
    <t>Pearson's R square = 0.75</t>
  </si>
  <si>
    <t>shotgun sequencing</t>
  </si>
  <si>
    <t>TP53_Giacomelli_2018_p53null_Nutlin3</t>
  </si>
  <si>
    <t>Growth assay using p53 NULL cell line and nutlin-3 to separate TP53 WT-like variants (enriched) and TP53 LOF variants (depleted).</t>
  </si>
  <si>
    <t>urn:mavedb:00000068-b-1</t>
  </si>
  <si>
    <t>A549 human lung carcinoma cells lacking endogenous p53 were lentivirus transduced with a library of TP53 variants and subsequently treated with nutlin-3. Nutlin-3 disrupts the MDM2-p53 interaction, which prevents p53 degradation, which normally causes cell cycle arrest. Cells expressing WT-like p53 survive this treatment and LoF variants are depleted. Variant frequencies after 12 days of selection were compared to variant frequencies before selection.</t>
  </si>
  <si>
    <t xml:space="preserve">DNA damage response, signal transduction by p53 class mediator (GO:0030330), MDM2/MDM4 family protein binding (GO:0097371)
</t>
  </si>
  <si>
    <t>For the p53NULL nutlin-3 assay, the functional impact of TP53 variants was assessed following similar methodology. Raw read counts were obtained from p53NULL cells expressing the TP53-MITE library after 12 days of treatment with nutlin-3 and normalized to the fraction of total counts at each codon position. Log2-fold changes in fractional read counts relative to early time point samples were calculated, averaged across replicates, and standardized to Z-scores. In this assay, positive Z-scores indicated variants with loss-of-function activity, as these mutants were unable to restore p53-dependent nutlin-3 sensitivity in p53NULL cells and therefore exhibited enhanced survival.</t>
  </si>
  <si>
    <t>2 replicates, transduced with variant library and treated with 5uM Nutlin-3</t>
  </si>
  <si>
    <t>Pearson's R squared = 0.53</t>
  </si>
  <si>
    <t>TP53_Giacomelli_2018_p53WT_Nutlin3</t>
  </si>
  <si>
    <t>Growth assay using p53 WT isogenic cell line and nutlin-3 to enrich for TP53 dominant negative variants.</t>
  </si>
  <si>
    <t>urn:mavedb:00000068-a-1</t>
  </si>
  <si>
    <t>A549 human lung carcinoma cells expressing endogenous wild-type p53 were lentivirus transduced with a library of TP53 variants and subsequently treated with nutlin-3. Nutlin-3 disrupts the MDM2-p53 interaction, which prevents p53 degradation, which normally causes cell cycle arrest. Cells expressing dominant-negative TP53 mutations survived this treatment allowing continued proliferation despite nutlin-3 exposure.  Variant frequencies after 12 days of selection were compared to variant frequencies before selection.</t>
  </si>
  <si>
    <t>p53WT isogenic cell line</t>
  </si>
  <si>
    <t>For the p53WT nutlin-3 assay, the functional impact of TP53 variants was assessed through a standardized scoring protocol. Raw read counts were obtained from p53WT cells expressing the TP53-MITE library after 12 days of treatment with nutlin-3 and normalized to the fraction of total counts at each codon position. Enrichment or depletion of each amino acid variant was calculated as the log2-fold change in fractional read counts relative to the early time point samples. These values were averaged across biological replicates and standardized to produce Z-scores. Positive Z-scores in this assay indicated variants with dominant-negative activity, as these mutants were able to interfere with endogenous wild-type p53 function and confer resistance to nutlin-3</t>
  </si>
  <si>
    <t>2 replicates, transduced with variant library and treated with 2.5uM Nutlin-3</t>
  </si>
  <si>
    <t>Pearson's R square = 0.73</t>
  </si>
  <si>
    <t>TP53_Kato_2003_AIP1nWT</t>
  </si>
  <si>
    <t>Arrayed yeast-based assay of TP53 transcriptional activity of the p53AIP1 promoter</t>
  </si>
  <si>
    <t>urn:mavedb:00001234-e-1</t>
  </si>
  <si>
    <t>Kato</t>
  </si>
  <si>
    <t>A comprehensive system to evaluate p53 gene function was developed through site-directed mutagenesis, with 2,314 distinct p53 mutants with single base substitutions being created. A yeast-based assay was utilized where mutant p53 proteins' transcriptional activity was measured by their ability to activate reporter genes (GFP or Ds-Red) through various p53-binding sequences derived from different target genes. The system involved different yeast strains containing either the p53 mutants or the reporter constructs being mated, followed by fluorescence intensity being measured to quantify transcriptional activation. How each mutation affected p53's ability to bind to and activate transcription from different target gene promoters was systematically assessed. This experiment measures the ability of p53 to activate the p53AIP1 promoter.</t>
  </si>
  <si>
    <t>loss_of_function_variant (SO:0002054), gain_of_function_variant (SO:0002053)</t>
  </si>
  <si>
    <t>The raw fluorescence values from at least two independent experiments were averaged for each reporter and then standardized across all mutants to create relative transactivation scores for each p53 binding sequence. This score set measures the ability of p53 to activate the p53AIP1 promoter.</t>
  </si>
  <si>
    <t>At least two independent experiments were performed for each reporter and the fluorescence intensities were averaged.</t>
  </si>
  <si>
    <t>yeast mating</t>
  </si>
  <si>
    <t>TP53_Kato_2003_BAXnWT</t>
  </si>
  <si>
    <t>Arrayed yeast-based assay of TP53 transcriptional activity of the BAX promoter</t>
  </si>
  <si>
    <t>urn:mavedb:00001234-c-1</t>
  </si>
  <si>
    <t>A comprehensive system to evaluate p53 gene function was developed through site-directed mutagenesis, with 2,314 distinct p53 mutants with single base substitutions being created. A yeast-based assay was utilized where mutant p53 proteins' transcriptional activity was measured by their ability to activate reporter genes (GFP or Ds-Red) through various p53-binding sequences derived from different target genes. The system involved different yeast strains containing either the p53 mutants or the reporter constructs being mated, followed by fluorescence intensity being measured to quantify transcriptional activation. How each mutation affected p53's ability to bind to and activate transcription from different target gene promoters was systematically assessed. This experiment measures the ability of p53 to activate the BAX promoter.</t>
  </si>
  <si>
    <t>The raw fluorescence values from at least two independent experiments were averaged for each reporter and then standardized across all mutants to create relative transactivation scores for each p53 binding sequence. This score set measures the ability of p53 to activate the BAX promoter.</t>
  </si>
  <si>
    <t>TP53_Kato_2003_GADD45nWT</t>
  </si>
  <si>
    <t>Arrayed yeast-based assay of TP53 transcriptional activity of the GADD45 promoter</t>
  </si>
  <si>
    <t>urn:mavedb:00001234-f-1</t>
  </si>
  <si>
    <t>A comprehensive system to evaluate p53 gene function was developed through site-directed mutagenesis, with 2,314 distinct p53 mutants with single base substitutions being created. A yeast-based assay was utilized where mutant p53 proteins' transcriptional activity was measured by their ability to activate reporter genes (GFP or Ds-Red) through various p53-binding sequences derived from different target genes. The system involved different yeast strains containing either the p53 mutants or the reporter constructs being mated, followed by fluorescence intensity being measured to quantify transcriptional activation. How each mutation affected p53's ability to bind to and activate transcription from different target gene promoters was systematically assessed. This experiment measures the ability of p53 to activate the GADD45 promoter.</t>
  </si>
  <si>
    <t>The raw fluorescence values from at least two independent experiments were averaged for each reporter and then standardized across all mutants to create relative transactivation scores for each p53 binding sequence. This score set measures the ability of p53 to activate the GADD45 promoter.</t>
  </si>
  <si>
    <t>TP53_Kato_2003_h1433snWT</t>
  </si>
  <si>
    <t>Arrayed yeast-based assay of TP53 transcriptional activity of the h1433snWT promoter</t>
  </si>
  <si>
    <t>urn:mavedb:00001234-d-1</t>
  </si>
  <si>
    <t>A comprehensive system to evaluate p53 gene function was developed through site-directed mutagenesis, with 2,314 distinct p53 mutants with single base substitutions being created. A yeast-based assay was utilized where mutant p53 proteins' transcriptional activity was measured by their ability to activate reporter genes (GFP or Ds-Red) through various p53-binding sequences derived from different target genes. The system involved different yeast strains containing either the p53 mutants or the reporter constructs being mated, followed by fluorescence intensity being measured to quantify transcriptional activation. How each mutation affected p53's ability to bind to and activate transcription from different target gene promoters was systematically assessed. This experiment measures the ability of p53 to activate the 14-3-3σ promoter.</t>
  </si>
  <si>
    <t>The raw fluorescence values from at least two independent experiments were averaged for each reporter and then standardized across all mutants to create relative transactivation scores for each p53 binding sequence. This score set measures the ability of p53 to activate the 14-3-3σ promoter.</t>
  </si>
  <si>
    <t>TP53_Kato_2003_MDM2nWT</t>
  </si>
  <si>
    <t>Arrayed yeast-based assay of TP53 transcriptional activity of the MDM2 promoter</t>
  </si>
  <si>
    <t>urn:mavedb:00001234-b-1</t>
  </si>
  <si>
    <t>A comprehensive system to evaluate p53 gene function was developed through site-directed mutagenesis, with 2,314 distinct p53 mutants with single base substitutions being created. A yeast-based assay was utilized where mutant p53 proteins' transcriptional activity was measured by their ability to activate reporter genes (GFP or Ds-Red) through various p53-binding sequences derived from different target genes. The system involved different yeast strains containing either the p53 mutants or the reporter constructs being mated, followed by fluorescence intensity being measured to quantify transcriptional activation. How each mutation affected p53's ability to bind to and activate transcription from different target gene promoters was systematically assessed. This experiment measures the ability of p53 to activate the MDM2 promoter.</t>
  </si>
  <si>
    <t>The raw fluorescence values from at least two independent experiments were averaged for each reporter and then standardized across all mutants to create relative transactivation scores for each p53 binding sequence. This score set measures the ability of p53 to activate the MDM2 promoter.</t>
  </si>
  <si>
    <t>TP53_Kato_2003_NOXAnWT</t>
  </si>
  <si>
    <t>Arrayed yeast-based assay of TP53 transcriptional activity of the Noxa promoter</t>
  </si>
  <si>
    <t>urn:mavedb:00001234-g-1</t>
  </si>
  <si>
    <t>A comprehensive system to evaluate p53 gene function was developed through site-directed mutagenesis, with 2,314 distinct p53 mutants with single base substitutions being created. A yeast-based assay was utilized where mutant p53 proteins' transcriptional activity was measured by their ability to activate reporter genes (GFP or Ds-Red) through various p53-binding sequences derived from different target genes. The system involved different yeast strains containing either the p53 mutants or the reporter constructs being mated, followed by fluorescence intensity being measured to quantify transcriptional activation. How each mutation affected p53's ability to bind to and activate transcription from different target gene promoters was systematically assessed. This experiment measures the ability of p53 to activate the Noxa promoter.</t>
  </si>
  <si>
    <t>The raw fluorescence values from at least two independent experiments were averaged for each reporter and then standardized across all mutants to create relative transactivation scores for each p53 binding sequence. This score set measures the ability of p53 to activate the Noxa promoter.</t>
  </si>
  <si>
    <t>TP53_Kato_2003_P53R2nWT</t>
  </si>
  <si>
    <t>Arrayed yeast-based assay of TP53 transcriptional activity of the p53R2 promoter</t>
  </si>
  <si>
    <t>urn:mavedb:00001234-h-1</t>
  </si>
  <si>
    <t>A comprehensive system to evaluate p53 gene function was developed through site-directed mutagenesis, with 2,314 distinct p53 mutants with single base substitutions being created. A yeast-based assay was utilized where mutant p53 proteins' transcriptional activity was measured by their ability to activate reporter genes (GFP or Ds-Red) through various p53-binding sequences derived from different target genes. The system involved different yeast strains containing either the p53 mutants or the reporter constructs being mated, followed by fluorescence intensity being measured to quantify transcriptional activation. How each mutation affected p53's ability to bind to and activate transcription from different target gene promoters was systematically assessed. This experiment measures the ability of p53 to activate the p53R2 promoter.</t>
  </si>
  <si>
    <t>The raw fluorescence values from at least two independent experiments were averaged for each reporter and then standardized across all mutants to create relative transactivation scores for each p53 binding sequence. This score set measures the ability of p53 to activate the p53R2 promoter.</t>
  </si>
  <si>
    <t>TP53_Kato_2003_WAF1nWT</t>
  </si>
  <si>
    <t>Arrayed yeast-based assay of TP53 transcriptional activity of the p21WAF1 promoter</t>
  </si>
  <si>
    <t>urn:mavedb:00001234-a-1</t>
  </si>
  <si>
    <t>A comprehensive system to evaluate p53 gene function was developed through site-directed mutagenesis, with 2,314 distinct p53 mutants with single base substitutions being created. A yeast-based assay was utilized where mutant p53 proteins' transcriptional activity was measured by their ability to activate reporter genes (GFP or Ds-Red) through various p53-binding sequences derived from different target genes. The system involved different yeast strains containing either the p53 mutants or the reporter constructs being mated, followed by fluorescence intensity being measured to quantify transcriptional activation. How each mutation affected p53's ability to bind to and activate transcription from different target gene promoters was systematically assessed. This experiment measures the ability of p53 to activate the p21WAF1 promoter.</t>
  </si>
  <si>
    <t>The raw fluorescence values from at least two independent experiments were averaged for each reporter and then standardized across all mutants to create relative transactivation scores for each p53 binding sequence. This score set measures the ability of p53 to activate the p21WAF1 promoter.</t>
  </si>
  <si>
    <t>TPK1_Weile_2017</t>
  </si>
  <si>
    <t>TPK1</t>
  </si>
  <si>
    <t>A Deep Mutational Scan of human TPK1 using functional complementation in yeast via DMS-TileSeq.</t>
  </si>
  <si>
    <t>urn:mavedb:00001251-a-1</t>
  </si>
  <si>
    <t>ENST00000360057.7</t>
  </si>
  <si>
    <t>NM_022445.4</t>
  </si>
  <si>
    <t>TPK1 function was assayed using a yeast-based functional complementation approach. The researchers used a temperature-sensitive yeast strain (thi80-ph) that carried a mutation in the yeast ortholog of TPK1, which could be rescued by expressing the wild-type human TPK1 gene. A library of TPK1 variants was transformed into the temperature-sensitive yeast strain, and selected for functional variants by growing the yeast at the non-permissive temperature (36°C). Direct sequencing was used to determine the variant frequencies in yeast grown at permissive and restrictive temperatures.</t>
  </si>
  <si>
    <t>thi80-ph</t>
  </si>
  <si>
    <t>thi80-ph - defective thiamine biosynthesis needed for growth</t>
  </si>
  <si>
    <t xml:space="preserve">catalytic activity (GO:0003824), thiamine diphosphokinase activity (GO:0004788)
</t>
  </si>
  <si>
    <t>TSC2_IGVF</t>
  </si>
  <si>
    <t>TSC2</t>
  </si>
  <si>
    <t>A Deep Mutational Scan of the tuberin and Rap-Gap domains of TSC2. Functionally normal and abnormal variants were scored using a VAMP-Seq abundance assay for each domain library.</t>
  </si>
  <si>
    <t>IGVF, Biar, Wang</t>
  </si>
  <si>
    <t>ENST00000219476</t>
  </si>
  <si>
    <t>ENST00000219476.9</t>
  </si>
  <si>
    <t>NM_000548.5</t>
  </si>
  <si>
    <t>VAMP-seq was used to measure TSC2 protein abundance. This assay uses HEK293T cells with a landing pad locus to express a two libraries of TSC2 variants fused to GFP, with mCherry expressed from an IRES as an internal control for mRNA levels. Cells expressing TSC2 variants are sorted by FACS into bins based on the GFP:mCherry ratio. Barcode sequencing was then used to determine the frequency of each variant in each bin.</t>
  </si>
  <si>
    <t>Sequence files in FASTQ format were produced by bcl2fastq v2.20 and then merged using PEAR41 v0.9.11 with minimum overlap, minimum assembly length and maximum assembly length all set to the barcode length of 18. Barcodes were mapped to sequences using a barcode to variant map created using analysis of PacBio long-read sequencing with Pacybara. Sequences were mapped to protein variants using the protein variant caller in CountESS. Scoring used weighted abundance values which were min-max normalized using WT and the mean of the bottom 5% of missense varaints to equal 1 and 0, respectively. Scores were calculated according to the approach used in Matreyek et al., 2018.</t>
  </si>
  <si>
    <t>2 and 3</t>
  </si>
  <si>
    <t>2 for library 1 (tuberin domain, and 3 for library 2 (RAP-GAP domain)</t>
  </si>
  <si>
    <t>Pearson's was 0.96 for library 1 replicates and ranged from 0.90 to 0.93 for library 2</t>
  </si>
  <si>
    <t>site-saturation mutagenesis library ordered from Twist</t>
  </si>
  <si>
    <t>VHL_Buckley_2024</t>
  </si>
  <si>
    <t>VHL</t>
  </si>
  <si>
    <t>Saturation genome editing essentiality screen to separate functionally normal and functionally abnormal VHL variants.</t>
  </si>
  <si>
    <t>urn:mavedb:00000675-a-1</t>
  </si>
  <si>
    <t>Buckley</t>
  </si>
  <si>
    <t>ENST00000256474.3</t>
  </si>
  <si>
    <t>NM_000551.4</t>
  </si>
  <si>
    <t>A Saturation Genome Editing (SGE) assay was used to investigate VHL variant function. In this assay, a library of all possible single-nucleotide variants was introduced into HAP1-LIG4-KO haploid human cells using CRISPR-Cas9 mediated homology-directed repair. Cells were grown for 20 days with sample collection at days 6, 13, and 20, then DNA and RNA were extracted and sequenced using Illumina NextSeq to calculate variant frequencies at each time point, allowing computation of function scores based on variant depletion.
This experiment is based on variant frequencies amplified from genomic DNA.</t>
  </si>
  <si>
    <t>Functional scores for VHL variants were calculated through amplicon sequencing of genomic DNA collected from cells on days 6 and 20 post-transfection. The mean log2 ratio of variant frequency between day 20 and day 6 across replicates was determined and normalized to the median score of synonymous variants within each sample. Scores were then normalized across exons using the range of effect sizes observed for synonymous and nonsense variants, with regional scores scaled linearly so the median nonsense variant equaled the global median nonsense value while the median synonymous variant was scaled to 0. Quality filtering was applied to exclude variants with low library or day 6 frequencies, discordant replicate measurements, or high estimated sequencing error. Statistical significance of function scores was established by fitting a null model using synonymous variants and applying a false discovery rate (FDR) of 0.01.
Based on the genomic DNA function scores, variants were classified into four distinct functional categories using gold-standard variant sets. Variants with q values greater than 0.10 and function scores greater than -0.2188 (above the fifth percentile of gold-standard neutral variants) were classified as "neutral." Variants with function scores lower than -1.26 (below the 95th percentile of gold-standard ccRCC variants) were designated as "LOF1" (loss-of-function class 1). Variants with q values less than 0.01 and function scores less than -0.3875 (below the lowest scoring gold-standard neutral variant) were classified as "LOF2" (loss-of-function class 2). All remaining variants were categorized as "Intermediate."</t>
  </si>
  <si>
    <t>Two tandem SGE experiments performed</t>
  </si>
  <si>
    <t>Pearson's R = 0.90 (transfection replicates)</t>
  </si>
  <si>
    <t>coding, intronic, other</t>
  </si>
  <si>
    <t>XRCC2_IGVF</t>
  </si>
  <si>
    <t>XRCC2</t>
  </si>
  <si>
    <t>Saturation genome editing based essentiality screen of XRCC2 in Hap1 cells.</t>
  </si>
  <si>
    <t>urn:mavedb:00001264-a-2</t>
  </si>
  <si>
    <t>ENST00000359321.2</t>
  </si>
  <si>
    <t>NM_005431.2</t>
  </si>
  <si>
    <t>A cell survival assay was used to measure XRCC2 essentiality. LIG4-KO, cas9-expressing HAP1 cells were transfected with a sgRNA-expressing plasmid to target XRCC2 and a library of plasmids containing all SNVs across the target sequence. Cells were harvested at day 5 and day 13. Direct sequencing was then used to determine the frequency of each variant at each time point.</t>
  </si>
  <si>
    <t>urn:mavedb:00001267-0-3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</si>
</sst>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0"/>
      <color rgb="FF000000"/>
      <name val="Arial"/>
      <scheme val="minor"/>
    </font>
    <font>
      <b/>
      <sz val="12"/>
      <color theme="1"/>
      <name val="Arial"/>
      <family val="2"/>
    </font>
    <font>
      <sz val="10"/>
      <color theme="1"/>
      <name val="Arial"/>
      <family val="2"/>
    </font>
    <font>
      <sz val="12"/>
      <color theme="1"/>
      <name val="Arial"/>
      <family val="2"/>
    </font>
    <font>
      <b/>
      <sz val="12"/>
      <color rgb="FF000000"/>
      <name val="Arial"/>
      <family val="2"/>
    </font>
    <font>
      <sz val="12"/>
      <color rgb="FF000000"/>
      <name val="Arial"/>
      <family val="2"/>
    </font>
    <font>
      <sz val="12"/>
      <color rgb="FF000000"/>
      <name val="&quot;Aptos Narrow&quot;"/>
    </font>
    <font>
      <u/>
      <sz val="11"/>
      <color rgb="FF0000FF"/>
      <name val="Arial"/>
      <family val="2"/>
    </font>
    <font>
      <sz val="10"/>
      <color theme="1"/>
      <name val="Arial"/>
      <family val="2"/>
      <scheme val="minor"/>
    </font>
    <font>
      <u/>
      <sz val="12"/>
      <color rgb="FF0000FF"/>
      <name val="Arial"/>
      <family val="2"/>
    </font>
    <font>
      <sz val="11"/>
      <color theme="1"/>
      <name val="Arial"/>
      <family val="2"/>
    </font>
    <font>
      <u/>
      <sz val="12"/>
      <color rgb="FF0000FF"/>
      <name val="Arial"/>
      <family val="2"/>
    </font>
    <font>
      <u/>
      <sz val="11"/>
      <color rgb="FF0000FF"/>
      <name val="Arial"/>
      <family val="2"/>
    </font>
    <font>
      <u/>
      <sz val="12"/>
      <color rgb="FF0000FF"/>
      <name val="Arial"/>
      <family val="2"/>
    </font>
    <font>
      <sz val="10"/>
      <color rgb="FF666666"/>
      <name val="&quot;Luxi Sans&quot;"/>
    </font>
    <font>
      <sz val="10"/>
      <color rgb="FF000000"/>
      <name val="Arial"/>
      <family val="2"/>
    </font>
  </fonts>
  <fills count="4">
    <fill>
      <patternFill patternType="none"/>
    </fill>
    <fill>
      <patternFill patternType="gray125"/>
    </fill>
    <fill>
      <patternFill patternType="solid">
        <fgColor rgb="FFD0E0E3"/>
        <bgColor rgb="FFD0E0E3"/>
      </patternFill>
    </fill>
    <fill>
      <patternFill patternType="solid">
        <fgColor rgb="FFFFFFFF"/>
        <bgColor rgb="FFFFFFFF"/>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s>
  <cellStyleXfs count="1">
    <xf numFmtId="0" fontId="0" fillId="0" borderId="0"/>
  </cellStyleXfs>
  <cellXfs count="53">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1" xfId="0" applyFont="1" applyBorder="1" applyAlignment="1">
      <alignment wrapText="1"/>
    </xf>
    <xf numFmtId="0" fontId="3" fillId="0" borderId="1" xfId="0" applyFont="1" applyBorder="1" applyAlignment="1">
      <alignment horizontal="left" vertical="center" wrapText="1"/>
    </xf>
    <xf numFmtId="0" fontId="3" fillId="0" borderId="0" xfId="0" applyFont="1"/>
    <xf numFmtId="0" fontId="1" fillId="2" borderId="0" xfId="0" applyFont="1" applyFill="1" applyAlignment="1">
      <alignment horizontal="left" vertical="center" wrapText="1"/>
    </xf>
    <xf numFmtId="0" fontId="4" fillId="2" borderId="0" xfId="0" applyFont="1" applyFill="1" applyAlignment="1">
      <alignment horizontal="left" vertical="center" wrapText="1"/>
    </xf>
    <xf numFmtId="0" fontId="1" fillId="2" borderId="2" xfId="0" applyFont="1" applyFill="1" applyBorder="1" applyAlignment="1">
      <alignment horizontal="left" vertical="center" wrapText="1"/>
    </xf>
    <xf numFmtId="0" fontId="1" fillId="2" borderId="1" xfId="0" applyFont="1" applyFill="1" applyBorder="1" applyAlignment="1">
      <alignment horizontal="left" vertical="center" wrapText="1"/>
    </xf>
    <xf numFmtId="0" fontId="3" fillId="3" borderId="0" xfId="0" applyFont="1" applyFill="1" applyAlignment="1">
      <alignment horizontal="left" vertical="center" wrapText="1"/>
    </xf>
    <xf numFmtId="0" fontId="5" fillId="3" borderId="0" xfId="0" applyFont="1" applyFill="1" applyAlignment="1">
      <alignment horizontal="left" vertical="center" wrapText="1"/>
    </xf>
    <xf numFmtId="0" fontId="6" fillId="3" borderId="0" xfId="0" applyFont="1" applyFill="1" applyAlignment="1">
      <alignment horizontal="left" vertical="center"/>
    </xf>
    <xf numFmtId="0" fontId="3" fillId="3" borderId="2"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0" xfId="0" applyFont="1" applyFill="1" applyAlignment="1">
      <alignment wrapText="1"/>
    </xf>
    <xf numFmtId="0" fontId="3" fillId="3" borderId="2" xfId="0" applyFont="1" applyFill="1" applyBorder="1"/>
    <xf numFmtId="0" fontId="3" fillId="3" borderId="1" xfId="0" applyFont="1" applyFill="1" applyBorder="1"/>
    <xf numFmtId="0" fontId="3" fillId="3" borderId="0" xfId="0" applyFont="1" applyFill="1"/>
    <xf numFmtId="0" fontId="2" fillId="3" borderId="0" xfId="0" applyFont="1" applyFill="1" applyAlignment="1">
      <alignment wrapText="1"/>
    </xf>
    <xf numFmtId="0" fontId="7" fillId="3" borderId="0" xfId="0" applyFont="1" applyFill="1" applyAlignment="1">
      <alignment wrapText="1"/>
    </xf>
    <xf numFmtId="0" fontId="8" fillId="3" borderId="0" xfId="0" applyFont="1" applyFill="1"/>
    <xf numFmtId="0" fontId="9" fillId="3" borderId="0" xfId="0" applyFont="1" applyFill="1" applyAlignment="1">
      <alignment wrapText="1"/>
    </xf>
    <xf numFmtId="0" fontId="10" fillId="3" borderId="0" xfId="0" applyFont="1" applyFill="1" applyAlignment="1">
      <alignment wrapText="1"/>
    </xf>
    <xf numFmtId="0" fontId="2" fillId="3" borderId="0" xfId="0" applyFont="1" applyFill="1"/>
    <xf numFmtId="0" fontId="2" fillId="3" borderId="2" xfId="0" applyFont="1" applyFill="1" applyBorder="1" applyAlignment="1">
      <alignment wrapText="1"/>
    </xf>
    <xf numFmtId="0" fontId="2" fillId="3" borderId="1" xfId="0" applyFont="1" applyFill="1" applyBorder="1" applyAlignment="1">
      <alignment wrapText="1"/>
    </xf>
    <xf numFmtId="0" fontId="3" fillId="3" borderId="0" xfId="0" applyFont="1" applyFill="1" applyAlignment="1">
      <alignment vertical="center" wrapText="1"/>
    </xf>
    <xf numFmtId="0" fontId="11" fillId="3" borderId="0" xfId="0" applyFont="1" applyFill="1" applyAlignment="1">
      <alignment vertical="center" wrapText="1"/>
    </xf>
    <xf numFmtId="0" fontId="10" fillId="3" borderId="0" xfId="0" applyFont="1" applyFill="1" applyAlignment="1">
      <alignment horizontal="left" vertical="center" wrapText="1"/>
    </xf>
    <xf numFmtId="0" fontId="2" fillId="3" borderId="0" xfId="0" applyFont="1" applyFill="1" applyAlignment="1">
      <alignment vertical="center"/>
    </xf>
    <xf numFmtId="0" fontId="3" fillId="3" borderId="2" xfId="0" applyFont="1" applyFill="1" applyBorder="1" applyAlignment="1">
      <alignment vertical="center"/>
    </xf>
    <xf numFmtId="0" fontId="3" fillId="3" borderId="1" xfId="0" applyFont="1" applyFill="1" applyBorder="1" applyAlignment="1">
      <alignment vertical="center"/>
    </xf>
    <xf numFmtId="0" fontId="3" fillId="3" borderId="0" xfId="0" applyFont="1" applyFill="1" applyAlignment="1">
      <alignment vertical="center"/>
    </xf>
    <xf numFmtId="0" fontId="5" fillId="3" borderId="0" xfId="0" applyFont="1" applyFill="1" applyAlignment="1">
      <alignment horizontal="left" vertical="center"/>
    </xf>
    <xf numFmtId="0" fontId="3" fillId="3" borderId="2" xfId="0" applyFont="1" applyFill="1" applyBorder="1" applyAlignment="1">
      <alignment horizontal="left" vertical="center"/>
    </xf>
    <xf numFmtId="0" fontId="3" fillId="3" borderId="1" xfId="0" applyFont="1" applyFill="1" applyBorder="1" applyAlignment="1">
      <alignment horizontal="left" vertical="center"/>
    </xf>
    <xf numFmtId="0" fontId="3" fillId="3" borderId="0" xfId="0" applyFont="1" applyFill="1" applyAlignment="1">
      <alignment horizontal="left" vertical="center"/>
    </xf>
    <xf numFmtId="0" fontId="12" fillId="3" borderId="0" xfId="0" applyFont="1" applyFill="1" applyAlignment="1">
      <alignment vertical="center" wrapText="1"/>
    </xf>
    <xf numFmtId="0" fontId="10" fillId="3" borderId="0" xfId="0" applyFont="1" applyFill="1" applyAlignment="1">
      <alignment vertical="center" wrapText="1"/>
    </xf>
    <xf numFmtId="0" fontId="2" fillId="3" borderId="0" xfId="0" applyFont="1" applyFill="1" applyAlignment="1">
      <alignment horizontal="left" vertical="center" wrapText="1"/>
    </xf>
    <xf numFmtId="0" fontId="13" fillId="3" borderId="0" xfId="0" applyFont="1" applyFill="1" applyAlignment="1">
      <alignment horizontal="left" vertical="center" wrapText="1"/>
    </xf>
    <xf numFmtId="0" fontId="14" fillId="3" borderId="0" xfId="0" applyFont="1" applyFill="1" applyAlignment="1">
      <alignment vertical="center"/>
    </xf>
    <xf numFmtId="0" fontId="2" fillId="3" borderId="2"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0" borderId="3" xfId="0" applyFont="1" applyBorder="1" applyAlignment="1">
      <alignment horizontal="left" vertical="center" wrapText="1"/>
    </xf>
    <xf numFmtId="0" fontId="5" fillId="0" borderId="3" xfId="0" applyFont="1" applyBorder="1" applyAlignment="1">
      <alignment horizontal="left" vertical="center" wrapText="1"/>
    </xf>
    <xf numFmtId="0" fontId="3" fillId="0" borderId="0" xfId="0" applyFont="1" applyAlignment="1">
      <alignment horizontal="left" vertical="center" wrapText="1"/>
    </xf>
    <xf numFmtId="0" fontId="5" fillId="0" borderId="1" xfId="0" applyFont="1" applyBorder="1" applyAlignment="1">
      <alignment horizontal="left" vertical="center" wrapText="1"/>
    </xf>
    <xf numFmtId="0" fontId="2" fillId="0" borderId="1" xfId="0" applyFont="1" applyBorder="1"/>
    <xf numFmtId="0" fontId="15" fillId="0" borderId="1" xfId="0" applyFont="1" applyBorder="1" applyAlignment="1">
      <alignment horizontal="left" vertical="center"/>
    </xf>
    <xf numFmtId="0" fontId="2" fillId="0" borderId="1" xfId="0" applyFont="1" applyBorder="1" applyAlignment="1">
      <alignment wrapText="1"/>
    </xf>
  </cellXfs>
  <cellStyles count="1">
    <cellStyle name="Normal" xfId="0" builtinId="0"/>
  </cellStyles>
  <dxfs count="16">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8">
    <tableStyle name="Curation-style" pivot="0" count="2" xr9:uid="{00000000-0011-0000-FFFF-FFFF00000000}">
      <tableStyleElement type="firstRowStripe" dxfId="15"/>
      <tableStyleElement type="secondRowStripe" dxfId="14"/>
    </tableStyle>
    <tableStyle name="Curation-style 2" pivot="0" count="2" xr9:uid="{00000000-0011-0000-FFFF-FFFF01000000}">
      <tableStyleElement type="firstRowStripe" dxfId="13"/>
      <tableStyleElement type="secondRowStripe" dxfId="12"/>
    </tableStyle>
    <tableStyle name="Curation-style 3" pivot="0" count="2" xr9:uid="{00000000-0011-0000-FFFF-FFFF02000000}">
      <tableStyleElement type="firstRowStripe" dxfId="11"/>
      <tableStyleElement type="secondRowStripe" dxfId="10"/>
    </tableStyle>
    <tableStyle name="Curation-style 4" pivot="0" count="2" xr9:uid="{00000000-0011-0000-FFFF-FFFF03000000}">
      <tableStyleElement type="firstRowStripe" dxfId="9"/>
      <tableStyleElement type="secondRowStripe" dxfId="8"/>
    </tableStyle>
    <tableStyle name="Curation-style 5" pivot="0" count="2" xr9:uid="{00000000-0011-0000-FFFF-FFFF04000000}">
      <tableStyleElement type="firstRowStripe" dxfId="7"/>
      <tableStyleElement type="secondRowStripe" dxfId="6"/>
    </tableStyle>
    <tableStyle name="Curation-style 6" pivot="0" count="2" xr9:uid="{00000000-0011-0000-FFFF-FFFF05000000}">
      <tableStyleElement type="firstRowStripe" dxfId="5"/>
      <tableStyleElement type="secondRowStripe" dxfId="4"/>
    </tableStyle>
    <tableStyle name="Curation-style 7" pivot="0" count="2" xr9:uid="{00000000-0011-0000-FFFF-FFFF06000000}">
      <tableStyleElement type="firstRowStripe" dxfId="3"/>
      <tableStyleElement type="secondRowStripe" dxfId="2"/>
    </tableStyle>
    <tableStyle name="Curation-style 8" pivot="0" count="2" xr9:uid="{00000000-0011-0000-FFFF-FFFF07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V84:X85" headerRowCount="0">
  <tableColumns count="3">
    <tableColumn id="1" xr3:uid="{00000000-0010-0000-0000-000001000000}" name="Column1"/>
    <tableColumn id="2" xr3:uid="{00000000-0010-0000-0000-000002000000}" name="Column2"/>
    <tableColumn id="3" xr3:uid="{00000000-0010-0000-0000-000003000000}" name="Column3"/>
  </tableColumns>
  <tableStyleInfo name="Cur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H84:AH85" headerRowCount="0">
  <tableColumns count="1">
    <tableColumn id="1" xr3:uid="{00000000-0010-0000-0100-000001000000}" name="Column1"/>
  </tableColumns>
  <tableStyleInfo name="Cur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L84:AL85" headerRowCount="0">
  <tableColumns count="1">
    <tableColumn id="1" xr3:uid="{00000000-0010-0000-0200-000001000000}" name="Column1"/>
  </tableColumns>
  <tableStyleInfo name="Cur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S84:AS85" headerRowCount="0">
  <tableColumns count="1">
    <tableColumn id="1" xr3:uid="{00000000-0010-0000-0300-000001000000}" name="Column1"/>
  </tableColumns>
  <tableStyleInfo name="Cur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U84:AU85" headerRowCount="0">
  <tableColumns count="1">
    <tableColumn id="1" xr3:uid="{00000000-0010-0000-0400-000001000000}" name="Column1"/>
  </tableColumns>
  <tableStyleInfo name="Cur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A84:BA85" headerRowCount="0">
  <tableColumns count="1">
    <tableColumn id="1" xr3:uid="{00000000-0010-0000-0500-000001000000}" name="Column1"/>
  </tableColumns>
  <tableStyleInfo name="Curation-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86:CC86" headerRowCount="0">
  <tableColumns count="81">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 id="23" xr3:uid="{00000000-0010-0000-0600-000017000000}" name="Column23"/>
    <tableColumn id="24" xr3:uid="{00000000-0010-0000-0600-000018000000}" name="Column24"/>
    <tableColumn id="25" xr3:uid="{00000000-0010-0000-0600-000019000000}" name="Column25"/>
    <tableColumn id="26" xr3:uid="{00000000-0010-0000-0600-00001A000000}" name="Column26"/>
    <tableColumn id="27" xr3:uid="{00000000-0010-0000-0600-00001B000000}" name="Column27"/>
    <tableColumn id="28" xr3:uid="{00000000-0010-0000-0600-00001C000000}" name="Column28"/>
    <tableColumn id="29" xr3:uid="{00000000-0010-0000-0600-00001D000000}" name="Column29"/>
    <tableColumn id="30" xr3:uid="{00000000-0010-0000-0600-00001E000000}" name="Column30"/>
    <tableColumn id="31" xr3:uid="{00000000-0010-0000-0600-00001F000000}" name="Column31"/>
    <tableColumn id="32" xr3:uid="{00000000-0010-0000-0600-000020000000}" name="Column32"/>
    <tableColumn id="33" xr3:uid="{00000000-0010-0000-0600-000021000000}" name="Column33"/>
    <tableColumn id="34" xr3:uid="{00000000-0010-0000-0600-000022000000}" name="Column34"/>
    <tableColumn id="35" xr3:uid="{00000000-0010-0000-0600-000023000000}" name="Column35"/>
    <tableColumn id="36" xr3:uid="{00000000-0010-0000-0600-000024000000}" name="Column36"/>
    <tableColumn id="37" xr3:uid="{00000000-0010-0000-0600-000025000000}" name="Column37"/>
    <tableColumn id="38" xr3:uid="{00000000-0010-0000-0600-000026000000}" name="Column38"/>
    <tableColumn id="39" xr3:uid="{00000000-0010-0000-0600-000027000000}" name="Column39"/>
    <tableColumn id="40" xr3:uid="{00000000-0010-0000-0600-000028000000}" name="Column40"/>
    <tableColumn id="41" xr3:uid="{00000000-0010-0000-0600-000029000000}" name="Column41"/>
    <tableColumn id="42" xr3:uid="{00000000-0010-0000-0600-00002A000000}" name="Column42"/>
    <tableColumn id="43" xr3:uid="{00000000-0010-0000-0600-00002B000000}" name="Column43"/>
    <tableColumn id="44" xr3:uid="{00000000-0010-0000-0600-00002C000000}" name="Column44"/>
    <tableColumn id="45" xr3:uid="{00000000-0010-0000-0600-00002D000000}" name="Column45"/>
    <tableColumn id="46" xr3:uid="{00000000-0010-0000-0600-00002E000000}" name="Column46"/>
    <tableColumn id="47" xr3:uid="{00000000-0010-0000-0600-00002F000000}" name="Column47"/>
    <tableColumn id="48" xr3:uid="{00000000-0010-0000-0600-000030000000}" name="Column48"/>
    <tableColumn id="49" xr3:uid="{00000000-0010-0000-0600-000031000000}" name="Column49"/>
    <tableColumn id="50" xr3:uid="{00000000-0010-0000-0600-000032000000}" name="Column50"/>
    <tableColumn id="51" xr3:uid="{00000000-0010-0000-0600-000033000000}" name="Column51"/>
    <tableColumn id="52" xr3:uid="{00000000-0010-0000-0600-000034000000}" name="Column52"/>
    <tableColumn id="53" xr3:uid="{00000000-0010-0000-0600-000035000000}" name="Column53"/>
    <tableColumn id="54" xr3:uid="{00000000-0010-0000-0600-000036000000}" name="Column54"/>
    <tableColumn id="55" xr3:uid="{00000000-0010-0000-0600-000037000000}" name="Column55"/>
    <tableColumn id="56" xr3:uid="{00000000-0010-0000-0600-000038000000}" name="Column56"/>
    <tableColumn id="57" xr3:uid="{00000000-0010-0000-0600-000039000000}" name="Column57"/>
    <tableColumn id="58" xr3:uid="{00000000-0010-0000-0600-00003A000000}" name="Column58"/>
    <tableColumn id="59" xr3:uid="{00000000-0010-0000-0600-00003B000000}" name="Column59"/>
    <tableColumn id="60" xr3:uid="{00000000-0010-0000-0600-00003C000000}" name="Column60"/>
    <tableColumn id="61" xr3:uid="{00000000-0010-0000-0600-00003D000000}" name="Column61"/>
    <tableColumn id="62" xr3:uid="{00000000-0010-0000-0600-00003E000000}" name="Column62"/>
    <tableColumn id="63" xr3:uid="{00000000-0010-0000-0600-00003F000000}" name="Column63"/>
    <tableColumn id="64" xr3:uid="{00000000-0010-0000-0600-000040000000}" name="Column64"/>
    <tableColumn id="65" xr3:uid="{00000000-0010-0000-0600-000041000000}" name="Column65"/>
    <tableColumn id="66" xr3:uid="{00000000-0010-0000-0600-000042000000}" name="Column66"/>
    <tableColumn id="67" xr3:uid="{00000000-0010-0000-0600-000043000000}" name="Column67"/>
    <tableColumn id="68" xr3:uid="{00000000-0010-0000-0600-000044000000}" name="Column68"/>
    <tableColumn id="69" xr3:uid="{00000000-0010-0000-0600-000045000000}" name="Column69"/>
    <tableColumn id="70" xr3:uid="{00000000-0010-0000-0600-000046000000}" name="Column70"/>
    <tableColumn id="71" xr3:uid="{00000000-0010-0000-0600-000047000000}" name="Column71"/>
    <tableColumn id="72" xr3:uid="{00000000-0010-0000-0600-000048000000}" name="Column72"/>
    <tableColumn id="73" xr3:uid="{00000000-0010-0000-0600-000049000000}" name="Column73"/>
    <tableColumn id="74" xr3:uid="{00000000-0010-0000-0600-00004A000000}" name="Column74"/>
    <tableColumn id="75" xr3:uid="{00000000-0010-0000-0600-00004B000000}" name="Column75"/>
    <tableColumn id="76" xr3:uid="{00000000-0010-0000-0600-00004C000000}" name="Column76"/>
    <tableColumn id="77" xr3:uid="{00000000-0010-0000-0600-00004D000000}" name="Column77"/>
    <tableColumn id="78" xr3:uid="{00000000-0010-0000-0600-00004E000000}" name="Column78"/>
    <tableColumn id="79" xr3:uid="{00000000-0010-0000-0600-00004F000000}" name="Column79"/>
    <tableColumn id="80" xr3:uid="{00000000-0010-0000-0600-000050000000}" name="Column80"/>
    <tableColumn id="81" xr3:uid="{00000000-0010-0000-0600-000051000000}" name="Column81"/>
  </tableColumns>
  <tableStyleInfo name="Curation-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87:FG91" headerRowCount="0">
  <tableColumns count="163">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 id="23" xr3:uid="{00000000-0010-0000-0700-000017000000}" name="Column23"/>
    <tableColumn id="24" xr3:uid="{00000000-0010-0000-0700-000018000000}" name="Column24"/>
    <tableColumn id="25" xr3:uid="{00000000-0010-0000-0700-000019000000}" name="Column25"/>
    <tableColumn id="26" xr3:uid="{00000000-0010-0000-0700-00001A000000}" name="Column26"/>
    <tableColumn id="27" xr3:uid="{00000000-0010-0000-0700-00001B000000}" name="Column27"/>
    <tableColumn id="28" xr3:uid="{00000000-0010-0000-0700-00001C000000}" name="Column28"/>
    <tableColumn id="29" xr3:uid="{00000000-0010-0000-0700-00001D000000}" name="Column29"/>
    <tableColumn id="30" xr3:uid="{00000000-0010-0000-0700-00001E000000}" name="Column30"/>
    <tableColumn id="31" xr3:uid="{00000000-0010-0000-0700-00001F000000}" name="Column31"/>
    <tableColumn id="32" xr3:uid="{00000000-0010-0000-0700-000020000000}" name="Column32"/>
    <tableColumn id="33" xr3:uid="{00000000-0010-0000-0700-000021000000}" name="Column33"/>
    <tableColumn id="34" xr3:uid="{00000000-0010-0000-0700-000022000000}" name="Column34"/>
    <tableColumn id="35" xr3:uid="{00000000-0010-0000-0700-000023000000}" name="Column35"/>
    <tableColumn id="36" xr3:uid="{00000000-0010-0000-0700-000024000000}" name="Column36"/>
    <tableColumn id="37" xr3:uid="{00000000-0010-0000-0700-000025000000}" name="Column37"/>
    <tableColumn id="38" xr3:uid="{00000000-0010-0000-0700-000026000000}" name="Column38"/>
    <tableColumn id="39" xr3:uid="{00000000-0010-0000-0700-000027000000}" name="Column39"/>
    <tableColumn id="40" xr3:uid="{00000000-0010-0000-0700-000028000000}" name="Column40"/>
    <tableColumn id="41" xr3:uid="{00000000-0010-0000-0700-000029000000}" name="Column41"/>
    <tableColumn id="42" xr3:uid="{00000000-0010-0000-0700-00002A000000}" name="Column42"/>
    <tableColumn id="43" xr3:uid="{00000000-0010-0000-0700-00002B000000}" name="Column43"/>
    <tableColumn id="44" xr3:uid="{00000000-0010-0000-0700-00002C000000}" name="Column44"/>
    <tableColumn id="45" xr3:uid="{00000000-0010-0000-0700-00002D000000}" name="Column45"/>
    <tableColumn id="46" xr3:uid="{00000000-0010-0000-0700-00002E000000}" name="Column46"/>
    <tableColumn id="47" xr3:uid="{00000000-0010-0000-0700-00002F000000}" name="Column47"/>
    <tableColumn id="48" xr3:uid="{00000000-0010-0000-0700-000030000000}" name="Column48"/>
    <tableColumn id="49" xr3:uid="{00000000-0010-0000-0700-000031000000}" name="Column49"/>
    <tableColumn id="50" xr3:uid="{00000000-0010-0000-0700-000032000000}" name="Column50"/>
    <tableColumn id="51" xr3:uid="{00000000-0010-0000-0700-000033000000}" name="Column51"/>
    <tableColumn id="52" xr3:uid="{00000000-0010-0000-0700-000034000000}" name="Column52"/>
    <tableColumn id="53" xr3:uid="{00000000-0010-0000-0700-000035000000}" name="Column53"/>
    <tableColumn id="54" xr3:uid="{00000000-0010-0000-0700-000036000000}" name="Column54"/>
    <tableColumn id="55" xr3:uid="{00000000-0010-0000-0700-000037000000}" name="Column55"/>
    <tableColumn id="56" xr3:uid="{00000000-0010-0000-0700-000038000000}" name="Column56"/>
    <tableColumn id="57" xr3:uid="{00000000-0010-0000-0700-000039000000}" name="Column57"/>
    <tableColumn id="58" xr3:uid="{00000000-0010-0000-0700-00003A000000}" name="Column58"/>
    <tableColumn id="59" xr3:uid="{00000000-0010-0000-0700-00003B000000}" name="Column59"/>
    <tableColumn id="60" xr3:uid="{00000000-0010-0000-0700-00003C000000}" name="Column60"/>
    <tableColumn id="61" xr3:uid="{00000000-0010-0000-0700-00003D000000}" name="Column61"/>
    <tableColumn id="62" xr3:uid="{00000000-0010-0000-0700-00003E000000}" name="Column62"/>
    <tableColumn id="63" xr3:uid="{00000000-0010-0000-0700-00003F000000}" name="Column63"/>
    <tableColumn id="64" xr3:uid="{00000000-0010-0000-0700-000040000000}" name="Column64"/>
    <tableColumn id="65" xr3:uid="{00000000-0010-0000-0700-000041000000}" name="Column65"/>
    <tableColumn id="66" xr3:uid="{00000000-0010-0000-0700-000042000000}" name="Column66"/>
    <tableColumn id="67" xr3:uid="{00000000-0010-0000-0700-000043000000}" name="Column67"/>
    <tableColumn id="68" xr3:uid="{00000000-0010-0000-0700-000044000000}" name="Column68"/>
    <tableColumn id="69" xr3:uid="{00000000-0010-0000-0700-000045000000}" name="Column69"/>
    <tableColumn id="70" xr3:uid="{00000000-0010-0000-0700-000046000000}" name="Column70"/>
    <tableColumn id="71" xr3:uid="{00000000-0010-0000-0700-000047000000}" name="Column71"/>
    <tableColumn id="72" xr3:uid="{00000000-0010-0000-0700-000048000000}" name="Column72"/>
    <tableColumn id="73" xr3:uid="{00000000-0010-0000-0700-000049000000}" name="Column73"/>
    <tableColumn id="74" xr3:uid="{00000000-0010-0000-0700-00004A000000}" name="Column74"/>
    <tableColumn id="75" xr3:uid="{00000000-0010-0000-0700-00004B000000}" name="Column75"/>
    <tableColumn id="76" xr3:uid="{00000000-0010-0000-0700-00004C000000}" name="Column76"/>
    <tableColumn id="77" xr3:uid="{00000000-0010-0000-0700-00004D000000}" name="Column77"/>
    <tableColumn id="78" xr3:uid="{00000000-0010-0000-0700-00004E000000}" name="Column78"/>
    <tableColumn id="79" xr3:uid="{00000000-0010-0000-0700-00004F000000}" name="Column79"/>
    <tableColumn id="80" xr3:uid="{00000000-0010-0000-0700-000050000000}" name="Column80"/>
    <tableColumn id="81" xr3:uid="{00000000-0010-0000-0700-000051000000}" name="Column81"/>
    <tableColumn id="82" xr3:uid="{00000000-0010-0000-0700-000052000000}" name="Column82"/>
    <tableColumn id="83" xr3:uid="{00000000-0010-0000-0700-000053000000}" name="Column83"/>
    <tableColumn id="84" xr3:uid="{00000000-0010-0000-0700-000054000000}" name="Column84"/>
    <tableColumn id="85" xr3:uid="{00000000-0010-0000-0700-000055000000}" name="Column85"/>
    <tableColumn id="86" xr3:uid="{00000000-0010-0000-0700-000056000000}" name="Column86"/>
    <tableColumn id="87" xr3:uid="{00000000-0010-0000-0700-000057000000}" name="Column87"/>
    <tableColumn id="88" xr3:uid="{00000000-0010-0000-0700-000058000000}" name="Column88"/>
    <tableColumn id="89" xr3:uid="{00000000-0010-0000-0700-000059000000}" name="Column89"/>
    <tableColumn id="90" xr3:uid="{00000000-0010-0000-0700-00005A000000}" name="Column90"/>
    <tableColumn id="91" xr3:uid="{00000000-0010-0000-0700-00005B000000}" name="Column91"/>
    <tableColumn id="92" xr3:uid="{00000000-0010-0000-0700-00005C000000}" name="Column92"/>
    <tableColumn id="93" xr3:uid="{00000000-0010-0000-0700-00005D000000}" name="Column93"/>
    <tableColumn id="94" xr3:uid="{00000000-0010-0000-0700-00005E000000}" name="Column94"/>
    <tableColumn id="95" xr3:uid="{00000000-0010-0000-0700-00005F000000}" name="Column95"/>
    <tableColumn id="96" xr3:uid="{00000000-0010-0000-0700-000060000000}" name="Column96"/>
    <tableColumn id="97" xr3:uid="{00000000-0010-0000-0700-000061000000}" name="Column97"/>
    <tableColumn id="98" xr3:uid="{00000000-0010-0000-0700-000062000000}" name="Column98"/>
    <tableColumn id="99" xr3:uid="{00000000-0010-0000-0700-000063000000}" name="Column99"/>
    <tableColumn id="100" xr3:uid="{00000000-0010-0000-0700-000064000000}" name="Column100"/>
    <tableColumn id="101" xr3:uid="{00000000-0010-0000-0700-000065000000}" name="Column101"/>
    <tableColumn id="102" xr3:uid="{00000000-0010-0000-0700-000066000000}" name="Column102"/>
    <tableColumn id="103" xr3:uid="{00000000-0010-0000-0700-000067000000}" name="Column103"/>
    <tableColumn id="104" xr3:uid="{00000000-0010-0000-0700-000068000000}" name="Column104"/>
    <tableColumn id="105" xr3:uid="{00000000-0010-0000-0700-000069000000}" name="Column105"/>
    <tableColumn id="106" xr3:uid="{00000000-0010-0000-0700-00006A000000}" name="Column106"/>
    <tableColumn id="107" xr3:uid="{00000000-0010-0000-0700-00006B000000}" name="Column107"/>
    <tableColumn id="108" xr3:uid="{00000000-0010-0000-0700-00006C000000}" name="Column108"/>
    <tableColumn id="109" xr3:uid="{00000000-0010-0000-0700-00006D000000}" name="Column109"/>
    <tableColumn id="110" xr3:uid="{00000000-0010-0000-0700-00006E000000}" name="Column110"/>
    <tableColumn id="111" xr3:uid="{00000000-0010-0000-0700-00006F000000}" name="Column111"/>
    <tableColumn id="112" xr3:uid="{00000000-0010-0000-0700-000070000000}" name="Column112"/>
    <tableColumn id="113" xr3:uid="{00000000-0010-0000-0700-000071000000}" name="Column113"/>
    <tableColumn id="114" xr3:uid="{00000000-0010-0000-0700-000072000000}" name="Column114"/>
    <tableColumn id="115" xr3:uid="{00000000-0010-0000-0700-000073000000}" name="Column115"/>
    <tableColumn id="116" xr3:uid="{00000000-0010-0000-0700-000074000000}" name="Column116"/>
    <tableColumn id="117" xr3:uid="{00000000-0010-0000-0700-000075000000}" name="Column117"/>
    <tableColumn id="118" xr3:uid="{00000000-0010-0000-0700-000076000000}" name="Column118"/>
    <tableColumn id="119" xr3:uid="{00000000-0010-0000-0700-000077000000}" name="Column119"/>
    <tableColumn id="120" xr3:uid="{00000000-0010-0000-0700-000078000000}" name="Column120"/>
    <tableColumn id="121" xr3:uid="{00000000-0010-0000-0700-000079000000}" name="Column121"/>
    <tableColumn id="122" xr3:uid="{00000000-0010-0000-0700-00007A000000}" name="Column122"/>
    <tableColumn id="123" xr3:uid="{00000000-0010-0000-0700-00007B000000}" name="Column123"/>
    <tableColumn id="124" xr3:uid="{00000000-0010-0000-0700-00007C000000}" name="Column124"/>
    <tableColumn id="125" xr3:uid="{00000000-0010-0000-0700-00007D000000}" name="Column125"/>
    <tableColumn id="126" xr3:uid="{00000000-0010-0000-0700-00007E000000}" name="Column126"/>
    <tableColumn id="127" xr3:uid="{00000000-0010-0000-0700-00007F000000}" name="Column127"/>
    <tableColumn id="128" xr3:uid="{00000000-0010-0000-0700-000080000000}" name="Column128"/>
    <tableColumn id="129" xr3:uid="{00000000-0010-0000-0700-000081000000}" name="Column129"/>
    <tableColumn id="130" xr3:uid="{00000000-0010-0000-0700-000082000000}" name="Column130"/>
    <tableColumn id="131" xr3:uid="{00000000-0010-0000-0700-000083000000}" name="Column131"/>
    <tableColumn id="132" xr3:uid="{00000000-0010-0000-0700-000084000000}" name="Column132"/>
    <tableColumn id="133" xr3:uid="{00000000-0010-0000-0700-000085000000}" name="Column133"/>
    <tableColumn id="134" xr3:uid="{00000000-0010-0000-0700-000086000000}" name="Column134"/>
    <tableColumn id="135" xr3:uid="{00000000-0010-0000-0700-000087000000}" name="Column135"/>
    <tableColumn id="136" xr3:uid="{00000000-0010-0000-0700-000088000000}" name="Column136"/>
    <tableColumn id="137" xr3:uid="{00000000-0010-0000-0700-000089000000}" name="Column137"/>
    <tableColumn id="138" xr3:uid="{00000000-0010-0000-0700-00008A000000}" name="Column138"/>
    <tableColumn id="139" xr3:uid="{00000000-0010-0000-0700-00008B000000}" name="Column139"/>
    <tableColumn id="140" xr3:uid="{00000000-0010-0000-0700-00008C000000}" name="Column140"/>
    <tableColumn id="141" xr3:uid="{00000000-0010-0000-0700-00008D000000}" name="Column141"/>
    <tableColumn id="142" xr3:uid="{00000000-0010-0000-0700-00008E000000}" name="Column142"/>
    <tableColumn id="143" xr3:uid="{00000000-0010-0000-0700-00008F000000}" name="Column143"/>
    <tableColumn id="144" xr3:uid="{00000000-0010-0000-0700-000090000000}" name="Column144"/>
    <tableColumn id="145" xr3:uid="{00000000-0010-0000-0700-000091000000}" name="Column145"/>
    <tableColumn id="146" xr3:uid="{00000000-0010-0000-0700-000092000000}" name="Column146"/>
    <tableColumn id="147" xr3:uid="{00000000-0010-0000-0700-000093000000}" name="Column147"/>
    <tableColumn id="148" xr3:uid="{00000000-0010-0000-0700-000094000000}" name="Column148"/>
    <tableColumn id="149" xr3:uid="{00000000-0010-0000-0700-000095000000}" name="Column149"/>
    <tableColumn id="150" xr3:uid="{00000000-0010-0000-0700-000096000000}" name="Column150"/>
    <tableColumn id="151" xr3:uid="{00000000-0010-0000-0700-000097000000}" name="Column151"/>
    <tableColumn id="152" xr3:uid="{00000000-0010-0000-0700-000098000000}" name="Column152"/>
    <tableColumn id="153" xr3:uid="{00000000-0010-0000-0700-000099000000}" name="Column153"/>
    <tableColumn id="154" xr3:uid="{00000000-0010-0000-0700-00009A000000}" name="Column154"/>
    <tableColumn id="155" xr3:uid="{00000000-0010-0000-0700-00009B000000}" name="Column155"/>
    <tableColumn id="156" xr3:uid="{00000000-0010-0000-0700-00009C000000}" name="Column156"/>
    <tableColumn id="157" xr3:uid="{00000000-0010-0000-0700-00009D000000}" name="Column157"/>
    <tableColumn id="158" xr3:uid="{00000000-0010-0000-0700-00009E000000}" name="Column158"/>
    <tableColumn id="159" xr3:uid="{00000000-0010-0000-0700-00009F000000}" name="Column159"/>
    <tableColumn id="160" xr3:uid="{00000000-0010-0000-0700-0000A0000000}" name="Column160"/>
    <tableColumn id="161" xr3:uid="{00000000-0010-0000-0700-0000A1000000}" name="Column161"/>
    <tableColumn id="162" xr3:uid="{00000000-0010-0000-0700-0000A2000000}" name="Column162"/>
    <tableColumn id="163" xr3:uid="{00000000-0010-0000-0700-0000A3000000}" name="Column163"/>
  </tableColumns>
  <tableStyleInfo name="Curation-style 8"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static-content.springer.com/esm/art%3A10.1038%2Fs41588-024-02039-4/MediaObjects/41588_2024_2039_MOESM4_ESM.xlsx" TargetMode="External"/><Relationship Id="rId13" Type="http://schemas.openxmlformats.org/officeDocument/2006/relationships/hyperlink" Target="https://static-content.springer.com/esm/art%3A10.1038%2Fs41588-024-02039-4/MediaObjects/41588_2024_2039_MOESM4_ESM.xlsx" TargetMode="External"/><Relationship Id="rId18" Type="http://schemas.openxmlformats.org/officeDocument/2006/relationships/table" Target="../tables/table5.xml"/><Relationship Id="rId3" Type="http://schemas.openxmlformats.org/officeDocument/2006/relationships/hyperlink" Target="https://static-content.springer.com/esm/art%3A10.1038%2Fs41586-024-08388-8/MediaObjects/41586_2024_8388_MOESM3_ESM.xlsx" TargetMode="External"/><Relationship Id="rId21" Type="http://schemas.openxmlformats.org/officeDocument/2006/relationships/table" Target="../tables/table8.xml"/><Relationship Id="rId7" Type="http://schemas.openxmlformats.org/officeDocument/2006/relationships/hyperlink" Target="https://www.nature.com/articles/s41588-024-02039-4" TargetMode="External"/><Relationship Id="rId12" Type="http://schemas.openxmlformats.org/officeDocument/2006/relationships/hyperlink" Target="https://static-content.springer.com/esm/art%3A10.1038%2Fs41588-024-02039-4/MediaObjects/41588_2024_2039_MOESM4_ESM.xlsx" TargetMode="External"/><Relationship Id="rId17" Type="http://schemas.openxmlformats.org/officeDocument/2006/relationships/table" Target="../tables/table4.xml"/><Relationship Id="rId2" Type="http://schemas.openxmlformats.org/officeDocument/2006/relationships/hyperlink" Target="https://static-content.springer.com/esm/art%3A10.1038%2Fs41586-024-08388-8/MediaObjects/41586_2024_8388_MOESM3_ESM.xlsx" TargetMode="External"/><Relationship Id="rId16" Type="http://schemas.openxmlformats.org/officeDocument/2006/relationships/table" Target="../tables/table3.xml"/><Relationship Id="rId20" Type="http://schemas.openxmlformats.org/officeDocument/2006/relationships/table" Target="../tables/table7.xml"/><Relationship Id="rId1" Type="http://schemas.openxmlformats.org/officeDocument/2006/relationships/hyperlink" Target="https://static-content.springer.com/esm/art%3A10.1038%2Fs41586-024-08388-8/MediaObjects/41586_2024_8388_MOESM3_ESM.xlsx" TargetMode="External"/><Relationship Id="rId6" Type="http://schemas.openxmlformats.org/officeDocument/2006/relationships/hyperlink" Target="https://www.nature.com/articles/s41588-024-02039-4" TargetMode="External"/><Relationship Id="rId11" Type="http://schemas.openxmlformats.org/officeDocument/2006/relationships/hyperlink" Target="https://static-content.springer.com/esm/art%3A10.1038%2Fs41588-024-02039-4/MediaObjects/41588_2024_2039_MOESM4_ESM.xlsx" TargetMode="External"/><Relationship Id="rId5" Type="http://schemas.openxmlformats.org/officeDocument/2006/relationships/hyperlink" Target="https://static-content.springer.com/esm/art%3A10.1038%2Fs41586-024-08388-8/MediaObjects/41586_2024_8388_MOESM3_ESM.xlsx" TargetMode="External"/><Relationship Id="rId15" Type="http://schemas.openxmlformats.org/officeDocument/2006/relationships/table" Target="../tables/table2.xml"/><Relationship Id="rId10" Type="http://schemas.openxmlformats.org/officeDocument/2006/relationships/hyperlink" Target="https://static-content.springer.com/esm/art%3A10.1038%2Fs41588-024-02039-4/MediaObjects/41588_2024_2039_MOESM4_ESM.xlsx" TargetMode="External"/><Relationship Id="rId19" Type="http://schemas.openxmlformats.org/officeDocument/2006/relationships/table" Target="../tables/table6.xml"/><Relationship Id="rId4" Type="http://schemas.openxmlformats.org/officeDocument/2006/relationships/hyperlink" Target="https://static-content.springer.com/esm/art%3A10.1038%2Fs41586-024-08388-8/MediaObjects/41586_2024_8388_MOESM3_ESM.xlsx" TargetMode="External"/><Relationship Id="rId9" Type="http://schemas.openxmlformats.org/officeDocument/2006/relationships/hyperlink" Target="https://static-content.springer.com/esm/art%3A10.1038%2Fs41588-024-02039-4/MediaObjects/41588_2024_2039_MOESM4_ESM.xlsx" TargetMode="External"/><Relationship Id="rId1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99"/>
  <sheetViews>
    <sheetView workbookViewId="0"/>
  </sheetViews>
  <sheetFormatPr baseColWidth="10" defaultColWidth="12.6640625" defaultRowHeight="15" customHeight="1"/>
  <cols>
    <col min="1" max="1" width="39.6640625" customWidth="1"/>
    <col min="2" max="2" width="55.1640625" customWidth="1"/>
  </cols>
  <sheetData>
    <row r="1" spans="1:2" ht="15.75" customHeight="1">
      <c r="A1" s="1" t="s">
        <v>0</v>
      </c>
      <c r="B1" s="1" t="s">
        <v>2</v>
      </c>
    </row>
    <row r="2" spans="1:2" ht="15.75" customHeight="1">
      <c r="A2" s="3" t="s">
        <v>3</v>
      </c>
      <c r="B2" s="3" t="s">
        <v>5</v>
      </c>
    </row>
    <row r="3" spans="1:2" ht="15.75" customHeight="1">
      <c r="A3" s="3" t="s">
        <v>6</v>
      </c>
      <c r="B3" s="3" t="s">
        <v>7</v>
      </c>
    </row>
    <row r="4" spans="1:2" ht="15.75" customHeight="1">
      <c r="A4" s="3" t="s">
        <v>8</v>
      </c>
      <c r="B4" s="3" t="s">
        <v>10</v>
      </c>
    </row>
    <row r="5" spans="1:2" ht="15.75" customHeight="1">
      <c r="A5" s="3" t="s">
        <v>11</v>
      </c>
      <c r="B5" s="3" t="s">
        <v>12</v>
      </c>
    </row>
    <row r="6" spans="1:2" ht="15.75" customHeight="1">
      <c r="A6" s="3" t="s">
        <v>13</v>
      </c>
      <c r="B6" s="3" t="s">
        <v>14</v>
      </c>
    </row>
    <row r="7" spans="1:2" ht="15.75" customHeight="1">
      <c r="A7" s="3" t="s">
        <v>16</v>
      </c>
      <c r="B7" s="3" t="s">
        <v>17</v>
      </c>
    </row>
    <row r="8" spans="1:2" ht="15.75" customHeight="1">
      <c r="A8" s="3" t="s">
        <v>18</v>
      </c>
      <c r="B8" s="3" t="s">
        <v>19</v>
      </c>
    </row>
    <row r="9" spans="1:2" ht="15.75" customHeight="1">
      <c r="A9" s="3" t="s">
        <v>21</v>
      </c>
      <c r="B9" s="3" t="s">
        <v>22</v>
      </c>
    </row>
    <row r="10" spans="1:2" ht="15.75" customHeight="1">
      <c r="A10" s="3" t="s">
        <v>24</v>
      </c>
      <c r="B10" s="3" t="s">
        <v>25</v>
      </c>
    </row>
    <row r="11" spans="1:2" ht="15.75" customHeight="1">
      <c r="A11" s="3" t="s">
        <v>27</v>
      </c>
      <c r="B11" s="3" t="s">
        <v>28</v>
      </c>
    </row>
    <row r="12" spans="1:2" ht="15.75" customHeight="1">
      <c r="A12" s="3" t="s">
        <v>30</v>
      </c>
      <c r="B12" s="3" t="s">
        <v>31</v>
      </c>
    </row>
    <row r="13" spans="1:2" ht="15.75" customHeight="1">
      <c r="A13" s="3" t="s">
        <v>33</v>
      </c>
      <c r="B13" s="3" t="s">
        <v>34</v>
      </c>
    </row>
    <row r="14" spans="1:2" ht="15.75" customHeight="1">
      <c r="A14" s="3" t="s">
        <v>35</v>
      </c>
      <c r="B14" s="3" t="s">
        <v>36</v>
      </c>
    </row>
    <row r="15" spans="1:2" ht="15.75" customHeight="1">
      <c r="A15" s="3" t="s">
        <v>38</v>
      </c>
      <c r="B15" s="3" t="s">
        <v>39</v>
      </c>
    </row>
    <row r="16" spans="1:2" ht="15.75" customHeight="1">
      <c r="A16" s="3" t="s">
        <v>40</v>
      </c>
      <c r="B16" s="3" t="s">
        <v>41</v>
      </c>
    </row>
    <row r="17" spans="1:2" ht="15.75" customHeight="1">
      <c r="A17" s="3" t="s">
        <v>43</v>
      </c>
      <c r="B17" s="3" t="s">
        <v>44</v>
      </c>
    </row>
    <row r="18" spans="1:2" ht="15.75" customHeight="1">
      <c r="A18" s="3" t="s">
        <v>46</v>
      </c>
      <c r="B18" s="3" t="s">
        <v>47</v>
      </c>
    </row>
    <row r="19" spans="1:2" ht="15.75" customHeight="1">
      <c r="A19" s="3" t="s">
        <v>48</v>
      </c>
      <c r="B19" s="3" t="s">
        <v>50</v>
      </c>
    </row>
    <row r="20" spans="1:2" ht="15.75" customHeight="1">
      <c r="A20" s="3" t="s">
        <v>52</v>
      </c>
      <c r="B20" s="3" t="s">
        <v>53</v>
      </c>
    </row>
    <row r="21" spans="1:2" ht="15.75" customHeight="1">
      <c r="A21" s="3" t="s">
        <v>54</v>
      </c>
      <c r="B21" s="3" t="s">
        <v>55</v>
      </c>
    </row>
    <row r="22" spans="1:2" ht="15.75" customHeight="1">
      <c r="A22" s="3" t="s">
        <v>56</v>
      </c>
      <c r="B22" s="3" t="s">
        <v>57</v>
      </c>
    </row>
    <row r="23" spans="1:2" ht="15.75" customHeight="1">
      <c r="A23" s="3" t="s">
        <v>58</v>
      </c>
      <c r="B23" s="3" t="s">
        <v>59</v>
      </c>
    </row>
    <row r="24" spans="1:2" ht="15.75" customHeight="1">
      <c r="A24" s="3" t="s">
        <v>60</v>
      </c>
      <c r="B24" s="3" t="s">
        <v>61</v>
      </c>
    </row>
    <row r="25" spans="1:2" ht="15.75" customHeight="1">
      <c r="A25" s="3" t="s">
        <v>62</v>
      </c>
      <c r="B25" s="3" t="s">
        <v>63</v>
      </c>
    </row>
    <row r="26" spans="1:2" ht="15.75" customHeight="1">
      <c r="A26" s="3" t="s">
        <v>64</v>
      </c>
      <c r="B26" s="3" t="s">
        <v>65</v>
      </c>
    </row>
    <row r="27" spans="1:2" ht="15.75" customHeight="1">
      <c r="A27" s="3" t="s">
        <v>66</v>
      </c>
      <c r="B27" s="3" t="s">
        <v>67</v>
      </c>
    </row>
    <row r="28" spans="1:2" ht="15.75" customHeight="1">
      <c r="A28" s="3" t="s">
        <v>68</v>
      </c>
      <c r="B28" s="3" t="s">
        <v>69</v>
      </c>
    </row>
    <row r="29" spans="1:2" ht="15.75" customHeight="1">
      <c r="A29" s="3" t="s">
        <v>70</v>
      </c>
      <c r="B29" s="3" t="s">
        <v>71</v>
      </c>
    </row>
    <row r="30" spans="1:2" ht="15.75" customHeight="1">
      <c r="A30" s="3" t="s">
        <v>72</v>
      </c>
      <c r="B30" s="3" t="s">
        <v>73</v>
      </c>
    </row>
    <row r="31" spans="1:2" ht="15.75" customHeight="1">
      <c r="A31" s="3" t="s">
        <v>74</v>
      </c>
      <c r="B31" s="3" t="s">
        <v>75</v>
      </c>
    </row>
    <row r="32" spans="1:2" ht="15.75" customHeight="1">
      <c r="A32" s="3" t="s">
        <v>76</v>
      </c>
      <c r="B32" s="3" t="s">
        <v>77</v>
      </c>
    </row>
    <row r="33" spans="1:2" ht="15.75" customHeight="1">
      <c r="A33" s="3" t="s">
        <v>78</v>
      </c>
      <c r="B33" s="3" t="s">
        <v>79</v>
      </c>
    </row>
    <row r="34" spans="1:2" ht="15.75" customHeight="1">
      <c r="A34" s="3" t="s">
        <v>80</v>
      </c>
      <c r="B34" s="3" t="s">
        <v>81</v>
      </c>
    </row>
    <row r="35" spans="1:2" ht="15.75" customHeight="1">
      <c r="A35" s="3" t="s">
        <v>82</v>
      </c>
      <c r="B35" s="3" t="s">
        <v>83</v>
      </c>
    </row>
    <row r="36" spans="1:2" ht="15.75" customHeight="1">
      <c r="A36" s="3" t="s">
        <v>84</v>
      </c>
      <c r="B36" s="3" t="s">
        <v>85</v>
      </c>
    </row>
    <row r="37" spans="1:2" ht="15.75" customHeight="1">
      <c r="A37" s="3" t="s">
        <v>86</v>
      </c>
      <c r="B37" s="3" t="s">
        <v>87</v>
      </c>
    </row>
    <row r="38" spans="1:2" ht="15.75" customHeight="1">
      <c r="A38" s="3" t="s">
        <v>88</v>
      </c>
      <c r="B38" s="3" t="s">
        <v>89</v>
      </c>
    </row>
    <row r="39" spans="1:2" ht="15.75" customHeight="1">
      <c r="A39" s="3" t="s">
        <v>90</v>
      </c>
      <c r="B39" s="3" t="s">
        <v>91</v>
      </c>
    </row>
    <row r="40" spans="1:2" ht="15.75" customHeight="1">
      <c r="A40" s="3" t="s">
        <v>92</v>
      </c>
      <c r="B40" s="3" t="s">
        <v>93</v>
      </c>
    </row>
    <row r="41" spans="1:2" ht="15.75" customHeight="1">
      <c r="A41" s="3" t="s">
        <v>94</v>
      </c>
      <c r="B41" s="3" t="s">
        <v>95</v>
      </c>
    </row>
    <row r="42" spans="1:2" ht="15.75" customHeight="1">
      <c r="A42" s="3" t="s">
        <v>96</v>
      </c>
      <c r="B42" s="3" t="s">
        <v>97</v>
      </c>
    </row>
    <row r="43" spans="1:2" ht="15.75" customHeight="1">
      <c r="A43" s="3" t="s">
        <v>98</v>
      </c>
      <c r="B43" s="3" t="s">
        <v>99</v>
      </c>
    </row>
    <row r="44" spans="1:2" ht="15.75" customHeight="1">
      <c r="A44" s="3" t="s">
        <v>100</v>
      </c>
      <c r="B44" s="3" t="s">
        <v>101</v>
      </c>
    </row>
    <row r="45" spans="1:2" ht="15.75" customHeight="1">
      <c r="A45" s="3" t="s">
        <v>102</v>
      </c>
      <c r="B45" s="3" t="s">
        <v>103</v>
      </c>
    </row>
    <row r="46" spans="1:2" ht="15.75" customHeight="1">
      <c r="A46" s="3" t="s">
        <v>104</v>
      </c>
      <c r="B46" s="3" t="s">
        <v>105</v>
      </c>
    </row>
    <row r="47" spans="1:2" ht="15.75" customHeight="1">
      <c r="A47" s="3" t="s">
        <v>106</v>
      </c>
      <c r="B47" s="3" t="s">
        <v>107</v>
      </c>
    </row>
    <row r="48" spans="1:2" ht="15.75" customHeight="1">
      <c r="A48" s="3" t="s">
        <v>108</v>
      </c>
      <c r="B48" s="3" t="s">
        <v>109</v>
      </c>
    </row>
    <row r="49" spans="1:2" ht="15.75" customHeight="1">
      <c r="A49" s="3" t="s">
        <v>110</v>
      </c>
      <c r="B49" s="3" t="s">
        <v>111</v>
      </c>
    </row>
    <row r="50" spans="1:2" ht="15.75" customHeight="1">
      <c r="A50" s="3" t="s">
        <v>112</v>
      </c>
      <c r="B50" s="3" t="s">
        <v>113</v>
      </c>
    </row>
    <row r="51" spans="1:2" ht="15.75" customHeight="1">
      <c r="A51" s="3" t="s">
        <v>114</v>
      </c>
      <c r="B51" s="3" t="s">
        <v>115</v>
      </c>
    </row>
    <row r="52" spans="1:2" ht="15.75" customHeight="1">
      <c r="A52" s="3" t="s">
        <v>116</v>
      </c>
      <c r="B52" s="3" t="s">
        <v>117</v>
      </c>
    </row>
    <row r="53" spans="1:2" ht="15.75" customHeight="1">
      <c r="A53" s="3" t="s">
        <v>118</v>
      </c>
      <c r="B53" s="3" t="s">
        <v>119</v>
      </c>
    </row>
    <row r="54" spans="1:2" ht="15.75" customHeight="1">
      <c r="A54" s="3" t="s">
        <v>120</v>
      </c>
      <c r="B54" s="3" t="s">
        <v>121</v>
      </c>
    </row>
    <row r="55" spans="1:2" ht="15.75" customHeight="1">
      <c r="A55" s="3" t="s">
        <v>122</v>
      </c>
      <c r="B55" s="3" t="s">
        <v>123</v>
      </c>
    </row>
    <row r="56" spans="1:2" ht="15.75" customHeight="1">
      <c r="A56" s="3" t="s">
        <v>124</v>
      </c>
      <c r="B56" s="3" t="s">
        <v>125</v>
      </c>
    </row>
    <row r="57" spans="1:2" ht="15.75" customHeight="1">
      <c r="A57" s="3" t="s">
        <v>126</v>
      </c>
      <c r="B57" s="3" t="s">
        <v>127</v>
      </c>
    </row>
    <row r="58" spans="1:2" ht="15.75" customHeight="1">
      <c r="A58" s="3" t="s">
        <v>128</v>
      </c>
      <c r="B58" s="3" t="s">
        <v>129</v>
      </c>
    </row>
    <row r="59" spans="1:2" ht="15.75" customHeight="1">
      <c r="A59" s="3" t="s">
        <v>130</v>
      </c>
      <c r="B59" s="3" t="s">
        <v>131</v>
      </c>
    </row>
    <row r="60" spans="1:2" ht="15.75" customHeight="1">
      <c r="A60" s="3" t="s">
        <v>132</v>
      </c>
      <c r="B60" s="3" t="s">
        <v>133</v>
      </c>
    </row>
    <row r="61" spans="1:2" ht="15.75" customHeight="1">
      <c r="A61" s="3" t="s">
        <v>134</v>
      </c>
      <c r="B61" s="3" t="s">
        <v>135</v>
      </c>
    </row>
    <row r="62" spans="1:2" ht="15.75" customHeight="1">
      <c r="A62" s="3" t="s">
        <v>136</v>
      </c>
      <c r="B62" s="3" t="s">
        <v>137</v>
      </c>
    </row>
    <row r="63" spans="1:2" ht="15.75" customHeight="1">
      <c r="A63" s="3" t="s">
        <v>138</v>
      </c>
      <c r="B63" s="3" t="s">
        <v>139</v>
      </c>
    </row>
    <row r="64" spans="1:2" ht="15.75" customHeight="1">
      <c r="A64" s="3" t="s">
        <v>140</v>
      </c>
      <c r="B64" s="3" t="s">
        <v>141</v>
      </c>
    </row>
    <row r="65" spans="1:2" ht="15.75" customHeight="1">
      <c r="A65" s="3" t="s">
        <v>142</v>
      </c>
      <c r="B65" s="3" t="s">
        <v>143</v>
      </c>
    </row>
    <row r="66" spans="1:2" ht="15.75" customHeight="1">
      <c r="A66" s="3" t="s">
        <v>144</v>
      </c>
      <c r="B66" s="3" t="s">
        <v>145</v>
      </c>
    </row>
    <row r="67" spans="1:2" ht="15.75" customHeight="1">
      <c r="A67" s="3" t="s">
        <v>146</v>
      </c>
      <c r="B67" s="3" t="s">
        <v>147</v>
      </c>
    </row>
    <row r="68" spans="1:2" ht="15.75" customHeight="1">
      <c r="A68" s="3" t="s">
        <v>148</v>
      </c>
      <c r="B68" s="3" t="s">
        <v>149</v>
      </c>
    </row>
    <row r="69" spans="1:2" ht="15.75" customHeight="1">
      <c r="A69" s="3" t="s">
        <v>150</v>
      </c>
      <c r="B69" s="3" t="s">
        <v>151</v>
      </c>
    </row>
    <row r="70" spans="1:2" ht="15.75" customHeight="1">
      <c r="A70" s="3" t="s">
        <v>152</v>
      </c>
      <c r="B70" s="3" t="s">
        <v>153</v>
      </c>
    </row>
    <row r="71" spans="1:2" ht="15.75" customHeight="1">
      <c r="A71" s="3" t="s">
        <v>154</v>
      </c>
      <c r="B71" s="3" t="s">
        <v>155</v>
      </c>
    </row>
    <row r="72" spans="1:2" ht="15.75" customHeight="1">
      <c r="A72" s="3" t="s">
        <v>156</v>
      </c>
      <c r="B72" s="3" t="s">
        <v>157</v>
      </c>
    </row>
    <row r="73" spans="1:2" ht="15.75" customHeight="1">
      <c r="A73" s="3" t="s">
        <v>158</v>
      </c>
      <c r="B73" s="3" t="s">
        <v>159</v>
      </c>
    </row>
    <row r="74" spans="1:2" ht="15.75" customHeight="1">
      <c r="A74" s="3" t="s">
        <v>160</v>
      </c>
      <c r="B74" s="3" t="s">
        <v>161</v>
      </c>
    </row>
    <row r="75" spans="1:2" ht="15.75" customHeight="1">
      <c r="A75" s="3" t="s">
        <v>162</v>
      </c>
      <c r="B75" s="3" t="s">
        <v>163</v>
      </c>
    </row>
    <row r="76" spans="1:2" ht="15.75" customHeight="1">
      <c r="A76" s="3" t="s">
        <v>164</v>
      </c>
      <c r="B76" s="3" t="s">
        <v>165</v>
      </c>
    </row>
    <row r="77" spans="1:2" ht="15.75" customHeight="1">
      <c r="A77" s="3" t="s">
        <v>166</v>
      </c>
      <c r="B77" s="3" t="s">
        <v>167</v>
      </c>
    </row>
    <row r="78" spans="1:2" ht="15.75" customHeight="1">
      <c r="A78" s="3" t="s">
        <v>168</v>
      </c>
      <c r="B78" s="3" t="s">
        <v>169</v>
      </c>
    </row>
    <row r="79" spans="1:2" ht="15.75" customHeight="1">
      <c r="A79" s="3" t="s">
        <v>170</v>
      </c>
      <c r="B79" s="3" t="s">
        <v>171</v>
      </c>
    </row>
    <row r="80" spans="1:2" ht="15.75" customHeight="1">
      <c r="A80" s="3" t="s">
        <v>172</v>
      </c>
      <c r="B80" s="3" t="s">
        <v>173</v>
      </c>
    </row>
    <row r="81" spans="1:2" ht="15.75" customHeight="1">
      <c r="A81" s="3" t="s">
        <v>174</v>
      </c>
      <c r="B81" s="3" t="s">
        <v>175</v>
      </c>
    </row>
    <row r="82" spans="1:2" ht="15.75" customHeight="1">
      <c r="A82" s="3" t="s">
        <v>176</v>
      </c>
      <c r="B82" s="3" t="s">
        <v>177</v>
      </c>
    </row>
    <row r="83" spans="1:2" ht="15.75" customHeight="1">
      <c r="A83" s="3" t="s">
        <v>178</v>
      </c>
      <c r="B83" s="3" t="s">
        <v>179</v>
      </c>
    </row>
    <row r="84" spans="1:2" ht="15.75" customHeight="1"/>
    <row r="85" spans="1:2" ht="15.75" customHeight="1"/>
    <row r="86" spans="1:2" ht="15.75" customHeight="1"/>
    <row r="87" spans="1:2" ht="15.75" customHeight="1"/>
    <row r="88" spans="1:2" ht="15.75" customHeight="1"/>
    <row r="89" spans="1:2" ht="15.75" customHeight="1"/>
    <row r="90" spans="1:2" ht="15.75" customHeight="1"/>
    <row r="91" spans="1:2" ht="15.75" customHeight="1"/>
    <row r="92" spans="1:2" ht="15.75" customHeight="1"/>
    <row r="93" spans="1:2" ht="15.75" customHeight="1"/>
    <row r="94" spans="1:2" ht="15.75" customHeight="1"/>
    <row r="95" spans="1:2" ht="15.75" customHeight="1"/>
    <row r="96" spans="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B995"/>
  <sheetViews>
    <sheetView tabSelected="1" workbookViewId="0"/>
  </sheetViews>
  <sheetFormatPr baseColWidth="10" defaultColWidth="12.6640625" defaultRowHeight="15" customHeight="1"/>
  <cols>
    <col min="1" max="1" width="33.6640625" customWidth="1"/>
    <col min="4" max="4" width="19.6640625" customWidth="1"/>
    <col min="5" max="5" width="45.1640625" customWidth="1"/>
    <col min="6" max="6" width="17.33203125" customWidth="1"/>
    <col min="7" max="7" width="21" customWidth="1"/>
    <col min="9" max="9" width="15.83203125" customWidth="1"/>
    <col min="10" max="10" width="19.6640625" customWidth="1"/>
    <col min="11" max="11" width="14" customWidth="1"/>
    <col min="12" max="12" width="16.1640625" customWidth="1"/>
    <col min="14" max="14" width="20.1640625" customWidth="1"/>
    <col min="15" max="15" width="18.1640625" customWidth="1"/>
    <col min="16" max="16" width="23.1640625" customWidth="1"/>
    <col min="17" max="17" width="20.5" customWidth="1"/>
    <col min="18" max="18" width="19.1640625" customWidth="1"/>
    <col min="19" max="20" width="45.5" customWidth="1"/>
    <col min="21" max="21" width="27.1640625" customWidth="1"/>
    <col min="27" max="27" width="26.83203125" customWidth="1"/>
    <col min="30" max="30" width="19" customWidth="1"/>
    <col min="31" max="31" width="23" customWidth="1"/>
    <col min="32" max="32" width="25.5" customWidth="1"/>
    <col min="33" max="33" width="22.1640625" customWidth="1"/>
    <col min="34" max="34" width="23.5" customWidth="1"/>
    <col min="35" max="35" width="23.6640625" customWidth="1"/>
    <col min="38" max="38" width="69.6640625" customWidth="1"/>
    <col min="39" max="39" width="23.1640625" customWidth="1"/>
    <col min="40" max="40" width="39.1640625" customWidth="1"/>
    <col min="41" max="41" width="17.1640625" customWidth="1"/>
    <col min="42" max="42" width="17.6640625" customWidth="1"/>
    <col min="46" max="46" width="19.6640625" customWidth="1"/>
    <col min="47" max="47" width="21.5" customWidth="1"/>
    <col min="48" max="48" width="25.83203125" customWidth="1"/>
    <col min="49" max="49" width="21.33203125" customWidth="1"/>
    <col min="50" max="50" width="19.83203125" customWidth="1"/>
    <col min="51" max="51" width="18.83203125" customWidth="1"/>
    <col min="52" max="52" width="19.83203125" customWidth="1"/>
    <col min="53" max="53" width="24" customWidth="1"/>
    <col min="55" max="55" width="23.1640625" customWidth="1"/>
    <col min="56" max="56" width="21.1640625" customWidth="1"/>
    <col min="57" max="57" width="18.6640625" customWidth="1"/>
    <col min="58" max="58" width="25.1640625" customWidth="1"/>
    <col min="59" max="59" width="28" customWidth="1"/>
    <col min="60" max="60" width="20.83203125" customWidth="1"/>
    <col min="61" max="61" width="29.6640625" customWidth="1"/>
    <col min="62" max="62" width="18.1640625" customWidth="1"/>
    <col min="82" max="210" width="21.1640625" customWidth="1"/>
  </cols>
  <sheetData>
    <row r="1" spans="1:210" ht="91.5" customHeight="1">
      <c r="A1" s="7" t="str">
        <f ca="1">IFERROR(__xludf.DUMMYFUNCTION("TRANSPOSE(FILTER('Column Definitions'!A2:A998, 'Column Definitions'!A2:A998&lt;&gt;""""))"),"Dataset Name")</f>
        <v>Dataset Name</v>
      </c>
      <c r="B1" s="7" t="str">
        <f ca="1">IFERROR(__xludf.DUMMYFUNCTION("""COMPUTED_VALUE"""),"Gene")</f>
        <v>Gene</v>
      </c>
      <c r="C1" s="7" t="str">
        <f ca="1">IFERROR(__xludf.DUMMYFUNCTION("""COMPUTED_VALUE"""),"HGNC ID")</f>
        <v>HGNC ID</v>
      </c>
      <c r="D1" s="7" t="str">
        <f ca="1">IFERROR(__xludf.DUMMYFUNCTION("""COMPUTED_VALUE"""),"Broad Disease Category")</f>
        <v>Broad Disease Category</v>
      </c>
      <c r="E1" s="7" t="str">
        <f ca="1">IFERROR(__xludf.DUMMYFUNCTION("""COMPUTED_VALUE"""),"Experiment Description")</f>
        <v>Experiment Description</v>
      </c>
      <c r="F1" s="7" t="str">
        <f ca="1">IFERROR(__xludf.DUMMYFUNCTION("""COMPUTED_VALUE"""),"IGVF Produced?")</f>
        <v>IGVF Produced?</v>
      </c>
      <c r="G1" s="8" t="str">
        <f ca="1">IFERROR(__xludf.DUMMYFUNCTION("""COMPUTED_VALUE"""),"MaveDB Score Set URN")</f>
        <v>MaveDB Score Set URN</v>
      </c>
      <c r="H1" s="7" t="str">
        <f ca="1">IFERROR(__xludf.DUMMYFUNCTION("""COMPUTED_VALUE"""),"Arrayed or Pooled?")</f>
        <v>Arrayed or Pooled?</v>
      </c>
      <c r="I1" s="7" t="str">
        <f ca="1">IFERROR(__xludf.DUMMYFUNCTION("""COMPUTED_VALUE"""),"Saturation or Variants of Interest (VOI)?")</f>
        <v>Saturation or Variants of Interest (VOI)?</v>
      </c>
      <c r="J1" s="7" t="str">
        <f ca="1">IFERROR(__xludf.DUMMYFUNCTION("""COMPUTED_VALUE"""),"PMID")</f>
        <v>PMID</v>
      </c>
      <c r="K1" s="7" t="str">
        <f ca="1">IFERROR(__xludf.DUMMYFUNCTION("""COMPUTED_VALUE"""),"First Author")</f>
        <v>First Author</v>
      </c>
      <c r="L1" s="7" t="str">
        <f ca="1">IFERROR(__xludf.DUMMYFUNCTION("""COMPUTED_VALUE"""),"Year of Publication")</f>
        <v>Year of Publication</v>
      </c>
      <c r="M1" s="7" t="str">
        <f ca="1">IFERROR(__xludf.DUMMYFUNCTION("""COMPUTED_VALUE"""),"Primary Score Set or Meta-analysis?")</f>
        <v>Primary Score Set or Meta-analysis?</v>
      </c>
      <c r="N1" s="7" t="str">
        <f ca="1">IFERROR(__xludf.DUMMYFUNCTION("""COMPUTED_VALUE"""),"Meta-analysis Type")</f>
        <v>Meta-analysis Type</v>
      </c>
      <c r="O1" s="7" t="str">
        <f ca="1">IFERROR(__xludf.DUMMYFUNCTION("""COMPUTED_VALUE"""),"PMIDs Included in Meta-analysis")</f>
        <v>PMIDs Included in Meta-analysis</v>
      </c>
      <c r="P1" s="7" t="str">
        <f ca="1">IFERROR(__xludf.DUMMYFUNCTION("""COMPUTED_VALUE"""),"Author Provided Transcript ID")</f>
        <v>Author Provided Transcript ID</v>
      </c>
      <c r="Q1" s="7" t="str">
        <f ca="1">IFERROR(__xludf.DUMMYFUNCTION("""COMPUTED_VALUE"""),"Ensembl Transcript ID")</f>
        <v>Ensembl Transcript ID</v>
      </c>
      <c r="R1" s="7" t="str">
        <f ca="1">IFERROR(__xludf.DUMMYFUNCTION("""COMPUTED_VALUE"""),"RefSeq Transcript ID")</f>
        <v>RefSeq Transcript ID</v>
      </c>
      <c r="S1" s="7" t="str">
        <f ca="1">IFERROR(__xludf.DUMMYFUNCTION("""COMPUTED_VALUE"""),"Transcript ID Additional Details")</f>
        <v>Transcript ID Additional Details</v>
      </c>
      <c r="T1" s="7" t="str">
        <f ca="1">IFERROR(__xludf.DUMMYFUNCTION("""COMPUTED_VALUE"""),"Experimental Methods")</f>
        <v>Experimental Methods</v>
      </c>
      <c r="U1" s="7" t="str">
        <f ca="1">IFERROR(__xludf.DUMMYFUNCTION("""COMPUTED_VALUE"""),"Model System")</f>
        <v>Model System</v>
      </c>
      <c r="V1" s="7" t="str">
        <f ca="1">IFERROR(__xludf.DUMMYFUNCTION("""COMPUTED_VALUE"""),"Model System NCBI Taxon")</f>
        <v>Model System NCBI Taxon</v>
      </c>
      <c r="W1" s="7" t="str">
        <f ca="1">IFERROR(__xludf.DUMMYFUNCTION("""COMPUTED_VALUE"""),"Cell Line Type")</f>
        <v>Cell Line Type</v>
      </c>
      <c r="X1" s="7" t="str">
        <f ca="1">IFERROR(__xludf.DUMMYFUNCTION("""COMPUTED_VALUE"""),"Cell Line Name")</f>
        <v>Cell Line Name</v>
      </c>
      <c r="Y1" s="7" t="str">
        <f ca="1">IFERROR(__xludf.DUMMYFUNCTION("""COMPUTED_VALUE"""),"Yeast Strain")</f>
        <v>Yeast Strain</v>
      </c>
      <c r="Z1" s="7" t="str">
        <f ca="1">IFERROR(__xludf.DUMMYFUNCTION("""COMPUTED_VALUE"""),"Yeast Strain Genotyope")</f>
        <v>Yeast Strain Genotyope</v>
      </c>
      <c r="AA1" s="7" t="str">
        <f ca="1">IFERROR(__xludf.DUMMYFUNCTION("""COMPUTED_VALUE"""),"Model System Modifications")</f>
        <v>Model System Modifications</v>
      </c>
      <c r="AB1" s="7" t="str">
        <f ca="1">IFERROR(__xludf.DUMMYFUNCTION("""COMPUTED_VALUE"""),"Assay Name")</f>
        <v>Assay Name</v>
      </c>
      <c r="AC1" s="7" t="str">
        <f ca="1">IFERROR(__xludf.DUMMYFUNCTION("""COMPUTED_VALUE"""),"Assay Type")</f>
        <v>Assay Type</v>
      </c>
      <c r="AD1" s="7" t="str">
        <f ca="1">IFERROR(__xludf.DUMMYFUNCTION("""COMPUTED_VALUE"""),"Assay Subtype ")</f>
        <v xml:space="preserve">Assay Subtype </v>
      </c>
      <c r="AE1" s="7" t="str">
        <f ca="1">IFERROR(__xludf.DUMMYFUNCTION("""COMPUTED_VALUE"""),"Phenotype Measured")</f>
        <v>Phenotype Measured</v>
      </c>
      <c r="AF1" s="7" t="str">
        <f ca="1">IFERROR(__xludf.DUMMYFUNCTION("""COMPUTED_VALUE"""),"Selective Pressure")</f>
        <v>Selective Pressure</v>
      </c>
      <c r="AG1" s="7" t="str">
        <f ca="1">IFERROR(__xludf.DUMMYFUNCTION("""COMPUTED_VALUE"""),"Selective Pressure Additional Details")</f>
        <v>Selective Pressure Additional Details</v>
      </c>
      <c r="AH1" s="7" t="str">
        <f ca="1">IFERROR(__xludf.DUMMYFUNCTION("""COMPUTED_VALUE"""),"Molecular or Biological Process Investigated")</f>
        <v>Molecular or Biological Process Investigated</v>
      </c>
      <c r="AI1" s="7" t="str">
        <f ca="1">IFERROR(__xludf.DUMMYFUNCTION("""COMPUTED_VALUE"""),"Functional Consequence Detected by Assay")</f>
        <v>Functional Consequence Detected by Assay</v>
      </c>
      <c r="AJ1" s="7" t="str">
        <f ca="1">IFERROR(__xludf.DUMMYFUNCTION("""COMPUTED_VALUE"""),"Detects Splicing Variants?")</f>
        <v>Detects Splicing Variants?</v>
      </c>
      <c r="AK1" s="7" t="str">
        <f ca="1">IFERROR(__xludf.DUMMYFUNCTION("""COMPUTED_VALUE"""),"Detects NMD Variants?")</f>
        <v>Detects NMD Variants?</v>
      </c>
      <c r="AL1" s="7" t="str">
        <f ca="1">IFERROR(__xludf.DUMMYFUNCTION("""COMPUTED_VALUE"""),"Scoring Methods")</f>
        <v>Scoring Methods</v>
      </c>
      <c r="AM1" s="7" t="str">
        <f ca="1">IFERROR(__xludf.DUMMYFUNCTION("""COMPUTED_VALUE"""),"Number of Complete Replicates")</f>
        <v>Number of Complete Replicates</v>
      </c>
      <c r="AN1" s="7" t="str">
        <f ca="1">IFERROR(__xludf.DUMMYFUNCTION("""COMPUTED_VALUE"""),"Replicates Description")</f>
        <v>Replicates Description</v>
      </c>
      <c r="AO1" s="7" t="str">
        <f ca="1">IFERROR(__xludf.DUMMYFUNCTION("""COMPUTED_VALUE"""),"Analysis of Variance Across Replicates")</f>
        <v>Analysis of Variance Across Replicates</v>
      </c>
      <c r="AP1" s="7" t="str">
        <f ca="1">IFERROR(__xludf.DUMMYFUNCTION("""COMPUTED_VALUE"""),"Analysis of Variance Across Replicates Details")</f>
        <v>Analysis of Variance Across Replicates Details</v>
      </c>
      <c r="AQ1" s="7" t="str">
        <f ca="1">IFERROR(__xludf.DUMMYFUNCTION("""COMPUTED_VALUE"""),"Library Type")</f>
        <v>Library Type</v>
      </c>
      <c r="AR1" s="7" t="str">
        <f ca="1">IFERROR(__xludf.DUMMYFUNCTION("""COMPUTED_VALUE"""),"Library Scope")</f>
        <v>Library Scope</v>
      </c>
      <c r="AS1" s="7" t="str">
        <f ca="1">IFERROR(__xludf.DUMMYFUNCTION("""COMPUTED_VALUE"""),"Library Coverage")</f>
        <v>Library Coverage</v>
      </c>
      <c r="AT1" s="7" t="str">
        <f ca="1">IFERROR(__xludf.DUMMYFUNCTION("""COMPUTED_VALUE"""),"Variant Expression Method")</f>
        <v>Variant Expression Method</v>
      </c>
      <c r="AU1" s="7" t="str">
        <f ca="1">IFERROR(__xludf.DUMMYFUNCTION("""COMPUTED_VALUE"""),"Library Construction Method")</f>
        <v>Library Construction Method</v>
      </c>
      <c r="AV1" s="7" t="str">
        <f ca="1">IFERROR(__xludf.DUMMYFUNCTION("""COMPUTED_VALUE"""),"Library Construction Method Details")</f>
        <v>Library Construction Method Details</v>
      </c>
      <c r="AW1" s="7" t="str">
        <f ca="1">IFERROR(__xludf.DUMMYFUNCTION("""COMPUTED_VALUE"""),"Library Integration")</f>
        <v>Library Integration</v>
      </c>
      <c r="AX1" s="7" t="str">
        <f ca="1">IFERROR(__xludf.DUMMYFUNCTION("""COMPUTED_VALUE"""),"Library Delivery Method")</f>
        <v>Library Delivery Method</v>
      </c>
      <c r="AY1" s="7" t="str">
        <f ca="1">IFERROR(__xludf.DUMMYFUNCTION("""COMPUTED_VALUE"""),"Library Delivery Method Details")</f>
        <v>Library Delivery Method Details</v>
      </c>
      <c r="AZ1" s="7" t="str">
        <f ca="1">IFERROR(__xludf.DUMMYFUNCTION("""COMPUTED_VALUE"""),"Sequencing Read Type")</f>
        <v>Sequencing Read Type</v>
      </c>
      <c r="BA1" s="7" t="str">
        <f ca="1">IFERROR(__xludf.DUMMYFUNCTION("""COMPUTED_VALUE"""),"Library Profile Strategy")</f>
        <v>Library Profile Strategy</v>
      </c>
      <c r="BB1" s="7" t="str">
        <f ca="1">IFERROR(__xludf.DUMMYFUNCTION("""COMPUTED_VALUE"""),"CRISPR/Cas9 System")</f>
        <v>CRISPR/Cas9 System</v>
      </c>
      <c r="BC1" s="7" t="str">
        <f ca="1">IFERROR(__xludf.DUMMYFUNCTION("""COMPUTED_VALUE"""),"Editing Enzyme Functionality")</f>
        <v>Editing Enzyme Functionality</v>
      </c>
      <c r="BD1" s="7" t="str">
        <f ca="1">IFERROR(__xludf.DUMMYFUNCTION("""COMPUTED_VALUE"""),"Dimensionality")</f>
        <v>Dimensionality</v>
      </c>
      <c r="BE1" s="7" t="str">
        <f ca="1">IFERROR(__xludf.DUMMYFUNCTION("""COMPUTED_VALUE"""),"Biological Controls?")</f>
        <v>Biological Controls?</v>
      </c>
      <c r="BF1" s="7" t="str">
        <f ca="1">IFERROR(__xludf.DUMMYFUNCTION("""COMPUTED_VALUE"""),"Number of synonymous variants (presumed normal biological controls)")</f>
        <v>Number of synonymous variants (presumed normal biological controls)</v>
      </c>
      <c r="BG1" s="7" t="str">
        <f ca="1">IFERROR(__xludf.DUMMYFUNCTION("""COMPUTED_VALUE"""),"Number of Truncating variants (presumed abnormal biological controls)")</f>
        <v>Number of Truncating variants (presumed abnormal biological controls)</v>
      </c>
      <c r="BH1" s="7" t="str">
        <f ca="1">IFERROR(__xludf.DUMMYFUNCTION("""COMPUTED_VALUE"""),"Additional Biological Controls")</f>
        <v>Additional Biological Controls</v>
      </c>
      <c r="BI1" s="7" t="str">
        <f ca="1">IFERROR(__xludf.DUMMYFUNCTION("""COMPUTED_VALUE"""),"Functional Classification Provided?")</f>
        <v>Functional Classification Provided?</v>
      </c>
      <c r="BJ1" s="7" t="str">
        <f ca="1">IFERROR(__xludf.DUMMYFUNCTION("""COMPUTED_VALUE"""),"Score Intervals Reported?")</f>
        <v>Score Intervals Reported?</v>
      </c>
      <c r="BK1" s="7" t="str">
        <f ca="1">IFERROR(__xludf.DUMMYFUNCTION("""COMPUTED_VALUE"""),"New Functional Classifications Created?")</f>
        <v>New Functional Classifications Created?</v>
      </c>
      <c r="BL1" s="7" t="str">
        <f ca="1">IFERROR(__xludf.DUMMYFUNCTION("""COMPUTED_VALUE"""),"Interval 1 Name")</f>
        <v>Interval 1 Name</v>
      </c>
      <c r="BM1" s="7" t="str">
        <f ca="1">IFERROR(__xludf.DUMMYFUNCTION("""COMPUTED_VALUE"""),"Interval 1 Range")</f>
        <v>Interval 1 Range</v>
      </c>
      <c r="BN1" s="7" t="str">
        <f ca="1">IFERROR(__xludf.DUMMYFUNCTION("""COMPUTED_VALUE"""),"Interval 1 Class")</f>
        <v>Interval 1 Class</v>
      </c>
      <c r="BO1" s="7" t="str">
        <f ca="1">IFERROR(__xludf.DUMMYFUNCTION("""COMPUTED_VALUE"""),"Interval 2 Name")</f>
        <v>Interval 2 Name</v>
      </c>
      <c r="BP1" s="7" t="str">
        <f ca="1">IFERROR(__xludf.DUMMYFUNCTION("""COMPUTED_VALUE"""),"Interval 2 Range")</f>
        <v>Interval 2 Range</v>
      </c>
      <c r="BQ1" s="7" t="str">
        <f ca="1">IFERROR(__xludf.DUMMYFUNCTION("""COMPUTED_VALUE"""),"Interval 2 Class")</f>
        <v>Interval 2 Class</v>
      </c>
      <c r="BR1" s="7" t="str">
        <f ca="1">IFERROR(__xludf.DUMMYFUNCTION("""COMPUTED_VALUE"""),"Interval 3 Name")</f>
        <v>Interval 3 Name</v>
      </c>
      <c r="BS1" s="7" t="str">
        <f ca="1">IFERROR(__xludf.DUMMYFUNCTION("""COMPUTED_VALUE"""),"Interval 3 Range")</f>
        <v>Interval 3 Range</v>
      </c>
      <c r="BT1" s="7" t="str">
        <f ca="1">IFERROR(__xludf.DUMMYFUNCTION("""COMPUTED_VALUE"""),"Interval 3 Class")</f>
        <v>Interval 3 Class</v>
      </c>
      <c r="BU1" s="7" t="str">
        <f ca="1">IFERROR(__xludf.DUMMYFUNCTION("""COMPUTED_VALUE"""),"Interval 4 Name")</f>
        <v>Interval 4 Name</v>
      </c>
      <c r="BV1" s="7" t="str">
        <f ca="1">IFERROR(__xludf.DUMMYFUNCTION("""COMPUTED_VALUE"""),"Interval 4 Range")</f>
        <v>Interval 4 Range</v>
      </c>
      <c r="BW1" s="7" t="str">
        <f ca="1">IFERROR(__xludf.DUMMYFUNCTION("""COMPUTED_VALUE"""),"Interval 4 Class")</f>
        <v>Interval 4 Class</v>
      </c>
      <c r="BX1" s="7" t="str">
        <f ca="1">IFERROR(__xludf.DUMMYFUNCTION("""COMPUTED_VALUE"""),"Interval 5 Name")</f>
        <v>Interval 5 Name</v>
      </c>
      <c r="BY1" s="7" t="str">
        <f ca="1">IFERROR(__xludf.DUMMYFUNCTION("""COMPUTED_VALUE"""),"Interval 5 Range")</f>
        <v>Interval 5 Range</v>
      </c>
      <c r="BZ1" s="7" t="str">
        <f ca="1">IFERROR(__xludf.DUMMYFUNCTION("""COMPUTED_VALUE"""),"Interval 5 Class")</f>
        <v>Interval 5 Class</v>
      </c>
      <c r="CA1" s="7" t="str">
        <f ca="1">IFERROR(__xludf.DUMMYFUNCTION("""COMPUTED_VALUE"""),"Interval 6 Name")</f>
        <v>Interval 6 Name</v>
      </c>
      <c r="CB1" s="7" t="str">
        <f ca="1">IFERROR(__xludf.DUMMYFUNCTION("""COMPUTED_VALUE"""),"Interval 6 Range")</f>
        <v>Interval 6 Range</v>
      </c>
      <c r="CC1" s="7" t="str">
        <f ca="1">IFERROR(__xludf.DUMMYFUNCTION("""COMPUTED_VALUE"""),"Interval 6 Class")</f>
        <v>Interval 6 Class</v>
      </c>
      <c r="CD1" s="7" t="str">
        <f ca="1">IFERROR(__xludf.DUMMYFUNCTION("""COMPUTED_VALUE"""),"Additional Notes")</f>
        <v>Additional Notes</v>
      </c>
      <c r="CE1" s="9"/>
      <c r="CF1" s="10"/>
      <c r="CG1" s="10"/>
      <c r="CH1" s="10"/>
      <c r="CI1" s="10"/>
      <c r="CJ1" s="10"/>
      <c r="CK1" s="10"/>
      <c r="CL1" s="10"/>
      <c r="CM1" s="10"/>
      <c r="CN1" s="10"/>
      <c r="CO1" s="10"/>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row>
    <row r="2" spans="1:210" ht="75" customHeight="1">
      <c r="A2" s="11" t="s">
        <v>180</v>
      </c>
      <c r="B2" s="11" t="s">
        <v>181</v>
      </c>
      <c r="C2" s="11">
        <v>756</v>
      </c>
      <c r="D2" s="11" t="s">
        <v>182</v>
      </c>
      <c r="E2" s="11" t="s">
        <v>183</v>
      </c>
      <c r="F2" s="11" t="s">
        <v>184</v>
      </c>
      <c r="G2" s="12" t="s">
        <v>185</v>
      </c>
      <c r="H2" s="11" t="s">
        <v>186</v>
      </c>
      <c r="I2" s="11" t="s">
        <v>187</v>
      </c>
      <c r="J2" s="11">
        <v>38740822</v>
      </c>
      <c r="K2" s="11" t="s">
        <v>188</v>
      </c>
      <c r="L2" s="11">
        <v>2024</v>
      </c>
      <c r="M2" s="11" t="s">
        <v>189</v>
      </c>
      <c r="N2" s="11"/>
      <c r="O2" s="11"/>
      <c r="P2" s="11"/>
      <c r="Q2" s="11" t="s">
        <v>190</v>
      </c>
      <c r="R2" s="11" t="s">
        <v>191</v>
      </c>
      <c r="S2" s="11"/>
      <c r="T2" s="11" t="s">
        <v>192</v>
      </c>
      <c r="U2" s="11" t="s">
        <v>193</v>
      </c>
      <c r="V2" s="11" t="s">
        <v>194</v>
      </c>
      <c r="W2" s="11" t="s">
        <v>195</v>
      </c>
      <c r="X2" s="11" t="s">
        <v>196</v>
      </c>
      <c r="Y2" s="11"/>
      <c r="Z2" s="11"/>
      <c r="AA2" s="11" t="s">
        <v>197</v>
      </c>
      <c r="AB2" s="11" t="s">
        <v>198</v>
      </c>
      <c r="AC2" s="11" t="s">
        <v>199</v>
      </c>
      <c r="AD2" s="11" t="s">
        <v>200</v>
      </c>
      <c r="AE2" s="11" t="s">
        <v>201</v>
      </c>
      <c r="AF2" s="11" t="s">
        <v>202</v>
      </c>
      <c r="AG2" s="11"/>
      <c r="AH2" s="11" t="s">
        <v>203</v>
      </c>
      <c r="AI2" s="11" t="s">
        <v>204</v>
      </c>
      <c r="AJ2" s="11" t="s">
        <v>184</v>
      </c>
      <c r="AK2" s="11" t="s">
        <v>184</v>
      </c>
      <c r="AL2" s="11" t="s">
        <v>205</v>
      </c>
      <c r="AM2" s="11">
        <v>4</v>
      </c>
      <c r="AN2" s="11" t="s">
        <v>206</v>
      </c>
      <c r="AO2" s="11" t="s">
        <v>207</v>
      </c>
      <c r="AP2" s="11" t="s">
        <v>208</v>
      </c>
      <c r="AQ2" s="11" t="s">
        <v>209</v>
      </c>
      <c r="AR2" s="11" t="s">
        <v>210</v>
      </c>
      <c r="AS2" s="11" t="s">
        <v>211</v>
      </c>
      <c r="AT2" s="11" t="s">
        <v>212</v>
      </c>
      <c r="AU2" s="11" t="s">
        <v>213</v>
      </c>
      <c r="AV2" s="11" t="s">
        <v>214</v>
      </c>
      <c r="AW2" s="11" t="s">
        <v>215</v>
      </c>
      <c r="AX2" s="11" t="s">
        <v>216</v>
      </c>
      <c r="AY2" s="11" t="s">
        <v>217</v>
      </c>
      <c r="AZ2" s="11" t="s">
        <v>218</v>
      </c>
      <c r="BA2" s="11" t="s">
        <v>219</v>
      </c>
      <c r="BB2" s="11"/>
      <c r="BC2" s="11"/>
      <c r="BD2" s="11" t="s">
        <v>220</v>
      </c>
      <c r="BE2" s="11" t="s">
        <v>221</v>
      </c>
      <c r="BF2" s="13">
        <v>0</v>
      </c>
      <c r="BG2" s="13">
        <v>305</v>
      </c>
      <c r="BH2" s="11" t="s">
        <v>222</v>
      </c>
      <c r="BI2" s="11" t="s">
        <v>184</v>
      </c>
      <c r="BJ2" s="11" t="s">
        <v>221</v>
      </c>
      <c r="BK2" s="11" t="s">
        <v>184</v>
      </c>
      <c r="BL2" s="11" t="s">
        <v>223</v>
      </c>
      <c r="BM2" s="11" t="s">
        <v>224</v>
      </c>
      <c r="BN2" s="11" t="s">
        <v>225</v>
      </c>
      <c r="BO2" s="11"/>
      <c r="BP2" s="11"/>
      <c r="BQ2" s="11"/>
      <c r="BR2" s="11"/>
      <c r="BS2" s="11"/>
      <c r="BT2" s="11"/>
      <c r="BU2" s="11"/>
      <c r="BV2" s="11"/>
      <c r="BW2" s="11"/>
      <c r="BX2" s="11"/>
      <c r="BY2" s="11"/>
      <c r="BZ2" s="11"/>
      <c r="CA2" s="11"/>
      <c r="CB2" s="11"/>
      <c r="CC2" s="11"/>
      <c r="CD2" s="11"/>
      <c r="CE2" s="14"/>
      <c r="CF2" s="15"/>
      <c r="CG2" s="15"/>
      <c r="CH2" s="15"/>
      <c r="CI2" s="15"/>
      <c r="CJ2" s="15"/>
      <c r="CK2" s="15"/>
      <c r="CL2" s="15"/>
      <c r="CM2" s="15"/>
      <c r="CN2" s="15"/>
      <c r="CO2" s="15"/>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row>
    <row r="3" spans="1:210" ht="75" customHeight="1">
      <c r="A3" s="11" t="s">
        <v>226</v>
      </c>
      <c r="B3" s="11" t="s">
        <v>181</v>
      </c>
      <c r="C3" s="11">
        <v>756</v>
      </c>
      <c r="D3" s="11" t="s">
        <v>182</v>
      </c>
      <c r="E3" s="11" t="s">
        <v>227</v>
      </c>
      <c r="F3" s="11" t="s">
        <v>184</v>
      </c>
      <c r="G3" s="12" t="s">
        <v>228</v>
      </c>
      <c r="H3" s="11" t="s">
        <v>186</v>
      </c>
      <c r="I3" s="11" t="s">
        <v>187</v>
      </c>
      <c r="J3" s="11">
        <v>38740822</v>
      </c>
      <c r="K3" s="11" t="s">
        <v>188</v>
      </c>
      <c r="L3" s="11">
        <v>2024</v>
      </c>
      <c r="M3" s="11" t="s">
        <v>189</v>
      </c>
      <c r="N3" s="11"/>
      <c r="O3" s="11"/>
      <c r="P3" s="11"/>
      <c r="Q3" s="11" t="s">
        <v>190</v>
      </c>
      <c r="R3" s="11" t="s">
        <v>191</v>
      </c>
      <c r="S3" s="11"/>
      <c r="T3" s="11" t="s">
        <v>229</v>
      </c>
      <c r="U3" s="11" t="s">
        <v>193</v>
      </c>
      <c r="V3" s="11" t="s">
        <v>194</v>
      </c>
      <c r="W3" s="11" t="s">
        <v>195</v>
      </c>
      <c r="X3" s="11" t="s">
        <v>196</v>
      </c>
      <c r="Y3" s="11"/>
      <c r="Z3" s="11"/>
      <c r="AA3" s="11" t="s">
        <v>197</v>
      </c>
      <c r="AB3" s="11" t="s">
        <v>230</v>
      </c>
      <c r="AC3" s="11" t="s">
        <v>231</v>
      </c>
      <c r="AD3" s="11" t="s">
        <v>232</v>
      </c>
      <c r="AE3" s="11" t="s">
        <v>233</v>
      </c>
      <c r="AF3" s="11" t="s">
        <v>234</v>
      </c>
      <c r="AG3" s="11"/>
      <c r="AH3" s="11" t="s">
        <v>235</v>
      </c>
      <c r="AI3" s="11" t="s">
        <v>204</v>
      </c>
      <c r="AJ3" s="11" t="s">
        <v>184</v>
      </c>
      <c r="AK3" s="11" t="s">
        <v>184</v>
      </c>
      <c r="AL3" s="11" t="s">
        <v>236</v>
      </c>
      <c r="AM3" s="11">
        <v>4</v>
      </c>
      <c r="AN3" s="11" t="s">
        <v>237</v>
      </c>
      <c r="AO3" s="11" t="s">
        <v>207</v>
      </c>
      <c r="AP3" s="11" t="s">
        <v>238</v>
      </c>
      <c r="AQ3" s="11" t="s">
        <v>209</v>
      </c>
      <c r="AR3" s="11" t="s">
        <v>210</v>
      </c>
      <c r="AS3" s="11" t="s">
        <v>211</v>
      </c>
      <c r="AT3" s="11" t="s">
        <v>212</v>
      </c>
      <c r="AU3" s="11" t="s">
        <v>213</v>
      </c>
      <c r="AV3" s="11" t="s">
        <v>214</v>
      </c>
      <c r="AW3" s="11" t="s">
        <v>215</v>
      </c>
      <c r="AX3" s="11" t="s">
        <v>216</v>
      </c>
      <c r="AY3" s="11" t="s">
        <v>217</v>
      </c>
      <c r="AZ3" s="11" t="s">
        <v>218</v>
      </c>
      <c r="BA3" s="11" t="s">
        <v>219</v>
      </c>
      <c r="BB3" s="11"/>
      <c r="BC3" s="11"/>
      <c r="BD3" s="11" t="s">
        <v>220</v>
      </c>
      <c r="BE3" s="11" t="s">
        <v>221</v>
      </c>
      <c r="BF3" s="13">
        <v>0</v>
      </c>
      <c r="BG3" s="13">
        <v>305</v>
      </c>
      <c r="BH3" s="11" t="s">
        <v>239</v>
      </c>
      <c r="BI3" s="11" t="s">
        <v>184</v>
      </c>
      <c r="BJ3" s="11" t="s">
        <v>221</v>
      </c>
      <c r="BK3" s="11" t="s">
        <v>184</v>
      </c>
      <c r="BL3" s="11" t="s">
        <v>240</v>
      </c>
      <c r="BM3" s="11" t="s">
        <v>241</v>
      </c>
      <c r="BN3" s="11" t="s">
        <v>225</v>
      </c>
      <c r="BO3" s="11" t="s">
        <v>242</v>
      </c>
      <c r="BP3" s="11" t="s">
        <v>243</v>
      </c>
      <c r="BQ3" s="11" t="s">
        <v>244</v>
      </c>
      <c r="BR3" s="11"/>
      <c r="BS3" s="11"/>
      <c r="BT3" s="11"/>
      <c r="BU3" s="11"/>
      <c r="BV3" s="11"/>
      <c r="BW3" s="11"/>
      <c r="BX3" s="11"/>
      <c r="BY3" s="11"/>
      <c r="BZ3" s="11"/>
      <c r="CA3" s="11"/>
      <c r="CB3" s="11"/>
      <c r="CC3" s="11"/>
      <c r="CD3" s="11"/>
      <c r="CE3" s="14"/>
      <c r="CF3" s="15"/>
      <c r="CG3" s="15"/>
      <c r="CH3" s="15"/>
      <c r="CI3" s="15"/>
      <c r="CJ3" s="15"/>
      <c r="CK3" s="15"/>
      <c r="CL3" s="15"/>
      <c r="CM3" s="15"/>
      <c r="CN3" s="15"/>
      <c r="CO3" s="15"/>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row>
    <row r="4" spans="1:210" ht="75" customHeight="1">
      <c r="A4" s="11" t="s">
        <v>9</v>
      </c>
      <c r="B4" s="11" t="s">
        <v>245</v>
      </c>
      <c r="C4" s="11">
        <v>950</v>
      </c>
      <c r="D4" s="11" t="s">
        <v>246</v>
      </c>
      <c r="E4" s="11" t="s">
        <v>247</v>
      </c>
      <c r="F4" s="11" t="s">
        <v>184</v>
      </c>
      <c r="G4" s="12" t="s">
        <v>248</v>
      </c>
      <c r="H4" s="11" t="s">
        <v>186</v>
      </c>
      <c r="I4" s="11" t="s">
        <v>187</v>
      </c>
      <c r="J4" s="11">
        <v>38969833</v>
      </c>
      <c r="K4" s="11" t="s">
        <v>249</v>
      </c>
      <c r="L4" s="11">
        <v>2024</v>
      </c>
      <c r="M4" s="11" t="s">
        <v>189</v>
      </c>
      <c r="N4" s="11"/>
      <c r="O4" s="11"/>
      <c r="P4" s="11" t="s">
        <v>250</v>
      </c>
      <c r="Q4" s="11" t="s">
        <v>250</v>
      </c>
      <c r="R4" s="11" t="s">
        <v>251</v>
      </c>
      <c r="S4" s="11"/>
      <c r="T4" s="11" t="s">
        <v>252</v>
      </c>
      <c r="U4" s="11" t="s">
        <v>193</v>
      </c>
      <c r="V4" s="11" t="s">
        <v>194</v>
      </c>
      <c r="W4" s="11" t="s">
        <v>195</v>
      </c>
      <c r="X4" s="11" t="s">
        <v>253</v>
      </c>
      <c r="Y4" s="11"/>
      <c r="Z4" s="11"/>
      <c r="AA4" s="11" t="s">
        <v>254</v>
      </c>
      <c r="AB4" s="11" t="s">
        <v>255</v>
      </c>
      <c r="AC4" s="11" t="s">
        <v>231</v>
      </c>
      <c r="AD4" s="11" t="s">
        <v>232</v>
      </c>
      <c r="AE4" s="11" t="s">
        <v>233</v>
      </c>
      <c r="AF4" s="11" t="s">
        <v>234</v>
      </c>
      <c r="AG4" s="11"/>
      <c r="AH4" s="11" t="s">
        <v>256</v>
      </c>
      <c r="AI4" s="11" t="s">
        <v>204</v>
      </c>
      <c r="AJ4" s="11" t="s">
        <v>207</v>
      </c>
      <c r="AK4" s="11" t="s">
        <v>207</v>
      </c>
      <c r="AL4" s="11" t="s">
        <v>257</v>
      </c>
      <c r="AM4" s="11">
        <v>2</v>
      </c>
      <c r="AN4" s="11" t="s">
        <v>258</v>
      </c>
      <c r="AO4" s="11" t="s">
        <v>207</v>
      </c>
      <c r="AP4" s="11" t="s">
        <v>259</v>
      </c>
      <c r="AQ4" s="11" t="s">
        <v>260</v>
      </c>
      <c r="AR4" s="11" t="s">
        <v>261</v>
      </c>
      <c r="AS4" s="11" t="s">
        <v>262</v>
      </c>
      <c r="AT4" s="11" t="s">
        <v>263</v>
      </c>
      <c r="AU4" s="11" t="s">
        <v>264</v>
      </c>
      <c r="AV4" s="11"/>
      <c r="AW4" s="11"/>
      <c r="AX4" s="11" t="s">
        <v>216</v>
      </c>
      <c r="AY4" s="11"/>
      <c r="AZ4" s="11" t="s">
        <v>218</v>
      </c>
      <c r="BA4" s="11" t="s">
        <v>265</v>
      </c>
      <c r="BB4" s="11" t="s">
        <v>266</v>
      </c>
      <c r="BC4" s="11" t="s">
        <v>267</v>
      </c>
      <c r="BD4" s="11" t="s">
        <v>220</v>
      </c>
      <c r="BE4" s="11" t="s">
        <v>221</v>
      </c>
      <c r="BF4" s="13">
        <v>1481</v>
      </c>
      <c r="BG4" s="13">
        <v>899</v>
      </c>
      <c r="BH4" s="11" t="s">
        <v>268</v>
      </c>
      <c r="BI4" s="11" t="s">
        <v>207</v>
      </c>
      <c r="BJ4" s="11" t="s">
        <v>269</v>
      </c>
      <c r="BK4" s="11" t="s">
        <v>184</v>
      </c>
      <c r="BL4" s="11"/>
      <c r="BM4" s="11"/>
      <c r="BN4" s="11"/>
      <c r="BO4" s="11"/>
      <c r="BP4" s="11"/>
      <c r="BQ4" s="11"/>
      <c r="BR4" s="11"/>
      <c r="BS4" s="11"/>
      <c r="BT4" s="11"/>
      <c r="BU4" s="11"/>
      <c r="BV4" s="11"/>
      <c r="BW4" s="11"/>
      <c r="BX4" s="11"/>
      <c r="BY4" s="11"/>
      <c r="BZ4" s="11"/>
      <c r="CA4" s="11"/>
      <c r="CB4" s="11"/>
      <c r="CC4" s="11"/>
      <c r="CD4" s="16" t="s">
        <v>15</v>
      </c>
      <c r="CE4" s="17"/>
      <c r="CF4" s="18"/>
      <c r="CG4" s="18"/>
      <c r="CH4" s="18"/>
      <c r="CI4" s="18"/>
      <c r="CJ4" s="18"/>
      <c r="CK4" s="18"/>
      <c r="CL4" s="18"/>
      <c r="CM4" s="18"/>
      <c r="CN4" s="18"/>
      <c r="CO4" s="18"/>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row>
    <row r="5" spans="1:210" ht="75" customHeight="1">
      <c r="A5" s="11" t="s">
        <v>270</v>
      </c>
      <c r="B5" s="11" t="s">
        <v>271</v>
      </c>
      <c r="C5" s="11">
        <v>952</v>
      </c>
      <c r="D5" s="11" t="s">
        <v>246</v>
      </c>
      <c r="E5" s="11" t="s">
        <v>272</v>
      </c>
      <c r="F5" s="11" t="s">
        <v>207</v>
      </c>
      <c r="G5" s="12" t="s">
        <v>273</v>
      </c>
      <c r="H5" s="11" t="s">
        <v>186</v>
      </c>
      <c r="I5" s="11" t="s">
        <v>187</v>
      </c>
      <c r="J5" s="11">
        <v>41282735</v>
      </c>
      <c r="K5" s="11" t="s">
        <v>274</v>
      </c>
      <c r="L5" s="11">
        <v>2025</v>
      </c>
      <c r="M5" s="11" t="s">
        <v>189</v>
      </c>
      <c r="N5" s="11"/>
      <c r="O5" s="11"/>
      <c r="P5" s="11"/>
      <c r="Q5" s="11" t="s">
        <v>275</v>
      </c>
      <c r="R5" s="11" t="s">
        <v>276</v>
      </c>
      <c r="S5" s="11"/>
      <c r="T5" s="11" t="s">
        <v>277</v>
      </c>
      <c r="U5" s="11" t="s">
        <v>193</v>
      </c>
      <c r="V5" s="11" t="s">
        <v>194</v>
      </c>
      <c r="W5" s="11" t="s">
        <v>195</v>
      </c>
      <c r="X5" s="11" t="s">
        <v>253</v>
      </c>
      <c r="Y5" s="11"/>
      <c r="Z5" s="11"/>
      <c r="AA5" s="11" t="s">
        <v>278</v>
      </c>
      <c r="AB5" s="11" t="s">
        <v>255</v>
      </c>
      <c r="AC5" s="11" t="s">
        <v>231</v>
      </c>
      <c r="AD5" s="11" t="s">
        <v>232</v>
      </c>
      <c r="AE5" s="11" t="s">
        <v>233</v>
      </c>
      <c r="AF5" s="11" t="s">
        <v>234</v>
      </c>
      <c r="AG5" s="11"/>
      <c r="AH5" s="11" t="s">
        <v>256</v>
      </c>
      <c r="AI5" s="11" t="s">
        <v>204</v>
      </c>
      <c r="AJ5" s="11" t="s">
        <v>207</v>
      </c>
      <c r="AK5" s="11" t="s">
        <v>207</v>
      </c>
      <c r="AL5" s="11" t="s">
        <v>279</v>
      </c>
      <c r="AM5" s="11">
        <v>3</v>
      </c>
      <c r="AN5" s="11" t="s">
        <v>280</v>
      </c>
      <c r="AO5" s="11" t="s">
        <v>207</v>
      </c>
      <c r="AP5" s="11" t="s">
        <v>281</v>
      </c>
      <c r="AQ5" s="11" t="s">
        <v>260</v>
      </c>
      <c r="AR5" s="11" t="s">
        <v>261</v>
      </c>
      <c r="AS5" s="11" t="s">
        <v>262</v>
      </c>
      <c r="AT5" s="11" t="s">
        <v>263</v>
      </c>
      <c r="AU5" s="11" t="s">
        <v>213</v>
      </c>
      <c r="AV5" s="11" t="s">
        <v>282</v>
      </c>
      <c r="AW5" s="11"/>
      <c r="AX5" s="11" t="s">
        <v>216</v>
      </c>
      <c r="AY5" s="11" t="s">
        <v>283</v>
      </c>
      <c r="AZ5" s="11" t="s">
        <v>218</v>
      </c>
      <c r="BA5" s="11" t="s">
        <v>265</v>
      </c>
      <c r="BB5" s="11" t="s">
        <v>266</v>
      </c>
      <c r="BC5" s="11" t="s">
        <v>267</v>
      </c>
      <c r="BD5" s="11" t="s">
        <v>220</v>
      </c>
      <c r="BE5" s="11" t="s">
        <v>221</v>
      </c>
      <c r="BF5" s="13">
        <v>1312</v>
      </c>
      <c r="BG5" s="13">
        <v>321</v>
      </c>
      <c r="BH5" s="11" t="s">
        <v>268</v>
      </c>
      <c r="BI5" s="11" t="s">
        <v>207</v>
      </c>
      <c r="BJ5" s="11" t="s">
        <v>221</v>
      </c>
      <c r="BK5" s="11" t="s">
        <v>184</v>
      </c>
      <c r="BL5" s="11"/>
      <c r="BM5" s="11"/>
      <c r="BN5" s="11"/>
      <c r="BO5" s="11"/>
      <c r="BP5" s="11"/>
      <c r="BQ5" s="11"/>
      <c r="BR5" s="11"/>
      <c r="BS5" s="11"/>
      <c r="BT5" s="11"/>
      <c r="BU5" s="11"/>
      <c r="BV5" s="11"/>
      <c r="BW5" s="11"/>
      <c r="BX5" s="11"/>
      <c r="BY5" s="11"/>
      <c r="BZ5" s="11"/>
      <c r="CA5" s="11"/>
      <c r="CB5" s="11"/>
      <c r="CC5" s="11"/>
      <c r="CD5" s="11"/>
      <c r="CE5" s="14"/>
      <c r="CF5" s="15"/>
      <c r="CG5" s="15"/>
      <c r="CH5" s="15"/>
      <c r="CI5" s="15"/>
      <c r="CJ5" s="15"/>
      <c r="CK5" s="15"/>
      <c r="CL5" s="15"/>
      <c r="CM5" s="15"/>
      <c r="CN5" s="15"/>
      <c r="CO5" s="15"/>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row>
    <row r="6" spans="1:210" ht="75" customHeight="1">
      <c r="A6" s="11" t="s">
        <v>284</v>
      </c>
      <c r="B6" s="11" t="s">
        <v>285</v>
      </c>
      <c r="C6" s="11">
        <v>1100</v>
      </c>
      <c r="D6" s="11" t="s">
        <v>246</v>
      </c>
      <c r="E6" s="11" t="s">
        <v>286</v>
      </c>
      <c r="F6" s="11" t="s">
        <v>184</v>
      </c>
      <c r="G6" s="12" t="s">
        <v>287</v>
      </c>
      <c r="H6" s="11" t="s">
        <v>186</v>
      </c>
      <c r="I6" s="11" t="s">
        <v>187</v>
      </c>
      <c r="J6" s="11">
        <v>35196514</v>
      </c>
      <c r="K6" s="11" t="s">
        <v>288</v>
      </c>
      <c r="L6" s="11">
        <v>2022</v>
      </c>
      <c r="M6" s="11" t="s">
        <v>189</v>
      </c>
      <c r="N6" s="11"/>
      <c r="O6" s="11"/>
      <c r="P6" s="11" t="s">
        <v>289</v>
      </c>
      <c r="Q6" s="11" t="s">
        <v>290</v>
      </c>
      <c r="R6" s="11" t="s">
        <v>289</v>
      </c>
      <c r="S6" s="19" t="s">
        <v>291</v>
      </c>
      <c r="T6" s="11" t="s">
        <v>292</v>
      </c>
      <c r="U6" s="11" t="s">
        <v>193</v>
      </c>
      <c r="V6" s="11" t="s">
        <v>194</v>
      </c>
      <c r="W6" s="11" t="s">
        <v>195</v>
      </c>
      <c r="X6" s="11" t="s">
        <v>293</v>
      </c>
      <c r="Y6" s="11"/>
      <c r="Z6" s="11"/>
      <c r="AA6" s="11" t="s">
        <v>294</v>
      </c>
      <c r="AB6" s="11" t="s">
        <v>230</v>
      </c>
      <c r="AC6" s="11" t="s">
        <v>231</v>
      </c>
      <c r="AD6" s="11" t="s">
        <v>232</v>
      </c>
      <c r="AE6" s="11" t="s">
        <v>233</v>
      </c>
      <c r="AF6" s="11" t="s">
        <v>295</v>
      </c>
      <c r="AG6" s="11" t="s">
        <v>296</v>
      </c>
      <c r="AH6" s="11" t="s">
        <v>297</v>
      </c>
      <c r="AI6" s="11" t="s">
        <v>204</v>
      </c>
      <c r="AJ6" s="11" t="s">
        <v>184</v>
      </c>
      <c r="AK6" s="11" t="s">
        <v>184</v>
      </c>
      <c r="AL6" s="11" t="s">
        <v>298</v>
      </c>
      <c r="AM6" s="11">
        <v>4</v>
      </c>
      <c r="AN6" s="11" t="s">
        <v>299</v>
      </c>
      <c r="AO6" s="11" t="s">
        <v>184</v>
      </c>
      <c r="AP6" s="11" t="s">
        <v>300</v>
      </c>
      <c r="AQ6" s="11" t="s">
        <v>209</v>
      </c>
      <c r="AR6" s="11" t="s">
        <v>210</v>
      </c>
      <c r="AS6" s="11" t="s">
        <v>301</v>
      </c>
      <c r="AT6" s="11" t="s">
        <v>212</v>
      </c>
      <c r="AU6" s="11" t="s">
        <v>302</v>
      </c>
      <c r="AV6" s="11"/>
      <c r="AW6" s="11" t="s">
        <v>215</v>
      </c>
      <c r="AX6" s="11" t="s">
        <v>216</v>
      </c>
      <c r="AY6" s="11"/>
      <c r="AZ6" s="11" t="s">
        <v>218</v>
      </c>
      <c r="BA6" s="11" t="s">
        <v>219</v>
      </c>
      <c r="BB6" s="11"/>
      <c r="BC6" s="11"/>
      <c r="BD6" s="11" t="s">
        <v>220</v>
      </c>
      <c r="BE6" s="11" t="s">
        <v>221</v>
      </c>
      <c r="BF6" s="13">
        <v>0</v>
      </c>
      <c r="BG6" s="13">
        <v>66</v>
      </c>
      <c r="BH6" s="11" t="s">
        <v>303</v>
      </c>
      <c r="BI6" s="11" t="s">
        <v>184</v>
      </c>
      <c r="BJ6" s="11" t="s">
        <v>221</v>
      </c>
      <c r="BK6" s="11" t="s">
        <v>184</v>
      </c>
      <c r="BL6" s="11" t="s">
        <v>304</v>
      </c>
      <c r="BM6" s="11" t="s">
        <v>305</v>
      </c>
      <c r="BN6" s="11" t="s">
        <v>244</v>
      </c>
      <c r="BO6" s="11" t="s">
        <v>306</v>
      </c>
      <c r="BP6" s="11" t="s">
        <v>307</v>
      </c>
      <c r="BQ6" s="11" t="s">
        <v>225</v>
      </c>
      <c r="BR6" s="11" t="s">
        <v>308</v>
      </c>
      <c r="BS6" s="11" t="s">
        <v>309</v>
      </c>
      <c r="BT6" s="11" t="s">
        <v>310</v>
      </c>
      <c r="BU6" s="11"/>
      <c r="BV6" s="11"/>
      <c r="BW6" s="11"/>
      <c r="BX6" s="11"/>
      <c r="BY6" s="11"/>
      <c r="BZ6" s="11"/>
      <c r="CA6" s="11"/>
      <c r="CB6" s="11"/>
      <c r="CC6" s="11"/>
      <c r="CD6" s="11"/>
      <c r="CE6" s="14"/>
      <c r="CF6" s="15"/>
      <c r="CG6" s="15"/>
      <c r="CH6" s="15"/>
      <c r="CI6" s="15"/>
      <c r="CJ6" s="15"/>
      <c r="CK6" s="15"/>
      <c r="CL6" s="15"/>
      <c r="CM6" s="15"/>
      <c r="CN6" s="15"/>
      <c r="CO6" s="15"/>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row>
    <row r="7" spans="1:210" ht="75" customHeight="1">
      <c r="A7" s="11" t="s">
        <v>311</v>
      </c>
      <c r="B7" s="11" t="s">
        <v>285</v>
      </c>
      <c r="C7" s="11">
        <v>1100</v>
      </c>
      <c r="D7" s="11" t="s">
        <v>246</v>
      </c>
      <c r="E7" s="11" t="s">
        <v>312</v>
      </c>
      <c r="F7" s="11" t="s">
        <v>184</v>
      </c>
      <c r="G7" s="12" t="s">
        <v>313</v>
      </c>
      <c r="H7" s="11" t="s">
        <v>186</v>
      </c>
      <c r="I7" s="11" t="s">
        <v>187</v>
      </c>
      <c r="J7" s="11">
        <v>35196514</v>
      </c>
      <c r="K7" s="11" t="s">
        <v>288</v>
      </c>
      <c r="L7" s="11">
        <v>2022</v>
      </c>
      <c r="M7" s="11" t="s">
        <v>189</v>
      </c>
      <c r="N7" s="11"/>
      <c r="O7" s="11"/>
      <c r="P7" s="11" t="s">
        <v>289</v>
      </c>
      <c r="Q7" s="11" t="s">
        <v>290</v>
      </c>
      <c r="R7" s="11" t="s">
        <v>289</v>
      </c>
      <c r="S7" s="19" t="s">
        <v>291</v>
      </c>
      <c r="T7" s="11" t="s">
        <v>314</v>
      </c>
      <c r="U7" s="11" t="s">
        <v>193</v>
      </c>
      <c r="V7" s="11" t="s">
        <v>194</v>
      </c>
      <c r="W7" s="11" t="s">
        <v>195</v>
      </c>
      <c r="X7" s="11" t="s">
        <v>293</v>
      </c>
      <c r="Y7" s="11"/>
      <c r="Z7" s="11"/>
      <c r="AA7" s="11" t="s">
        <v>294</v>
      </c>
      <c r="AB7" s="11" t="s">
        <v>230</v>
      </c>
      <c r="AC7" s="11" t="s">
        <v>199</v>
      </c>
      <c r="AD7" s="11" t="s">
        <v>315</v>
      </c>
      <c r="AE7" s="11" t="s">
        <v>201</v>
      </c>
      <c r="AF7" s="11" t="s">
        <v>202</v>
      </c>
      <c r="AG7" s="11"/>
      <c r="AH7" s="11" t="s">
        <v>316</v>
      </c>
      <c r="AI7" s="11" t="s">
        <v>204</v>
      </c>
      <c r="AJ7" s="11" t="s">
        <v>184</v>
      </c>
      <c r="AK7" s="11" t="s">
        <v>184</v>
      </c>
      <c r="AL7" s="11" t="s">
        <v>317</v>
      </c>
      <c r="AM7" s="11">
        <v>4</v>
      </c>
      <c r="AN7" s="11" t="s">
        <v>318</v>
      </c>
      <c r="AO7" s="11" t="s">
        <v>184</v>
      </c>
      <c r="AP7" s="11" t="s">
        <v>300</v>
      </c>
      <c r="AQ7" s="11" t="s">
        <v>209</v>
      </c>
      <c r="AR7" s="11" t="s">
        <v>210</v>
      </c>
      <c r="AS7" s="11" t="s">
        <v>301</v>
      </c>
      <c r="AT7" s="11" t="s">
        <v>212</v>
      </c>
      <c r="AU7" s="11" t="s">
        <v>302</v>
      </c>
      <c r="AV7" s="11"/>
      <c r="AW7" s="11" t="s">
        <v>215</v>
      </c>
      <c r="AX7" s="11" t="s">
        <v>216</v>
      </c>
      <c r="AY7" s="11"/>
      <c r="AZ7" s="11" t="s">
        <v>218</v>
      </c>
      <c r="BA7" s="11" t="s">
        <v>219</v>
      </c>
      <c r="BB7" s="11"/>
      <c r="BC7" s="11"/>
      <c r="BD7" s="11" t="s">
        <v>220</v>
      </c>
      <c r="BE7" s="11" t="s">
        <v>221</v>
      </c>
      <c r="BF7" s="13">
        <v>1</v>
      </c>
      <c r="BG7" s="13">
        <v>119</v>
      </c>
      <c r="BH7" s="11" t="s">
        <v>303</v>
      </c>
      <c r="BI7" s="11" t="s">
        <v>184</v>
      </c>
      <c r="BJ7" s="11" t="s">
        <v>221</v>
      </c>
      <c r="BK7" s="11" t="s">
        <v>184</v>
      </c>
      <c r="BL7" s="11" t="s">
        <v>304</v>
      </c>
      <c r="BM7" s="11" t="s">
        <v>319</v>
      </c>
      <c r="BN7" s="11" t="s">
        <v>244</v>
      </c>
      <c r="BO7" s="11" t="s">
        <v>306</v>
      </c>
      <c r="BP7" s="11" t="s">
        <v>320</v>
      </c>
      <c r="BQ7" s="11" t="s">
        <v>225</v>
      </c>
      <c r="BR7" s="11" t="s">
        <v>308</v>
      </c>
      <c r="BS7" s="11" t="s">
        <v>321</v>
      </c>
      <c r="BT7" s="11" t="s">
        <v>310</v>
      </c>
      <c r="BU7" s="11"/>
      <c r="BV7" s="11"/>
      <c r="BW7" s="11"/>
      <c r="BX7" s="11"/>
      <c r="BY7" s="11"/>
      <c r="BZ7" s="11"/>
      <c r="CA7" s="11"/>
      <c r="CB7" s="11"/>
      <c r="CC7" s="11"/>
      <c r="CD7" s="11"/>
      <c r="CE7" s="14"/>
      <c r="CF7" s="15"/>
      <c r="CG7" s="15"/>
      <c r="CH7" s="15"/>
      <c r="CI7" s="15"/>
      <c r="CJ7" s="15"/>
      <c r="CK7" s="15"/>
      <c r="CL7" s="15"/>
      <c r="CM7" s="15"/>
      <c r="CN7" s="15"/>
      <c r="CO7" s="15"/>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row>
    <row r="8" spans="1:210" ht="75" customHeight="1">
      <c r="A8" s="11" t="s">
        <v>322</v>
      </c>
      <c r="B8" s="11" t="s">
        <v>285</v>
      </c>
      <c r="C8" s="11">
        <v>1100</v>
      </c>
      <c r="D8" s="11" t="s">
        <v>246</v>
      </c>
      <c r="E8" s="11" t="s">
        <v>323</v>
      </c>
      <c r="F8" s="11" t="s">
        <v>184</v>
      </c>
      <c r="G8" s="12" t="s">
        <v>324</v>
      </c>
      <c r="H8" s="11" t="s">
        <v>186</v>
      </c>
      <c r="I8" s="11" t="s">
        <v>187</v>
      </c>
      <c r="J8" s="11">
        <v>30209399</v>
      </c>
      <c r="K8" s="11" t="s">
        <v>325</v>
      </c>
      <c r="L8" s="11">
        <v>2018</v>
      </c>
      <c r="M8" s="11" t="s">
        <v>189</v>
      </c>
      <c r="N8" s="11"/>
      <c r="O8" s="11"/>
      <c r="P8" s="11" t="s">
        <v>326</v>
      </c>
      <c r="Q8" s="11" t="s">
        <v>290</v>
      </c>
      <c r="R8" s="11" t="s">
        <v>326</v>
      </c>
      <c r="S8" s="11"/>
      <c r="T8" s="11" t="s">
        <v>327</v>
      </c>
      <c r="U8" s="11" t="s">
        <v>193</v>
      </c>
      <c r="V8" s="11" t="s">
        <v>194</v>
      </c>
      <c r="W8" s="11" t="s">
        <v>195</v>
      </c>
      <c r="X8" s="11" t="s">
        <v>253</v>
      </c>
      <c r="Y8" s="11"/>
      <c r="Z8" s="11"/>
      <c r="AA8" s="11" t="s">
        <v>328</v>
      </c>
      <c r="AB8" s="11" t="s">
        <v>255</v>
      </c>
      <c r="AC8" s="11" t="s">
        <v>231</v>
      </c>
      <c r="AD8" s="11" t="s">
        <v>232</v>
      </c>
      <c r="AE8" s="11" t="s">
        <v>233</v>
      </c>
      <c r="AF8" s="11" t="s">
        <v>234</v>
      </c>
      <c r="AG8" s="11"/>
      <c r="AH8" s="11" t="s">
        <v>256</v>
      </c>
      <c r="AI8" s="11" t="s">
        <v>204</v>
      </c>
      <c r="AJ8" s="11" t="s">
        <v>207</v>
      </c>
      <c r="AK8" s="11" t="s">
        <v>207</v>
      </c>
      <c r="AL8" s="11" t="s">
        <v>329</v>
      </c>
      <c r="AM8" s="11">
        <v>2</v>
      </c>
      <c r="AN8" s="11" t="s">
        <v>330</v>
      </c>
      <c r="AO8" s="11" t="s">
        <v>207</v>
      </c>
      <c r="AP8" s="11" t="s">
        <v>331</v>
      </c>
      <c r="AQ8" s="11" t="s">
        <v>260</v>
      </c>
      <c r="AR8" s="11" t="s">
        <v>261</v>
      </c>
      <c r="AS8" s="11" t="s">
        <v>332</v>
      </c>
      <c r="AT8" s="11" t="s">
        <v>263</v>
      </c>
      <c r="AU8" s="11"/>
      <c r="AV8" s="11"/>
      <c r="AW8" s="11"/>
      <c r="AX8" s="11" t="s">
        <v>216</v>
      </c>
      <c r="AY8" s="11"/>
      <c r="AZ8" s="11" t="s">
        <v>218</v>
      </c>
      <c r="BA8" s="11" t="s">
        <v>265</v>
      </c>
      <c r="BB8" s="11" t="s">
        <v>266</v>
      </c>
      <c r="BC8" s="11" t="s">
        <v>267</v>
      </c>
      <c r="BD8" s="11" t="s">
        <v>220</v>
      </c>
      <c r="BE8" s="11" t="s">
        <v>221</v>
      </c>
      <c r="BF8" s="13">
        <v>544</v>
      </c>
      <c r="BG8" s="13">
        <v>138</v>
      </c>
      <c r="BH8" s="11" t="s">
        <v>333</v>
      </c>
      <c r="BI8" s="11" t="s">
        <v>184</v>
      </c>
      <c r="BJ8" s="11" t="s">
        <v>221</v>
      </c>
      <c r="BK8" s="11" t="s">
        <v>184</v>
      </c>
      <c r="BL8" s="11" t="s">
        <v>304</v>
      </c>
      <c r="BM8" s="11" t="s">
        <v>334</v>
      </c>
      <c r="BN8" s="11" t="s">
        <v>244</v>
      </c>
      <c r="BO8" s="11" t="s">
        <v>308</v>
      </c>
      <c r="BP8" s="11" t="s">
        <v>335</v>
      </c>
      <c r="BQ8" s="11" t="s">
        <v>310</v>
      </c>
      <c r="BR8" s="11" t="s">
        <v>336</v>
      </c>
      <c r="BS8" s="11" t="s">
        <v>337</v>
      </c>
      <c r="BT8" s="11" t="s">
        <v>225</v>
      </c>
      <c r="BU8" s="11"/>
      <c r="BV8" s="11"/>
      <c r="BW8" s="11"/>
      <c r="BX8" s="11"/>
      <c r="BY8" s="11"/>
      <c r="BZ8" s="11"/>
      <c r="CA8" s="11"/>
      <c r="CB8" s="11"/>
      <c r="CC8" s="11"/>
      <c r="CD8" s="11"/>
      <c r="CE8" s="14"/>
      <c r="CF8" s="15"/>
      <c r="CG8" s="15"/>
      <c r="CH8" s="15"/>
      <c r="CI8" s="15"/>
      <c r="CJ8" s="15"/>
      <c r="CK8" s="15"/>
      <c r="CL8" s="15"/>
      <c r="CM8" s="15"/>
      <c r="CN8" s="15"/>
      <c r="CO8" s="15"/>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row>
    <row r="9" spans="1:210" ht="75" customHeight="1">
      <c r="A9" s="11" t="s">
        <v>338</v>
      </c>
      <c r="B9" s="11" t="s">
        <v>339</v>
      </c>
      <c r="C9" s="11">
        <v>1101</v>
      </c>
      <c r="D9" s="11" t="s">
        <v>246</v>
      </c>
      <c r="E9" s="11" t="s">
        <v>340</v>
      </c>
      <c r="F9" s="11" t="s">
        <v>184</v>
      </c>
      <c r="G9" s="12" t="s">
        <v>341</v>
      </c>
      <c r="H9" s="11" t="s">
        <v>342</v>
      </c>
      <c r="I9" s="11" t="s">
        <v>343</v>
      </c>
      <c r="J9" s="11">
        <v>38417439</v>
      </c>
      <c r="K9" s="11" t="s">
        <v>344</v>
      </c>
      <c r="L9" s="11">
        <v>2024</v>
      </c>
      <c r="M9" s="11" t="s">
        <v>189</v>
      </c>
      <c r="N9" s="11"/>
      <c r="O9" s="11"/>
      <c r="P9" s="11" t="s">
        <v>345</v>
      </c>
      <c r="Q9" s="11" t="s">
        <v>346</v>
      </c>
      <c r="R9" s="11" t="s">
        <v>345</v>
      </c>
      <c r="S9" s="11"/>
      <c r="T9" s="11" t="s">
        <v>347</v>
      </c>
      <c r="U9" s="11" t="s">
        <v>348</v>
      </c>
      <c r="V9" s="11" t="s">
        <v>349</v>
      </c>
      <c r="W9" s="11" t="s">
        <v>195</v>
      </c>
      <c r="X9" s="11" t="s">
        <v>350</v>
      </c>
      <c r="Y9" s="11"/>
      <c r="Z9" s="11"/>
      <c r="AA9" s="11" t="s">
        <v>351</v>
      </c>
      <c r="AB9" s="11" t="s">
        <v>230</v>
      </c>
      <c r="AC9" s="11" t="s">
        <v>199</v>
      </c>
      <c r="AD9" s="11" t="s">
        <v>315</v>
      </c>
      <c r="AE9" s="11" t="s">
        <v>201</v>
      </c>
      <c r="AF9" s="11" t="s">
        <v>202</v>
      </c>
      <c r="AG9" s="11"/>
      <c r="AH9" s="11" t="s">
        <v>352</v>
      </c>
      <c r="AI9" s="11" t="s">
        <v>204</v>
      </c>
      <c r="AJ9" s="11" t="s">
        <v>184</v>
      </c>
      <c r="AK9" s="11" t="s">
        <v>184</v>
      </c>
      <c r="AL9" s="11" t="s">
        <v>353</v>
      </c>
      <c r="AM9" s="11">
        <v>2</v>
      </c>
      <c r="AN9" s="11" t="s">
        <v>354</v>
      </c>
      <c r="AO9" s="11" t="s">
        <v>184</v>
      </c>
      <c r="AP9" s="11"/>
      <c r="AQ9" s="11" t="s">
        <v>209</v>
      </c>
      <c r="AR9" s="11" t="s">
        <v>210</v>
      </c>
      <c r="AS9" s="11" t="s">
        <v>301</v>
      </c>
      <c r="AT9" s="11" t="s">
        <v>212</v>
      </c>
      <c r="AU9" s="11" t="s">
        <v>302</v>
      </c>
      <c r="AV9" s="11"/>
      <c r="AW9" s="11" t="s">
        <v>355</v>
      </c>
      <c r="AX9" s="11" t="s">
        <v>216</v>
      </c>
      <c r="AY9" s="11"/>
      <c r="AZ9" s="11"/>
      <c r="BA9" s="11"/>
      <c r="BB9" s="11"/>
      <c r="BC9" s="11"/>
      <c r="BD9" s="11" t="s">
        <v>220</v>
      </c>
      <c r="BE9" s="11" t="s">
        <v>221</v>
      </c>
      <c r="BF9" s="13">
        <v>0</v>
      </c>
      <c r="BG9" s="13">
        <v>0</v>
      </c>
      <c r="BH9" s="11" t="s">
        <v>222</v>
      </c>
      <c r="BI9" s="11" t="s">
        <v>207</v>
      </c>
      <c r="BJ9" s="11" t="s">
        <v>221</v>
      </c>
      <c r="BK9" s="11" t="s">
        <v>184</v>
      </c>
      <c r="BL9" s="11" t="s">
        <v>356</v>
      </c>
      <c r="BM9" s="11" t="s">
        <v>357</v>
      </c>
      <c r="BN9" s="11" t="s">
        <v>225</v>
      </c>
      <c r="BO9" s="11" t="s">
        <v>358</v>
      </c>
      <c r="BP9" s="11" t="s">
        <v>359</v>
      </c>
      <c r="BQ9" s="11" t="s">
        <v>244</v>
      </c>
      <c r="BR9" s="11" t="s">
        <v>308</v>
      </c>
      <c r="BS9" s="11" t="s">
        <v>360</v>
      </c>
      <c r="BT9" s="11" t="s">
        <v>310</v>
      </c>
      <c r="BU9" s="11"/>
      <c r="BV9" s="11"/>
      <c r="BW9" s="11"/>
      <c r="BX9" s="11"/>
      <c r="BY9" s="11"/>
      <c r="BZ9" s="11"/>
      <c r="CA9" s="11"/>
      <c r="CB9" s="11"/>
      <c r="CC9" s="11"/>
      <c r="CD9" s="16" t="s">
        <v>361</v>
      </c>
      <c r="CE9" s="17"/>
      <c r="CF9" s="18"/>
      <c r="CG9" s="18"/>
      <c r="CH9" s="18"/>
      <c r="CI9" s="18"/>
      <c r="CJ9" s="18"/>
      <c r="CK9" s="18"/>
      <c r="CL9" s="18"/>
      <c r="CM9" s="18"/>
      <c r="CN9" s="18"/>
      <c r="CO9" s="18"/>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c r="FJ9" s="19"/>
      <c r="FK9" s="19"/>
      <c r="FL9" s="19"/>
      <c r="FM9" s="19"/>
      <c r="FN9" s="19"/>
      <c r="FO9" s="19"/>
      <c r="FP9" s="19"/>
      <c r="FQ9" s="19"/>
      <c r="FR9" s="19"/>
      <c r="FS9" s="19"/>
      <c r="FT9" s="19"/>
      <c r="FU9" s="19"/>
      <c r="FV9" s="19"/>
      <c r="FW9" s="19"/>
      <c r="FX9" s="19"/>
      <c r="FY9" s="19"/>
      <c r="FZ9" s="19"/>
      <c r="GA9" s="19"/>
      <c r="GB9" s="19"/>
      <c r="GC9" s="19"/>
      <c r="GD9" s="19"/>
      <c r="GE9" s="19"/>
      <c r="GF9" s="19"/>
      <c r="GG9" s="19"/>
      <c r="GH9" s="19"/>
      <c r="GI9" s="19"/>
      <c r="GJ9" s="19"/>
      <c r="GK9" s="19"/>
      <c r="GL9" s="19"/>
      <c r="GM9" s="19"/>
      <c r="GN9" s="19"/>
      <c r="GO9" s="19"/>
      <c r="GP9" s="19"/>
      <c r="GQ9" s="19"/>
      <c r="GR9" s="19"/>
      <c r="GS9" s="19"/>
      <c r="GT9" s="19"/>
      <c r="GU9" s="19"/>
      <c r="GV9" s="19"/>
      <c r="GW9" s="19"/>
      <c r="GX9" s="19"/>
      <c r="GY9" s="19"/>
      <c r="GZ9" s="19"/>
      <c r="HA9" s="19"/>
      <c r="HB9" s="19"/>
    </row>
    <row r="10" spans="1:210" ht="75" customHeight="1">
      <c r="A10" s="16" t="s">
        <v>362</v>
      </c>
      <c r="B10" s="16" t="s">
        <v>339</v>
      </c>
      <c r="C10" s="16">
        <v>1101</v>
      </c>
      <c r="D10" s="20" t="s">
        <v>246</v>
      </c>
      <c r="E10" s="16" t="s">
        <v>363</v>
      </c>
      <c r="F10" s="16" t="s">
        <v>184</v>
      </c>
      <c r="G10" s="16" t="s">
        <v>364</v>
      </c>
      <c r="H10" s="16" t="s">
        <v>186</v>
      </c>
      <c r="I10" s="16" t="s">
        <v>365</v>
      </c>
      <c r="J10" s="16">
        <v>39779857</v>
      </c>
      <c r="K10" s="16" t="s">
        <v>366</v>
      </c>
      <c r="L10" s="16">
        <v>2025</v>
      </c>
      <c r="M10" s="16" t="s">
        <v>189</v>
      </c>
      <c r="N10" s="16"/>
      <c r="O10" s="20"/>
      <c r="P10" s="16" t="s">
        <v>346</v>
      </c>
      <c r="Q10" s="16" t="s">
        <v>346</v>
      </c>
      <c r="R10" s="16" t="s">
        <v>367</v>
      </c>
      <c r="S10" s="16"/>
      <c r="T10" s="16" t="s">
        <v>368</v>
      </c>
      <c r="U10" s="16" t="s">
        <v>193</v>
      </c>
      <c r="V10" s="21" t="s">
        <v>194</v>
      </c>
      <c r="W10" s="16" t="s">
        <v>195</v>
      </c>
      <c r="X10" s="16" t="s">
        <v>253</v>
      </c>
      <c r="Y10" s="20"/>
      <c r="Z10" s="20"/>
      <c r="AA10" s="16" t="s">
        <v>369</v>
      </c>
      <c r="AB10" s="11" t="s">
        <v>255</v>
      </c>
      <c r="AC10" s="16" t="s">
        <v>370</v>
      </c>
      <c r="AD10" s="16" t="s">
        <v>371</v>
      </c>
      <c r="AE10" s="16" t="s">
        <v>232</v>
      </c>
      <c r="AF10" s="16" t="s">
        <v>233</v>
      </c>
      <c r="AG10" s="20"/>
      <c r="AH10" s="16" t="s">
        <v>234</v>
      </c>
      <c r="AI10" s="16" t="s">
        <v>204</v>
      </c>
      <c r="AJ10" s="16" t="s">
        <v>207</v>
      </c>
      <c r="AK10" s="20" t="s">
        <v>207</v>
      </c>
      <c r="AL10" s="16"/>
      <c r="AM10" s="16">
        <v>3</v>
      </c>
      <c r="AN10" s="16" t="s">
        <v>372</v>
      </c>
      <c r="AO10" s="16" t="s">
        <v>184</v>
      </c>
      <c r="AP10" s="22"/>
      <c r="AQ10" s="16" t="s">
        <v>260</v>
      </c>
      <c r="AR10" s="16" t="s">
        <v>373</v>
      </c>
      <c r="AS10" s="16" t="s">
        <v>374</v>
      </c>
      <c r="AT10" s="16" t="s">
        <v>375</v>
      </c>
      <c r="AU10" s="16" t="s">
        <v>302</v>
      </c>
      <c r="AV10" s="20" t="s">
        <v>376</v>
      </c>
      <c r="AW10" s="16" t="s">
        <v>377</v>
      </c>
      <c r="AX10" s="16" t="s">
        <v>216</v>
      </c>
      <c r="AY10" s="16" t="s">
        <v>378</v>
      </c>
      <c r="AZ10" s="23" t="s">
        <v>218</v>
      </c>
      <c r="BA10" s="16" t="s">
        <v>265</v>
      </c>
      <c r="BB10" s="16" t="s">
        <v>266</v>
      </c>
      <c r="BC10" s="16" t="s">
        <v>267</v>
      </c>
      <c r="BD10" s="16" t="s">
        <v>220</v>
      </c>
      <c r="BE10" s="24" t="s">
        <v>221</v>
      </c>
      <c r="BF10" s="24">
        <v>1345</v>
      </c>
      <c r="BG10" s="24">
        <v>342</v>
      </c>
      <c r="BH10" s="24" t="s">
        <v>268</v>
      </c>
      <c r="BI10" s="25" t="s">
        <v>184</v>
      </c>
      <c r="BJ10" s="25" t="s">
        <v>184</v>
      </c>
      <c r="BK10" s="22"/>
      <c r="BL10" s="22"/>
      <c r="BM10" s="22"/>
      <c r="BN10" s="22"/>
      <c r="BO10" s="22"/>
      <c r="BP10" s="24"/>
      <c r="BQ10" s="20"/>
      <c r="BR10" s="24"/>
      <c r="BS10" s="20"/>
      <c r="BT10" s="20"/>
      <c r="BU10" s="24"/>
      <c r="BV10" s="24"/>
      <c r="BW10" s="20"/>
      <c r="BX10" s="20"/>
      <c r="BY10" s="20"/>
      <c r="BZ10" s="20"/>
      <c r="CA10" s="20"/>
      <c r="CB10" s="20"/>
      <c r="CC10" s="20"/>
      <c r="CD10" s="20" t="s">
        <v>379</v>
      </c>
      <c r="CE10" s="26"/>
      <c r="CF10" s="27"/>
      <c r="CG10" s="27"/>
      <c r="CH10" s="27"/>
      <c r="CI10" s="27"/>
      <c r="CJ10" s="27"/>
      <c r="CK10" s="27"/>
      <c r="CL10" s="27"/>
      <c r="CM10" s="27"/>
      <c r="CN10" s="27"/>
      <c r="CO10" s="27"/>
      <c r="CP10" s="20"/>
      <c r="CQ10" s="24"/>
      <c r="CR10" s="20"/>
      <c r="CS10" s="24"/>
      <c r="CT10" s="20"/>
      <c r="CU10" s="20"/>
      <c r="CV10" s="24"/>
      <c r="CW10" s="24"/>
      <c r="CX10" s="20"/>
      <c r="CY10" s="20"/>
      <c r="CZ10" s="20"/>
      <c r="DA10" s="20"/>
      <c r="DB10" s="20"/>
      <c r="DC10" s="20"/>
      <c r="DD10" s="24"/>
      <c r="DE10" s="20"/>
      <c r="DF10" s="20"/>
      <c r="DG10" s="20"/>
      <c r="DH10" s="20"/>
      <c r="DI10" s="20"/>
      <c r="DJ10" s="20"/>
      <c r="DK10" s="20"/>
      <c r="DL10" s="20"/>
      <c r="DM10" s="20"/>
      <c r="DN10" s="20"/>
      <c r="DO10" s="20"/>
      <c r="DP10" s="20"/>
      <c r="DQ10" s="20"/>
      <c r="DR10" s="20"/>
      <c r="DS10" s="20"/>
      <c r="DT10" s="20"/>
      <c r="DU10" s="20"/>
      <c r="DV10" s="20"/>
      <c r="DW10" s="20"/>
      <c r="DX10" s="24"/>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4"/>
      <c r="EW10" s="20"/>
      <c r="EX10" s="20"/>
      <c r="EY10" s="20"/>
      <c r="EZ10" s="20"/>
      <c r="FA10" s="20"/>
      <c r="FB10" s="20"/>
      <c r="FC10" s="24"/>
      <c r="FD10" s="24"/>
      <c r="FE10" s="20"/>
      <c r="FF10" s="24"/>
      <c r="FG10" s="24"/>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row>
    <row r="11" spans="1:210" ht="75" customHeight="1">
      <c r="A11" s="11" t="s">
        <v>380</v>
      </c>
      <c r="B11" s="11" t="s">
        <v>339</v>
      </c>
      <c r="C11" s="11">
        <v>1101</v>
      </c>
      <c r="D11" s="11" t="s">
        <v>246</v>
      </c>
      <c r="E11" s="11" t="s">
        <v>381</v>
      </c>
      <c r="F11" s="11" t="s">
        <v>207</v>
      </c>
      <c r="G11" s="12" t="s">
        <v>382</v>
      </c>
      <c r="H11" s="11" t="s">
        <v>186</v>
      </c>
      <c r="I11" s="11" t="s">
        <v>187</v>
      </c>
      <c r="J11" s="11"/>
      <c r="K11" s="11" t="s">
        <v>383</v>
      </c>
      <c r="L11" s="11"/>
      <c r="M11" s="11" t="s">
        <v>189</v>
      </c>
      <c r="N11" s="11"/>
      <c r="O11" s="11"/>
      <c r="P11" s="11"/>
      <c r="Q11" s="11" t="s">
        <v>346</v>
      </c>
      <c r="R11" s="11" t="s">
        <v>367</v>
      </c>
      <c r="S11" s="11"/>
      <c r="T11" s="11" t="s">
        <v>384</v>
      </c>
      <c r="U11" s="11" t="s">
        <v>193</v>
      </c>
      <c r="V11" s="11" t="s">
        <v>194</v>
      </c>
      <c r="W11" s="11" t="s">
        <v>195</v>
      </c>
      <c r="X11" s="11" t="s">
        <v>253</v>
      </c>
      <c r="Y11" s="11"/>
      <c r="Z11" s="11"/>
      <c r="AA11" s="11" t="s">
        <v>278</v>
      </c>
      <c r="AB11" s="11" t="s">
        <v>255</v>
      </c>
      <c r="AC11" s="11" t="s">
        <v>231</v>
      </c>
      <c r="AD11" s="11" t="s">
        <v>232</v>
      </c>
      <c r="AE11" s="11" t="s">
        <v>233</v>
      </c>
      <c r="AF11" s="11" t="s">
        <v>234</v>
      </c>
      <c r="AG11" s="11"/>
      <c r="AH11" s="11" t="s">
        <v>256</v>
      </c>
      <c r="AI11" s="11" t="s">
        <v>204</v>
      </c>
      <c r="AJ11" s="11" t="s">
        <v>207</v>
      </c>
      <c r="AK11" s="11"/>
      <c r="AL11" s="11" t="s">
        <v>279</v>
      </c>
      <c r="AM11" s="11">
        <v>3</v>
      </c>
      <c r="AN11" s="11" t="s">
        <v>280</v>
      </c>
      <c r="AO11" s="11" t="s">
        <v>207</v>
      </c>
      <c r="AP11" s="11" t="s">
        <v>281</v>
      </c>
      <c r="AQ11" s="11" t="s">
        <v>260</v>
      </c>
      <c r="AR11" s="11" t="s">
        <v>373</v>
      </c>
      <c r="AS11" s="11" t="s">
        <v>385</v>
      </c>
      <c r="AT11" s="11" t="s">
        <v>263</v>
      </c>
      <c r="AU11" s="11" t="s">
        <v>213</v>
      </c>
      <c r="AV11" s="11" t="s">
        <v>282</v>
      </c>
      <c r="AW11" s="11"/>
      <c r="AX11" s="11" t="s">
        <v>216</v>
      </c>
      <c r="AY11" s="11" t="s">
        <v>283</v>
      </c>
      <c r="AZ11" s="11" t="s">
        <v>218</v>
      </c>
      <c r="BA11" s="11" t="s">
        <v>265</v>
      </c>
      <c r="BB11" s="11" t="s">
        <v>266</v>
      </c>
      <c r="BC11" s="11" t="s">
        <v>267</v>
      </c>
      <c r="BD11" s="11" t="s">
        <v>220</v>
      </c>
      <c r="BE11" s="11" t="s">
        <v>221</v>
      </c>
      <c r="BF11" s="13">
        <v>147</v>
      </c>
      <c r="BG11" s="13">
        <v>44</v>
      </c>
      <c r="BH11" s="11" t="s">
        <v>268</v>
      </c>
      <c r="BI11" s="11" t="s">
        <v>184</v>
      </c>
      <c r="BJ11" s="11" t="s">
        <v>269</v>
      </c>
      <c r="BK11" s="11" t="s">
        <v>184</v>
      </c>
      <c r="BL11" s="11"/>
      <c r="BM11" s="11"/>
      <c r="BN11" s="11"/>
      <c r="BO11" s="11"/>
      <c r="BP11" s="11"/>
      <c r="BQ11" s="11"/>
      <c r="BR11" s="11"/>
      <c r="BS11" s="11"/>
      <c r="BT11" s="11"/>
      <c r="BU11" s="11"/>
      <c r="BV11" s="11"/>
      <c r="BW11" s="11"/>
      <c r="BX11" s="11"/>
      <c r="BY11" s="11"/>
      <c r="BZ11" s="11"/>
      <c r="CA11" s="11"/>
      <c r="CB11" s="11"/>
      <c r="CC11" s="11"/>
      <c r="CD11" s="11"/>
      <c r="CE11" s="14"/>
      <c r="CF11" s="15"/>
      <c r="CG11" s="15"/>
      <c r="CH11" s="15"/>
      <c r="CI11" s="15"/>
      <c r="CJ11" s="15"/>
      <c r="CK11" s="15"/>
      <c r="CL11" s="15"/>
      <c r="CM11" s="15"/>
      <c r="CN11" s="15"/>
      <c r="CO11" s="15"/>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row>
    <row r="12" spans="1:210" ht="75" customHeight="1">
      <c r="A12" s="11" t="s">
        <v>386</v>
      </c>
      <c r="B12" s="11" t="s">
        <v>339</v>
      </c>
      <c r="C12" s="11">
        <v>1101</v>
      </c>
      <c r="D12" s="11" t="s">
        <v>246</v>
      </c>
      <c r="E12" s="11" t="s">
        <v>387</v>
      </c>
      <c r="F12" s="11" t="s">
        <v>184</v>
      </c>
      <c r="G12" s="12" t="s">
        <v>388</v>
      </c>
      <c r="H12" s="11" t="s">
        <v>186</v>
      </c>
      <c r="I12" s="11" t="s">
        <v>187</v>
      </c>
      <c r="J12" s="11">
        <v>37713444</v>
      </c>
      <c r="K12" s="11" t="s">
        <v>389</v>
      </c>
      <c r="L12" s="11">
        <v>2023</v>
      </c>
      <c r="M12" s="11" t="s">
        <v>189</v>
      </c>
      <c r="N12" s="11"/>
      <c r="O12" s="11"/>
      <c r="P12" s="11" t="s">
        <v>367</v>
      </c>
      <c r="Q12" s="11" t="s">
        <v>346</v>
      </c>
      <c r="R12" s="11" t="s">
        <v>367</v>
      </c>
      <c r="S12" s="11"/>
      <c r="T12" s="11" t="s">
        <v>390</v>
      </c>
      <c r="U12" s="11" t="s">
        <v>391</v>
      </c>
      <c r="V12" s="11" t="s">
        <v>392</v>
      </c>
      <c r="W12" s="11" t="s">
        <v>393</v>
      </c>
      <c r="X12" s="11" t="s">
        <v>394</v>
      </c>
      <c r="Y12" s="11"/>
      <c r="Z12" s="11"/>
      <c r="AA12" s="11" t="s">
        <v>395</v>
      </c>
      <c r="AB12" s="11" t="s">
        <v>255</v>
      </c>
      <c r="AC12" s="11" t="s">
        <v>231</v>
      </c>
      <c r="AD12" s="11" t="s">
        <v>232</v>
      </c>
      <c r="AE12" s="11" t="s">
        <v>233</v>
      </c>
      <c r="AF12" s="11" t="s">
        <v>295</v>
      </c>
      <c r="AG12" s="11" t="s">
        <v>296</v>
      </c>
      <c r="AH12" s="11" t="s">
        <v>297</v>
      </c>
      <c r="AI12" s="11" t="s">
        <v>204</v>
      </c>
      <c r="AJ12" s="11" t="s">
        <v>207</v>
      </c>
      <c r="AK12" s="11" t="s">
        <v>207</v>
      </c>
      <c r="AL12" s="11" t="s">
        <v>396</v>
      </c>
      <c r="AM12" s="11">
        <v>2</v>
      </c>
      <c r="AN12" s="11" t="s">
        <v>397</v>
      </c>
      <c r="AO12" s="11" t="s">
        <v>398</v>
      </c>
      <c r="AP12" s="25"/>
      <c r="AQ12" s="11" t="s">
        <v>260</v>
      </c>
      <c r="AR12" s="11" t="s">
        <v>373</v>
      </c>
      <c r="AS12" s="11" t="s">
        <v>385</v>
      </c>
      <c r="AT12" s="11" t="s">
        <v>212</v>
      </c>
      <c r="AU12" s="11" t="s">
        <v>264</v>
      </c>
      <c r="AV12" s="11" t="s">
        <v>399</v>
      </c>
      <c r="AW12" s="11" t="s">
        <v>400</v>
      </c>
      <c r="AX12" s="11" t="s">
        <v>401</v>
      </c>
      <c r="AY12" s="11" t="s">
        <v>402</v>
      </c>
      <c r="AZ12" s="11" t="s">
        <v>218</v>
      </c>
      <c r="BA12" s="11" t="s">
        <v>265</v>
      </c>
      <c r="BB12" s="11" t="s">
        <v>266</v>
      </c>
      <c r="BC12" s="11" t="s">
        <v>267</v>
      </c>
      <c r="BD12" s="11" t="s">
        <v>220</v>
      </c>
      <c r="BE12" s="11" t="s">
        <v>221</v>
      </c>
      <c r="BF12" s="13">
        <v>39</v>
      </c>
      <c r="BG12" s="13">
        <v>8</v>
      </c>
      <c r="BH12" s="11" t="s">
        <v>403</v>
      </c>
      <c r="BI12" s="11" t="s">
        <v>184</v>
      </c>
      <c r="BJ12" s="11" t="s">
        <v>269</v>
      </c>
      <c r="BK12" s="11" t="s">
        <v>184</v>
      </c>
      <c r="BL12" s="11"/>
      <c r="BM12" s="11"/>
      <c r="BN12" s="11"/>
      <c r="BO12" s="11"/>
      <c r="BP12" s="11"/>
      <c r="BQ12" s="11"/>
      <c r="BR12" s="11"/>
      <c r="BS12" s="11"/>
      <c r="BT12" s="11"/>
      <c r="BU12" s="11"/>
      <c r="BV12" s="11"/>
      <c r="BW12" s="11"/>
      <c r="BX12" s="11"/>
      <c r="BY12" s="11"/>
      <c r="BZ12" s="11"/>
      <c r="CA12" s="11"/>
      <c r="CB12" s="11"/>
      <c r="CC12" s="11"/>
      <c r="CD12" s="16" t="s">
        <v>404</v>
      </c>
      <c r="CE12" s="17"/>
      <c r="CF12" s="18"/>
      <c r="CG12" s="18"/>
      <c r="CH12" s="18"/>
      <c r="CI12" s="18"/>
      <c r="CJ12" s="18"/>
      <c r="CK12" s="18"/>
      <c r="CL12" s="18"/>
      <c r="CM12" s="18"/>
      <c r="CN12" s="18"/>
      <c r="CO12" s="18"/>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row>
    <row r="13" spans="1:210" ht="75" customHeight="1">
      <c r="A13" s="11" t="s">
        <v>405</v>
      </c>
      <c r="B13" s="11" t="s">
        <v>339</v>
      </c>
      <c r="C13" s="11">
        <v>1101</v>
      </c>
      <c r="D13" s="11" t="s">
        <v>246</v>
      </c>
      <c r="E13" s="11" t="s">
        <v>406</v>
      </c>
      <c r="F13" s="11" t="s">
        <v>184</v>
      </c>
      <c r="G13" s="12" t="s">
        <v>407</v>
      </c>
      <c r="H13" s="11" t="s">
        <v>186</v>
      </c>
      <c r="I13" s="11" t="s">
        <v>187</v>
      </c>
      <c r="J13" s="11">
        <v>37713444</v>
      </c>
      <c r="K13" s="11" t="s">
        <v>389</v>
      </c>
      <c r="L13" s="11">
        <v>2023</v>
      </c>
      <c r="M13" s="11" t="s">
        <v>408</v>
      </c>
      <c r="N13" s="11" t="s">
        <v>409</v>
      </c>
      <c r="O13" s="11"/>
      <c r="P13" s="11" t="s">
        <v>367</v>
      </c>
      <c r="Q13" s="11" t="s">
        <v>346</v>
      </c>
      <c r="R13" s="11" t="s">
        <v>367</v>
      </c>
      <c r="S13" s="11"/>
      <c r="T13" s="11" t="s">
        <v>410</v>
      </c>
      <c r="U13" s="11" t="s">
        <v>391</v>
      </c>
      <c r="V13" s="11" t="s">
        <v>392</v>
      </c>
      <c r="W13" s="11" t="s">
        <v>393</v>
      </c>
      <c r="X13" s="11" t="s">
        <v>394</v>
      </c>
      <c r="Y13" s="11"/>
      <c r="Z13" s="11"/>
      <c r="AA13" s="11" t="s">
        <v>395</v>
      </c>
      <c r="AB13" s="11" t="s">
        <v>255</v>
      </c>
      <c r="AC13" s="11" t="s">
        <v>231</v>
      </c>
      <c r="AD13" s="11" t="s">
        <v>232</v>
      </c>
      <c r="AE13" s="11" t="s">
        <v>233</v>
      </c>
      <c r="AF13" s="11" t="s">
        <v>411</v>
      </c>
      <c r="AG13" s="11" t="s">
        <v>412</v>
      </c>
      <c r="AH13" s="11" t="s">
        <v>316</v>
      </c>
      <c r="AI13" s="11" t="s">
        <v>204</v>
      </c>
      <c r="AJ13" s="11" t="s">
        <v>207</v>
      </c>
      <c r="AK13" s="11" t="s">
        <v>207</v>
      </c>
      <c r="AL13" s="11" t="s">
        <v>413</v>
      </c>
      <c r="AM13" s="11"/>
      <c r="AN13" s="11"/>
      <c r="AO13" s="11"/>
      <c r="AP13" s="25"/>
      <c r="AQ13" s="11" t="s">
        <v>414</v>
      </c>
      <c r="AR13" s="11" t="s">
        <v>373</v>
      </c>
      <c r="AS13" s="11" t="s">
        <v>415</v>
      </c>
      <c r="AT13" s="11" t="s">
        <v>212</v>
      </c>
      <c r="AU13" s="11" t="s">
        <v>264</v>
      </c>
      <c r="AV13" s="11" t="s">
        <v>416</v>
      </c>
      <c r="AW13" s="11" t="s">
        <v>400</v>
      </c>
      <c r="AX13" s="11" t="s">
        <v>401</v>
      </c>
      <c r="AY13" s="11" t="s">
        <v>402</v>
      </c>
      <c r="AZ13" s="11" t="s">
        <v>218</v>
      </c>
      <c r="BA13" s="11" t="s">
        <v>265</v>
      </c>
      <c r="BB13" s="11" t="s">
        <v>266</v>
      </c>
      <c r="BC13" s="11" t="s">
        <v>267</v>
      </c>
      <c r="BD13" s="11" t="s">
        <v>220</v>
      </c>
      <c r="BE13" s="11" t="s">
        <v>221</v>
      </c>
      <c r="BF13" s="13">
        <v>39</v>
      </c>
      <c r="BG13" s="13">
        <v>8</v>
      </c>
      <c r="BH13" s="11" t="s">
        <v>403</v>
      </c>
      <c r="BI13" s="11" t="s">
        <v>184</v>
      </c>
      <c r="BJ13" s="11" t="s">
        <v>269</v>
      </c>
      <c r="BK13" s="11" t="s">
        <v>184</v>
      </c>
      <c r="BL13" s="11"/>
      <c r="BM13" s="11"/>
      <c r="BN13" s="11"/>
      <c r="BO13" s="11"/>
      <c r="BP13" s="11"/>
      <c r="BQ13" s="11"/>
      <c r="BR13" s="11"/>
      <c r="BS13" s="11"/>
      <c r="BT13" s="11"/>
      <c r="BU13" s="11"/>
      <c r="BV13" s="11"/>
      <c r="BW13" s="11"/>
      <c r="BX13" s="11"/>
      <c r="BY13" s="11"/>
      <c r="BZ13" s="11"/>
      <c r="CA13" s="11"/>
      <c r="CB13" s="11"/>
      <c r="CC13" s="11"/>
      <c r="CD13" s="16" t="s">
        <v>404</v>
      </c>
      <c r="CE13" s="17"/>
      <c r="CF13" s="18"/>
      <c r="CG13" s="18"/>
      <c r="CH13" s="18"/>
      <c r="CI13" s="18"/>
      <c r="CJ13" s="18"/>
      <c r="CK13" s="18"/>
      <c r="CL13" s="18"/>
      <c r="CM13" s="18"/>
      <c r="CN13" s="18"/>
      <c r="CO13" s="18"/>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c r="FJ13" s="19"/>
      <c r="FK13" s="19"/>
      <c r="FL13" s="19"/>
      <c r="FM13" s="19"/>
      <c r="FN13" s="19"/>
      <c r="FO13" s="19"/>
      <c r="FP13" s="19"/>
      <c r="FQ13" s="19"/>
      <c r="FR13" s="19"/>
      <c r="FS13" s="19"/>
      <c r="FT13" s="19"/>
      <c r="FU13" s="19"/>
      <c r="FV13" s="19"/>
      <c r="FW13" s="19"/>
      <c r="FX13" s="19"/>
      <c r="FY13" s="19"/>
      <c r="FZ13" s="19"/>
      <c r="GA13" s="19"/>
      <c r="GB13" s="19"/>
      <c r="GC13" s="19"/>
      <c r="GD13" s="19"/>
      <c r="GE13" s="19"/>
      <c r="GF13" s="19"/>
      <c r="GG13" s="19"/>
      <c r="GH13" s="19"/>
      <c r="GI13" s="19"/>
      <c r="GJ13" s="19"/>
      <c r="GK13" s="19"/>
      <c r="GL13" s="19"/>
      <c r="GM13" s="19"/>
      <c r="GN13" s="19"/>
      <c r="GO13" s="19"/>
      <c r="GP13" s="19"/>
      <c r="GQ13" s="19"/>
      <c r="GR13" s="19"/>
      <c r="GS13" s="19"/>
      <c r="GT13" s="19"/>
      <c r="GU13" s="19"/>
      <c r="GV13" s="19"/>
      <c r="GW13" s="19"/>
      <c r="GX13" s="19"/>
      <c r="GY13" s="19"/>
      <c r="GZ13" s="19"/>
      <c r="HA13" s="19"/>
      <c r="HB13" s="19"/>
    </row>
    <row r="14" spans="1:210" ht="75" customHeight="1">
      <c r="A14" s="11" t="s">
        <v>417</v>
      </c>
      <c r="B14" s="11" t="s">
        <v>339</v>
      </c>
      <c r="C14" s="11">
        <v>1101</v>
      </c>
      <c r="D14" s="11" t="s">
        <v>246</v>
      </c>
      <c r="E14" s="11" t="s">
        <v>418</v>
      </c>
      <c r="F14" s="11" t="s">
        <v>184</v>
      </c>
      <c r="G14" s="12" t="s">
        <v>419</v>
      </c>
      <c r="H14" s="11" t="s">
        <v>186</v>
      </c>
      <c r="I14" s="11" t="s">
        <v>187</v>
      </c>
      <c r="J14" s="11">
        <v>37713444</v>
      </c>
      <c r="K14" s="11" t="s">
        <v>389</v>
      </c>
      <c r="L14" s="11">
        <v>2023</v>
      </c>
      <c r="M14" s="11" t="s">
        <v>189</v>
      </c>
      <c r="N14" s="11"/>
      <c r="O14" s="11"/>
      <c r="P14" s="11" t="s">
        <v>367</v>
      </c>
      <c r="Q14" s="11" t="s">
        <v>346</v>
      </c>
      <c r="R14" s="11" t="s">
        <v>367</v>
      </c>
      <c r="S14" s="11"/>
      <c r="T14" s="11" t="s">
        <v>420</v>
      </c>
      <c r="U14" s="11" t="s">
        <v>391</v>
      </c>
      <c r="V14" s="11" t="s">
        <v>392</v>
      </c>
      <c r="W14" s="11" t="s">
        <v>393</v>
      </c>
      <c r="X14" s="11" t="s">
        <v>394</v>
      </c>
      <c r="Y14" s="11"/>
      <c r="Z14" s="11"/>
      <c r="AA14" s="11" t="s">
        <v>395</v>
      </c>
      <c r="AB14" s="11" t="s">
        <v>255</v>
      </c>
      <c r="AC14" s="11" t="s">
        <v>231</v>
      </c>
      <c r="AD14" s="11" t="s">
        <v>232</v>
      </c>
      <c r="AE14" s="11" t="s">
        <v>233</v>
      </c>
      <c r="AF14" s="11" t="s">
        <v>295</v>
      </c>
      <c r="AG14" s="11" t="s">
        <v>421</v>
      </c>
      <c r="AH14" s="11" t="s">
        <v>316</v>
      </c>
      <c r="AI14" s="11" t="s">
        <v>204</v>
      </c>
      <c r="AJ14" s="11" t="s">
        <v>207</v>
      </c>
      <c r="AK14" s="11" t="s">
        <v>207</v>
      </c>
      <c r="AL14" s="11" t="s">
        <v>396</v>
      </c>
      <c r="AM14" s="11">
        <v>2</v>
      </c>
      <c r="AN14" s="11" t="s">
        <v>397</v>
      </c>
      <c r="AO14" s="11" t="s">
        <v>422</v>
      </c>
      <c r="AP14" s="25"/>
      <c r="AQ14" s="11" t="s">
        <v>260</v>
      </c>
      <c r="AR14" s="11" t="s">
        <v>373</v>
      </c>
      <c r="AS14" s="11" t="s">
        <v>385</v>
      </c>
      <c r="AT14" s="11" t="s">
        <v>212</v>
      </c>
      <c r="AU14" s="11" t="s">
        <v>264</v>
      </c>
      <c r="AV14" s="11" t="s">
        <v>423</v>
      </c>
      <c r="AW14" s="11" t="s">
        <v>400</v>
      </c>
      <c r="AX14" s="11" t="s">
        <v>401</v>
      </c>
      <c r="AY14" s="11" t="s">
        <v>402</v>
      </c>
      <c r="AZ14" s="11" t="s">
        <v>218</v>
      </c>
      <c r="BA14" s="11" t="s">
        <v>265</v>
      </c>
      <c r="BB14" s="11" t="s">
        <v>266</v>
      </c>
      <c r="BC14" s="11" t="s">
        <v>267</v>
      </c>
      <c r="BD14" s="11" t="s">
        <v>220</v>
      </c>
      <c r="BE14" s="11" t="s">
        <v>221</v>
      </c>
      <c r="BF14" s="13">
        <v>39</v>
      </c>
      <c r="BG14" s="13">
        <v>8</v>
      </c>
      <c r="BH14" s="11" t="s">
        <v>403</v>
      </c>
      <c r="BI14" s="11" t="s">
        <v>184</v>
      </c>
      <c r="BJ14" s="11" t="s">
        <v>269</v>
      </c>
      <c r="BK14" s="11" t="s">
        <v>184</v>
      </c>
      <c r="BL14" s="11"/>
      <c r="BM14" s="11"/>
      <c r="BN14" s="11"/>
      <c r="BO14" s="11"/>
      <c r="BP14" s="11"/>
      <c r="BQ14" s="11"/>
      <c r="BR14" s="11"/>
      <c r="BS14" s="11"/>
      <c r="BT14" s="11"/>
      <c r="BU14" s="11"/>
      <c r="BV14" s="11"/>
      <c r="BW14" s="11"/>
      <c r="BX14" s="11"/>
      <c r="BY14" s="11"/>
      <c r="BZ14" s="11"/>
      <c r="CA14" s="11"/>
      <c r="CB14" s="11"/>
      <c r="CC14" s="11"/>
      <c r="CD14" s="16" t="s">
        <v>404</v>
      </c>
      <c r="CE14" s="17"/>
      <c r="CF14" s="18"/>
      <c r="CG14" s="18"/>
      <c r="CH14" s="18"/>
      <c r="CI14" s="18"/>
      <c r="CJ14" s="18"/>
      <c r="CK14" s="18"/>
      <c r="CL14" s="18"/>
      <c r="CM14" s="18"/>
      <c r="CN14" s="18"/>
      <c r="CO14" s="18"/>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9"/>
      <c r="GY14" s="19"/>
      <c r="GZ14" s="19"/>
      <c r="HA14" s="19"/>
      <c r="HB14" s="19"/>
    </row>
    <row r="15" spans="1:210" ht="75" customHeight="1">
      <c r="A15" s="11" t="s">
        <v>424</v>
      </c>
      <c r="B15" s="11" t="s">
        <v>339</v>
      </c>
      <c r="C15" s="11">
        <v>1101</v>
      </c>
      <c r="D15" s="11" t="s">
        <v>246</v>
      </c>
      <c r="E15" s="11" t="s">
        <v>425</v>
      </c>
      <c r="F15" s="11" t="s">
        <v>184</v>
      </c>
      <c r="G15" s="12" t="s">
        <v>426</v>
      </c>
      <c r="H15" s="11" t="s">
        <v>186</v>
      </c>
      <c r="I15" s="11" t="s">
        <v>187</v>
      </c>
      <c r="J15" s="11">
        <v>37713444</v>
      </c>
      <c r="K15" s="11" t="s">
        <v>389</v>
      </c>
      <c r="L15" s="11">
        <v>2023</v>
      </c>
      <c r="M15" s="11" t="s">
        <v>189</v>
      </c>
      <c r="N15" s="11"/>
      <c r="O15" s="11"/>
      <c r="P15" s="11" t="s">
        <v>367</v>
      </c>
      <c r="Q15" s="11" t="s">
        <v>346</v>
      </c>
      <c r="R15" s="11" t="s">
        <v>367</v>
      </c>
      <c r="S15" s="11"/>
      <c r="T15" s="11" t="s">
        <v>427</v>
      </c>
      <c r="U15" s="11" t="s">
        <v>391</v>
      </c>
      <c r="V15" s="11" t="s">
        <v>392</v>
      </c>
      <c r="W15" s="11" t="s">
        <v>393</v>
      </c>
      <c r="X15" s="11" t="s">
        <v>394</v>
      </c>
      <c r="Y15" s="11"/>
      <c r="Z15" s="11"/>
      <c r="AA15" s="11" t="s">
        <v>395</v>
      </c>
      <c r="AB15" s="11" t="s">
        <v>255</v>
      </c>
      <c r="AC15" s="11" t="s">
        <v>231</v>
      </c>
      <c r="AD15" s="11" t="s">
        <v>232</v>
      </c>
      <c r="AE15" s="11" t="s">
        <v>233</v>
      </c>
      <c r="AF15" s="11" t="s">
        <v>234</v>
      </c>
      <c r="AG15" s="11"/>
      <c r="AH15" s="11" t="s">
        <v>256</v>
      </c>
      <c r="AI15" s="11" t="s">
        <v>204</v>
      </c>
      <c r="AJ15" s="11" t="s">
        <v>207</v>
      </c>
      <c r="AK15" s="11" t="s">
        <v>207</v>
      </c>
      <c r="AL15" s="11" t="s">
        <v>428</v>
      </c>
      <c r="AM15" s="11">
        <v>2</v>
      </c>
      <c r="AN15" s="11" t="s">
        <v>397</v>
      </c>
      <c r="AO15" s="11" t="s">
        <v>429</v>
      </c>
      <c r="AP15" s="25"/>
      <c r="AQ15" s="11" t="s">
        <v>260</v>
      </c>
      <c r="AR15" s="11" t="s">
        <v>373</v>
      </c>
      <c r="AS15" s="11" t="s">
        <v>385</v>
      </c>
      <c r="AT15" s="11" t="s">
        <v>212</v>
      </c>
      <c r="AU15" s="11" t="s">
        <v>264</v>
      </c>
      <c r="AV15" s="11" t="s">
        <v>416</v>
      </c>
      <c r="AW15" s="11" t="s">
        <v>400</v>
      </c>
      <c r="AX15" s="11" t="s">
        <v>401</v>
      </c>
      <c r="AY15" s="11" t="s">
        <v>402</v>
      </c>
      <c r="AZ15" s="11" t="s">
        <v>218</v>
      </c>
      <c r="BA15" s="11" t="s">
        <v>265</v>
      </c>
      <c r="BB15" s="11" t="s">
        <v>266</v>
      </c>
      <c r="BC15" s="11" t="s">
        <v>267</v>
      </c>
      <c r="BD15" s="11" t="s">
        <v>220</v>
      </c>
      <c r="BE15" s="11" t="s">
        <v>221</v>
      </c>
      <c r="BF15" s="13">
        <v>39</v>
      </c>
      <c r="BG15" s="13">
        <v>8</v>
      </c>
      <c r="BH15" s="11" t="s">
        <v>403</v>
      </c>
      <c r="BI15" s="11" t="s">
        <v>184</v>
      </c>
      <c r="BJ15" s="11" t="s">
        <v>269</v>
      </c>
      <c r="BK15" s="11" t="s">
        <v>184</v>
      </c>
      <c r="BL15" s="11"/>
      <c r="BM15" s="11"/>
      <c r="BN15" s="11"/>
      <c r="BO15" s="11"/>
      <c r="BP15" s="11"/>
      <c r="BQ15" s="11"/>
      <c r="BR15" s="11"/>
      <c r="BS15" s="11"/>
      <c r="BT15" s="11"/>
      <c r="BU15" s="11"/>
      <c r="BV15" s="11"/>
      <c r="BW15" s="11"/>
      <c r="BX15" s="11"/>
      <c r="BY15" s="11"/>
      <c r="BZ15" s="11"/>
      <c r="CA15" s="11"/>
      <c r="CB15" s="11"/>
      <c r="CC15" s="11"/>
      <c r="CD15" s="16" t="s">
        <v>404</v>
      </c>
      <c r="CE15" s="17"/>
      <c r="CF15" s="18"/>
      <c r="CG15" s="18"/>
      <c r="CH15" s="18"/>
      <c r="CI15" s="18"/>
      <c r="CJ15" s="18"/>
      <c r="CK15" s="18"/>
      <c r="CL15" s="18"/>
      <c r="CM15" s="18"/>
      <c r="CN15" s="18"/>
      <c r="CO15" s="18"/>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row>
    <row r="16" spans="1:210" ht="75" customHeight="1">
      <c r="A16" s="11" t="s">
        <v>430</v>
      </c>
      <c r="B16" s="11" t="s">
        <v>339</v>
      </c>
      <c r="C16" s="11">
        <v>1101</v>
      </c>
      <c r="D16" s="11" t="s">
        <v>246</v>
      </c>
      <c r="E16" s="11" t="s">
        <v>431</v>
      </c>
      <c r="F16" s="11" t="s">
        <v>184</v>
      </c>
      <c r="G16" s="12" t="s">
        <v>432</v>
      </c>
      <c r="H16" s="11" t="s">
        <v>186</v>
      </c>
      <c r="I16" s="11" t="s">
        <v>187</v>
      </c>
      <c r="J16" s="11">
        <v>39779848</v>
      </c>
      <c r="K16" s="11" t="s">
        <v>389</v>
      </c>
      <c r="L16" s="11">
        <v>2025</v>
      </c>
      <c r="M16" s="11" t="s">
        <v>408</v>
      </c>
      <c r="N16" s="11" t="s">
        <v>409</v>
      </c>
      <c r="O16" s="11"/>
      <c r="P16" s="11"/>
      <c r="Q16" s="11" t="s">
        <v>346</v>
      </c>
      <c r="R16" s="11" t="s">
        <v>433</v>
      </c>
      <c r="S16" s="11"/>
      <c r="T16" s="11" t="s">
        <v>434</v>
      </c>
      <c r="U16" s="11" t="s">
        <v>391</v>
      </c>
      <c r="V16" s="11" t="s">
        <v>392</v>
      </c>
      <c r="W16" s="11" t="s">
        <v>393</v>
      </c>
      <c r="X16" s="11" t="s">
        <v>394</v>
      </c>
      <c r="Y16" s="11"/>
      <c r="Z16" s="11"/>
      <c r="AA16" s="11" t="s">
        <v>395</v>
      </c>
      <c r="AB16" s="11" t="s">
        <v>255</v>
      </c>
      <c r="AC16" s="11" t="s">
        <v>231</v>
      </c>
      <c r="AD16" s="11" t="s">
        <v>232</v>
      </c>
      <c r="AE16" s="11" t="s">
        <v>233</v>
      </c>
      <c r="AF16" s="11" t="s">
        <v>411</v>
      </c>
      <c r="AG16" s="11" t="s">
        <v>412</v>
      </c>
      <c r="AH16" s="11" t="s">
        <v>316</v>
      </c>
      <c r="AI16" s="11" t="s">
        <v>204</v>
      </c>
      <c r="AJ16" s="11" t="s">
        <v>207</v>
      </c>
      <c r="AK16" s="11" t="s">
        <v>184</v>
      </c>
      <c r="AL16" s="11" t="s">
        <v>435</v>
      </c>
      <c r="AM16" s="11">
        <v>2</v>
      </c>
      <c r="AN16" s="11" t="s">
        <v>436</v>
      </c>
      <c r="AO16" s="11"/>
      <c r="AP16" s="25"/>
      <c r="AQ16" s="11" t="s">
        <v>414</v>
      </c>
      <c r="AR16" s="11" t="s">
        <v>373</v>
      </c>
      <c r="AS16" s="11" t="s">
        <v>415</v>
      </c>
      <c r="AT16" s="11" t="s">
        <v>212</v>
      </c>
      <c r="AU16" s="11" t="s">
        <v>213</v>
      </c>
      <c r="AV16" s="11" t="s">
        <v>437</v>
      </c>
      <c r="AW16" s="11" t="s">
        <v>400</v>
      </c>
      <c r="AX16" s="11" t="s">
        <v>216</v>
      </c>
      <c r="AY16" s="11" t="s">
        <v>402</v>
      </c>
      <c r="AZ16" s="11" t="s">
        <v>218</v>
      </c>
      <c r="BA16" s="11" t="s">
        <v>265</v>
      </c>
      <c r="BB16" s="11" t="s">
        <v>266</v>
      </c>
      <c r="BC16" s="11" t="s">
        <v>267</v>
      </c>
      <c r="BD16" s="11" t="s">
        <v>220</v>
      </c>
      <c r="BE16" s="11" t="s">
        <v>221</v>
      </c>
      <c r="BF16" s="13">
        <v>1276</v>
      </c>
      <c r="BG16" s="13">
        <v>327</v>
      </c>
      <c r="BH16" s="11" t="s">
        <v>438</v>
      </c>
      <c r="BI16" s="11" t="s">
        <v>184</v>
      </c>
      <c r="BJ16" s="11" t="s">
        <v>269</v>
      </c>
      <c r="BK16" s="11" t="s">
        <v>184</v>
      </c>
      <c r="BL16" s="11"/>
      <c r="BM16" s="11"/>
      <c r="BN16" s="11"/>
      <c r="BO16" s="11"/>
      <c r="BP16" s="11"/>
      <c r="BQ16" s="11"/>
      <c r="BR16" s="11"/>
      <c r="BS16" s="11"/>
      <c r="BT16" s="11"/>
      <c r="BU16" s="11"/>
      <c r="BV16" s="11"/>
      <c r="BW16" s="11"/>
      <c r="BX16" s="11"/>
      <c r="BY16" s="11"/>
      <c r="BZ16" s="11"/>
      <c r="CA16" s="11"/>
      <c r="CB16" s="11"/>
      <c r="CC16" s="11"/>
      <c r="CD16" s="11"/>
      <c r="CE16" s="14"/>
      <c r="CF16" s="15"/>
      <c r="CG16" s="15"/>
      <c r="CH16" s="15"/>
      <c r="CI16" s="15"/>
      <c r="CJ16" s="15"/>
      <c r="CK16" s="15"/>
      <c r="CL16" s="15"/>
      <c r="CM16" s="15"/>
      <c r="CN16" s="15"/>
      <c r="CO16" s="15"/>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row>
    <row r="17" spans="1:210" ht="75" customHeight="1">
      <c r="A17" s="11" t="s">
        <v>439</v>
      </c>
      <c r="B17" s="11" t="s">
        <v>440</v>
      </c>
      <c r="C17" s="11" t="s">
        <v>441</v>
      </c>
      <c r="D17" s="11" t="s">
        <v>442</v>
      </c>
      <c r="E17" s="11" t="s">
        <v>443</v>
      </c>
      <c r="F17" s="11" t="s">
        <v>184</v>
      </c>
      <c r="G17" s="12" t="s">
        <v>444</v>
      </c>
      <c r="H17" s="11" t="s">
        <v>186</v>
      </c>
      <c r="I17" s="11" t="s">
        <v>187</v>
      </c>
      <c r="J17" s="11">
        <v>29269382</v>
      </c>
      <c r="K17" s="11" t="s">
        <v>445</v>
      </c>
      <c r="L17" s="11">
        <v>2017</v>
      </c>
      <c r="M17" s="11" t="s">
        <v>189</v>
      </c>
      <c r="N17" s="11"/>
      <c r="O17" s="11"/>
      <c r="P17" s="11"/>
      <c r="Q17" s="11" t="s">
        <v>446</v>
      </c>
      <c r="R17" s="11" t="s">
        <v>447</v>
      </c>
      <c r="S17" s="11"/>
      <c r="T17" s="11" t="s">
        <v>448</v>
      </c>
      <c r="U17" s="11" t="s">
        <v>449</v>
      </c>
      <c r="V17" s="11" t="s">
        <v>450</v>
      </c>
      <c r="W17" s="11" t="s">
        <v>451</v>
      </c>
      <c r="X17" s="11"/>
      <c r="Y17" s="11" t="s">
        <v>310</v>
      </c>
      <c r="Z17" s="11" t="s">
        <v>452</v>
      </c>
      <c r="AA17" s="11" t="s">
        <v>453</v>
      </c>
      <c r="AB17" s="11" t="s">
        <v>230</v>
      </c>
      <c r="AC17" s="11" t="s">
        <v>231</v>
      </c>
      <c r="AD17" s="11" t="s">
        <v>454</v>
      </c>
      <c r="AE17" s="11" t="s">
        <v>233</v>
      </c>
      <c r="AF17" s="11" t="s">
        <v>455</v>
      </c>
      <c r="AG17" s="11"/>
      <c r="AH17" s="11" t="s">
        <v>456</v>
      </c>
      <c r="AI17" s="11" t="s">
        <v>204</v>
      </c>
      <c r="AJ17" s="11" t="s">
        <v>184</v>
      </c>
      <c r="AK17" s="11" t="s">
        <v>184</v>
      </c>
      <c r="AL17" s="11" t="s">
        <v>457</v>
      </c>
      <c r="AM17" s="11">
        <v>2</v>
      </c>
      <c r="AN17" s="11" t="s">
        <v>458</v>
      </c>
      <c r="AO17" s="11"/>
      <c r="AP17" s="25"/>
      <c r="AQ17" s="11" t="s">
        <v>209</v>
      </c>
      <c r="AR17" s="11" t="s">
        <v>210</v>
      </c>
      <c r="AS17" s="11" t="s">
        <v>211</v>
      </c>
      <c r="AT17" s="11" t="s">
        <v>212</v>
      </c>
      <c r="AU17" s="11" t="s">
        <v>302</v>
      </c>
      <c r="AV17" s="11" t="s">
        <v>459</v>
      </c>
      <c r="AW17" s="11" t="s">
        <v>355</v>
      </c>
      <c r="AX17" s="11" t="s">
        <v>216</v>
      </c>
      <c r="AY17" s="11"/>
      <c r="AZ17" s="11" t="s">
        <v>218</v>
      </c>
      <c r="BA17" s="11" t="s">
        <v>265</v>
      </c>
      <c r="BB17" s="11"/>
      <c r="BC17" s="11"/>
      <c r="BD17" s="11" t="s">
        <v>220</v>
      </c>
      <c r="BE17" s="11" t="s">
        <v>221</v>
      </c>
      <c r="BF17" s="13">
        <v>130</v>
      </c>
      <c r="BG17" s="13">
        <v>134</v>
      </c>
      <c r="BH17" s="11" t="s">
        <v>460</v>
      </c>
      <c r="BI17" s="11" t="s">
        <v>184</v>
      </c>
      <c r="BJ17" s="11" t="s">
        <v>269</v>
      </c>
      <c r="BK17" s="11" t="s">
        <v>184</v>
      </c>
      <c r="BL17" s="11"/>
      <c r="BM17" s="11"/>
      <c r="BN17" s="11"/>
      <c r="BO17" s="11"/>
      <c r="BP17" s="11"/>
      <c r="BQ17" s="11"/>
      <c r="BR17" s="11"/>
      <c r="BS17" s="11"/>
      <c r="BT17" s="11"/>
      <c r="BU17" s="11"/>
      <c r="BV17" s="11"/>
      <c r="BW17" s="11"/>
      <c r="BX17" s="11"/>
      <c r="BY17" s="11"/>
      <c r="BZ17" s="11"/>
      <c r="CA17" s="11"/>
      <c r="CB17" s="11"/>
      <c r="CC17" s="11"/>
      <c r="CD17" s="16" t="s">
        <v>461</v>
      </c>
      <c r="CE17" s="17"/>
      <c r="CF17" s="18"/>
      <c r="CG17" s="18"/>
      <c r="CH17" s="18"/>
      <c r="CI17" s="18"/>
      <c r="CJ17" s="18"/>
      <c r="CK17" s="18"/>
      <c r="CL17" s="18"/>
      <c r="CM17" s="18"/>
      <c r="CN17" s="18"/>
      <c r="CO17" s="18"/>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row>
    <row r="18" spans="1:210" ht="75" customHeight="1">
      <c r="A18" s="11" t="s">
        <v>462</v>
      </c>
      <c r="B18" s="11" t="s">
        <v>463</v>
      </c>
      <c r="C18" s="11">
        <v>16393</v>
      </c>
      <c r="D18" s="11" t="s">
        <v>182</v>
      </c>
      <c r="E18" s="11" t="s">
        <v>464</v>
      </c>
      <c r="F18" s="11" t="s">
        <v>184</v>
      </c>
      <c r="G18" s="12" t="s">
        <v>465</v>
      </c>
      <c r="H18" s="11" t="s">
        <v>186</v>
      </c>
      <c r="I18" s="11" t="s">
        <v>187</v>
      </c>
      <c r="J18" s="11">
        <v>33202260</v>
      </c>
      <c r="K18" s="11" t="s">
        <v>466</v>
      </c>
      <c r="L18" s="11">
        <v>2020</v>
      </c>
      <c r="M18" s="11" t="s">
        <v>189</v>
      </c>
      <c r="N18" s="11"/>
      <c r="O18" s="11"/>
      <c r="P18" s="11" t="s">
        <v>467</v>
      </c>
      <c r="Q18" s="11" t="s">
        <v>468</v>
      </c>
      <c r="R18" s="11" t="s">
        <v>467</v>
      </c>
      <c r="S18" s="11"/>
      <c r="T18" s="11" t="s">
        <v>469</v>
      </c>
      <c r="U18" s="11" t="s">
        <v>193</v>
      </c>
      <c r="V18" s="11" t="s">
        <v>194</v>
      </c>
      <c r="W18" s="11" t="s">
        <v>195</v>
      </c>
      <c r="X18" s="11" t="s">
        <v>470</v>
      </c>
      <c r="Y18" s="11"/>
      <c r="Z18" s="11"/>
      <c r="AA18" s="11"/>
      <c r="AB18" s="11" t="s">
        <v>255</v>
      </c>
      <c r="AC18" s="11" t="s">
        <v>231</v>
      </c>
      <c r="AD18" s="11" t="s">
        <v>232</v>
      </c>
      <c r="AE18" s="11" t="s">
        <v>233</v>
      </c>
      <c r="AF18" s="11" t="s">
        <v>295</v>
      </c>
      <c r="AG18" s="11" t="s">
        <v>471</v>
      </c>
      <c r="AH18" s="11" t="s">
        <v>256</v>
      </c>
      <c r="AI18" s="11" t="s">
        <v>472</v>
      </c>
      <c r="AJ18" s="11" t="s">
        <v>207</v>
      </c>
      <c r="AK18" s="11" t="s">
        <v>207</v>
      </c>
      <c r="AL18" s="11" t="s">
        <v>473</v>
      </c>
      <c r="AM18" s="11">
        <v>5</v>
      </c>
      <c r="AN18" s="11" t="s">
        <v>474</v>
      </c>
      <c r="AO18" s="11" t="s">
        <v>475</v>
      </c>
      <c r="AP18" s="25"/>
      <c r="AQ18" s="11" t="s">
        <v>260</v>
      </c>
      <c r="AR18" s="11" t="s">
        <v>210</v>
      </c>
      <c r="AS18" s="11" t="s">
        <v>374</v>
      </c>
      <c r="AT18" s="11" t="s">
        <v>263</v>
      </c>
      <c r="AU18" s="11"/>
      <c r="AV18" s="11"/>
      <c r="AW18" s="11"/>
      <c r="AX18" s="11" t="s">
        <v>476</v>
      </c>
      <c r="AY18" s="11" t="s">
        <v>477</v>
      </c>
      <c r="AZ18" s="11" t="s">
        <v>218</v>
      </c>
      <c r="BA18" s="11" t="s">
        <v>265</v>
      </c>
      <c r="BB18" s="11" t="s">
        <v>266</v>
      </c>
      <c r="BC18" s="11" t="s">
        <v>267</v>
      </c>
      <c r="BD18" s="11" t="s">
        <v>220</v>
      </c>
      <c r="BE18" s="11" t="s">
        <v>221</v>
      </c>
      <c r="BF18" s="13">
        <v>137</v>
      </c>
      <c r="BG18" s="13">
        <v>133</v>
      </c>
      <c r="BH18" s="11" t="s">
        <v>478</v>
      </c>
      <c r="BI18" s="11" t="s">
        <v>207</v>
      </c>
      <c r="BJ18" s="11" t="s">
        <v>479</v>
      </c>
      <c r="BK18" s="11" t="s">
        <v>184</v>
      </c>
      <c r="BL18" s="11"/>
      <c r="BM18" s="11"/>
      <c r="BN18" s="11"/>
      <c r="BO18" s="11"/>
      <c r="BP18" s="11"/>
      <c r="BQ18" s="11"/>
      <c r="BR18" s="11"/>
      <c r="BS18" s="11"/>
      <c r="BT18" s="11"/>
      <c r="BU18" s="11"/>
      <c r="BV18" s="11"/>
      <c r="BW18" s="11"/>
      <c r="BX18" s="11"/>
      <c r="BY18" s="11"/>
      <c r="BZ18" s="11"/>
      <c r="CA18" s="11"/>
      <c r="CB18" s="11"/>
      <c r="CC18" s="11"/>
      <c r="CD18" s="11"/>
      <c r="CE18" s="14"/>
      <c r="CF18" s="15"/>
      <c r="CG18" s="15"/>
      <c r="CH18" s="15"/>
      <c r="CI18" s="15"/>
      <c r="CJ18" s="15"/>
      <c r="CK18" s="15"/>
      <c r="CL18" s="15"/>
      <c r="CM18" s="15"/>
      <c r="CN18" s="15"/>
      <c r="CO18" s="15"/>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row>
    <row r="19" spans="1:210" ht="75" customHeight="1">
      <c r="A19" s="11" t="s">
        <v>480</v>
      </c>
      <c r="B19" s="11" t="s">
        <v>463</v>
      </c>
      <c r="C19" s="11">
        <v>16393</v>
      </c>
      <c r="D19" s="11" t="s">
        <v>182</v>
      </c>
      <c r="E19" s="11" t="s">
        <v>481</v>
      </c>
      <c r="F19" s="11" t="s">
        <v>482</v>
      </c>
      <c r="G19" s="12" t="s">
        <v>483</v>
      </c>
      <c r="H19" s="11" t="s">
        <v>186</v>
      </c>
      <c r="I19" s="11" t="s">
        <v>187</v>
      </c>
      <c r="J19" s="11">
        <v>33202260</v>
      </c>
      <c r="K19" s="11" t="s">
        <v>466</v>
      </c>
      <c r="L19" s="11">
        <v>2020</v>
      </c>
      <c r="M19" s="11" t="s">
        <v>189</v>
      </c>
      <c r="N19" s="11"/>
      <c r="O19" s="11"/>
      <c r="P19" s="11" t="s">
        <v>467</v>
      </c>
      <c r="Q19" s="11" t="s">
        <v>468</v>
      </c>
      <c r="R19" s="11" t="s">
        <v>467</v>
      </c>
      <c r="S19" s="11"/>
      <c r="T19" s="11" t="s">
        <v>484</v>
      </c>
      <c r="U19" s="11" t="s">
        <v>193</v>
      </c>
      <c r="V19" s="11" t="s">
        <v>194</v>
      </c>
      <c r="W19" s="11" t="s">
        <v>195</v>
      </c>
      <c r="X19" s="11" t="s">
        <v>470</v>
      </c>
      <c r="Y19" s="11"/>
      <c r="Z19" s="11"/>
      <c r="AA19" s="11"/>
      <c r="AB19" s="11" t="s">
        <v>255</v>
      </c>
      <c r="AC19" s="11" t="s">
        <v>231</v>
      </c>
      <c r="AD19" s="11" t="s">
        <v>232</v>
      </c>
      <c r="AE19" s="11" t="s">
        <v>233</v>
      </c>
      <c r="AF19" s="11" t="s">
        <v>234</v>
      </c>
      <c r="AG19" s="11"/>
      <c r="AH19" s="11" t="s">
        <v>256</v>
      </c>
      <c r="AI19" s="11" t="s">
        <v>204</v>
      </c>
      <c r="AJ19" s="11" t="s">
        <v>207</v>
      </c>
      <c r="AK19" s="11" t="s">
        <v>207</v>
      </c>
      <c r="AL19" s="11" t="s">
        <v>485</v>
      </c>
      <c r="AM19" s="11">
        <v>5</v>
      </c>
      <c r="AN19" s="11" t="s">
        <v>474</v>
      </c>
      <c r="AO19" s="11" t="s">
        <v>486</v>
      </c>
      <c r="AP19" s="25"/>
      <c r="AQ19" s="11" t="s">
        <v>260</v>
      </c>
      <c r="AR19" s="11" t="s">
        <v>210</v>
      </c>
      <c r="AS19" s="11" t="s">
        <v>374</v>
      </c>
      <c r="AT19" s="11" t="s">
        <v>263</v>
      </c>
      <c r="AU19" s="11"/>
      <c r="AV19" s="11"/>
      <c r="AW19" s="11"/>
      <c r="AX19" s="11" t="s">
        <v>476</v>
      </c>
      <c r="AY19" s="11" t="s">
        <v>477</v>
      </c>
      <c r="AZ19" s="11" t="s">
        <v>218</v>
      </c>
      <c r="BA19" s="11" t="s">
        <v>265</v>
      </c>
      <c r="BB19" s="11" t="s">
        <v>266</v>
      </c>
      <c r="BC19" s="11" t="s">
        <v>267</v>
      </c>
      <c r="BD19" s="11" t="s">
        <v>220</v>
      </c>
      <c r="BE19" s="11" t="s">
        <v>221</v>
      </c>
      <c r="BF19" s="13">
        <v>137</v>
      </c>
      <c r="BG19" s="13">
        <v>135</v>
      </c>
      <c r="BH19" s="11" t="s">
        <v>268</v>
      </c>
      <c r="BI19" s="11" t="s">
        <v>207</v>
      </c>
      <c r="BJ19" s="11" t="s">
        <v>479</v>
      </c>
      <c r="BK19" s="11" t="s">
        <v>184</v>
      </c>
      <c r="BL19" s="11"/>
      <c r="BM19" s="11"/>
      <c r="BN19" s="11"/>
      <c r="BO19" s="11"/>
      <c r="BP19" s="11"/>
      <c r="BQ19" s="11"/>
      <c r="BR19" s="11"/>
      <c r="BS19" s="11"/>
      <c r="BT19" s="11"/>
      <c r="BU19" s="11"/>
      <c r="BV19" s="11"/>
      <c r="BW19" s="11"/>
      <c r="BX19" s="11"/>
      <c r="BY19" s="11"/>
      <c r="BZ19" s="11"/>
      <c r="CA19" s="11"/>
      <c r="CB19" s="11"/>
      <c r="CC19" s="11"/>
      <c r="CD19" s="11"/>
      <c r="CE19" s="14"/>
      <c r="CF19" s="15"/>
      <c r="CG19" s="15"/>
      <c r="CH19" s="15"/>
      <c r="CI19" s="15"/>
      <c r="CJ19" s="15"/>
      <c r="CK19" s="15"/>
      <c r="CL19" s="15"/>
      <c r="CM19" s="15"/>
      <c r="CN19" s="15"/>
      <c r="CO19" s="15"/>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row>
    <row r="20" spans="1:210" ht="75" customHeight="1">
      <c r="A20" s="11" t="s">
        <v>487</v>
      </c>
      <c r="B20" s="11" t="s">
        <v>488</v>
      </c>
      <c r="C20" s="11">
        <v>1550</v>
      </c>
      <c r="D20" s="11" t="s">
        <v>489</v>
      </c>
      <c r="E20" s="11" t="s">
        <v>490</v>
      </c>
      <c r="F20" s="11" t="s">
        <v>184</v>
      </c>
      <c r="G20" s="12" t="s">
        <v>491</v>
      </c>
      <c r="H20" s="11" t="s">
        <v>186</v>
      </c>
      <c r="I20" s="11" t="s">
        <v>187</v>
      </c>
      <c r="J20" s="11">
        <v>32000841</v>
      </c>
      <c r="K20" s="11" t="s">
        <v>492</v>
      </c>
      <c r="L20" s="11">
        <v>2020</v>
      </c>
      <c r="M20" s="11" t="s">
        <v>189</v>
      </c>
      <c r="N20" s="11"/>
      <c r="O20" s="11"/>
      <c r="P20" s="11" t="s">
        <v>493</v>
      </c>
      <c r="Q20" s="11" t="s">
        <v>494</v>
      </c>
      <c r="R20" s="11" t="s">
        <v>495</v>
      </c>
      <c r="S20" s="11"/>
      <c r="T20" s="11" t="s">
        <v>496</v>
      </c>
      <c r="U20" s="11" t="s">
        <v>449</v>
      </c>
      <c r="V20" s="11" t="s">
        <v>450</v>
      </c>
      <c r="W20" s="11" t="s">
        <v>451</v>
      </c>
      <c r="X20" s="11" t="s">
        <v>451</v>
      </c>
      <c r="Y20" s="11" t="s">
        <v>310</v>
      </c>
      <c r="Z20" s="11" t="s">
        <v>497</v>
      </c>
      <c r="AA20" s="11" t="s">
        <v>498</v>
      </c>
      <c r="AB20" s="11" t="s">
        <v>230</v>
      </c>
      <c r="AC20" s="11" t="s">
        <v>231</v>
      </c>
      <c r="AD20" s="11" t="s">
        <v>454</v>
      </c>
      <c r="AE20" s="11" t="s">
        <v>233</v>
      </c>
      <c r="AF20" s="11" t="s">
        <v>499</v>
      </c>
      <c r="AG20" s="11"/>
      <c r="AH20" s="11" t="s">
        <v>500</v>
      </c>
      <c r="AI20" s="11" t="s">
        <v>204</v>
      </c>
      <c r="AJ20" s="11" t="s">
        <v>184</v>
      </c>
      <c r="AK20" s="11" t="s">
        <v>184</v>
      </c>
      <c r="AL20" s="11" t="s">
        <v>501</v>
      </c>
      <c r="AM20" s="11">
        <v>2</v>
      </c>
      <c r="AN20" s="11" t="s">
        <v>502</v>
      </c>
      <c r="AO20" s="11" t="s">
        <v>503</v>
      </c>
      <c r="AP20" s="25"/>
      <c r="AQ20" s="11" t="s">
        <v>209</v>
      </c>
      <c r="AR20" s="11" t="s">
        <v>210</v>
      </c>
      <c r="AS20" s="11" t="s">
        <v>211</v>
      </c>
      <c r="AT20" s="11" t="s">
        <v>212</v>
      </c>
      <c r="AU20" s="11" t="s">
        <v>302</v>
      </c>
      <c r="AV20" s="11" t="s">
        <v>504</v>
      </c>
      <c r="AW20" s="11" t="s">
        <v>355</v>
      </c>
      <c r="AX20" s="11" t="s">
        <v>505</v>
      </c>
      <c r="AY20" s="11"/>
      <c r="AZ20" s="11" t="s">
        <v>218</v>
      </c>
      <c r="BA20" s="11" t="s">
        <v>265</v>
      </c>
      <c r="BB20" s="11"/>
      <c r="BC20" s="11"/>
      <c r="BD20" s="11" t="s">
        <v>220</v>
      </c>
      <c r="BE20" s="11" t="s">
        <v>221</v>
      </c>
      <c r="BF20" s="13">
        <v>475</v>
      </c>
      <c r="BG20" s="13">
        <v>345</v>
      </c>
      <c r="BH20" s="11" t="s">
        <v>333</v>
      </c>
      <c r="BI20" s="11" t="s">
        <v>184</v>
      </c>
      <c r="BJ20" s="11" t="s">
        <v>269</v>
      </c>
      <c r="BK20" s="11" t="s">
        <v>184</v>
      </c>
      <c r="BL20" s="11"/>
      <c r="BM20" s="11"/>
      <c r="BN20" s="11"/>
      <c r="BO20" s="11"/>
      <c r="BP20" s="11"/>
      <c r="BQ20" s="11"/>
      <c r="BR20" s="11"/>
      <c r="BS20" s="11"/>
      <c r="BT20" s="11"/>
      <c r="BU20" s="11"/>
      <c r="BV20" s="11"/>
      <c r="BW20" s="11"/>
      <c r="BX20" s="11"/>
      <c r="BY20" s="11"/>
      <c r="BZ20" s="11"/>
      <c r="CA20" s="11"/>
      <c r="CB20" s="11"/>
      <c r="CC20" s="11"/>
      <c r="CD20" s="11"/>
      <c r="CE20" s="14"/>
      <c r="CF20" s="15"/>
      <c r="CG20" s="15"/>
      <c r="CH20" s="15"/>
      <c r="CI20" s="15"/>
      <c r="CJ20" s="15"/>
      <c r="CK20" s="15"/>
      <c r="CL20" s="15"/>
      <c r="CM20" s="15"/>
      <c r="CN20" s="15"/>
      <c r="CO20" s="15"/>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row>
    <row r="21" spans="1:210" ht="75" customHeight="1">
      <c r="A21" s="11" t="s">
        <v>506</v>
      </c>
      <c r="B21" s="11" t="s">
        <v>488</v>
      </c>
      <c r="C21" s="11">
        <v>1550</v>
      </c>
      <c r="D21" s="11" t="s">
        <v>489</v>
      </c>
      <c r="E21" s="11" t="s">
        <v>507</v>
      </c>
      <c r="F21" s="11" t="s">
        <v>184</v>
      </c>
      <c r="G21" s="12" t="s">
        <v>508</v>
      </c>
      <c r="H21" s="11" t="s">
        <v>186</v>
      </c>
      <c r="I21" s="11" t="s">
        <v>187</v>
      </c>
      <c r="J21" s="11">
        <v>32000841</v>
      </c>
      <c r="K21" s="11" t="s">
        <v>492</v>
      </c>
      <c r="L21" s="11">
        <v>2020</v>
      </c>
      <c r="M21" s="11" t="s">
        <v>189</v>
      </c>
      <c r="N21" s="11"/>
      <c r="O21" s="11"/>
      <c r="P21" s="11" t="s">
        <v>493</v>
      </c>
      <c r="Q21" s="11" t="s">
        <v>494</v>
      </c>
      <c r="R21" s="11" t="s">
        <v>495</v>
      </c>
      <c r="S21" s="11"/>
      <c r="T21" s="11" t="s">
        <v>496</v>
      </c>
      <c r="U21" s="11" t="s">
        <v>449</v>
      </c>
      <c r="V21" s="11" t="s">
        <v>450</v>
      </c>
      <c r="W21" s="11" t="s">
        <v>451</v>
      </c>
      <c r="X21" s="11" t="s">
        <v>451</v>
      </c>
      <c r="Y21" s="11" t="s">
        <v>310</v>
      </c>
      <c r="Z21" s="11" t="s">
        <v>497</v>
      </c>
      <c r="AA21" s="11" t="s">
        <v>498</v>
      </c>
      <c r="AB21" s="11" t="s">
        <v>230</v>
      </c>
      <c r="AC21" s="11" t="s">
        <v>231</v>
      </c>
      <c r="AD21" s="11" t="s">
        <v>454</v>
      </c>
      <c r="AE21" s="11" t="s">
        <v>233</v>
      </c>
      <c r="AF21" s="11" t="s">
        <v>499</v>
      </c>
      <c r="AG21" s="11"/>
      <c r="AH21" s="11" t="s">
        <v>500</v>
      </c>
      <c r="AI21" s="11" t="s">
        <v>204</v>
      </c>
      <c r="AJ21" s="11" t="s">
        <v>184</v>
      </c>
      <c r="AK21" s="11" t="s">
        <v>184</v>
      </c>
      <c r="AL21" s="11" t="s">
        <v>509</v>
      </c>
      <c r="AM21" s="11">
        <v>2</v>
      </c>
      <c r="AN21" s="11" t="s">
        <v>502</v>
      </c>
      <c r="AO21" s="11" t="s">
        <v>510</v>
      </c>
      <c r="AP21" s="25"/>
      <c r="AQ21" s="11" t="s">
        <v>209</v>
      </c>
      <c r="AR21" s="11" t="s">
        <v>210</v>
      </c>
      <c r="AS21" s="11" t="s">
        <v>211</v>
      </c>
      <c r="AT21" s="11" t="s">
        <v>212</v>
      </c>
      <c r="AU21" s="11" t="s">
        <v>302</v>
      </c>
      <c r="AV21" s="11" t="s">
        <v>504</v>
      </c>
      <c r="AW21" s="11" t="s">
        <v>355</v>
      </c>
      <c r="AX21" s="11" t="s">
        <v>505</v>
      </c>
      <c r="AY21" s="11"/>
      <c r="AZ21" s="11" t="s">
        <v>218</v>
      </c>
      <c r="BA21" s="11" t="s">
        <v>265</v>
      </c>
      <c r="BB21" s="11"/>
      <c r="BC21" s="11"/>
      <c r="BD21" s="11" t="s">
        <v>220</v>
      </c>
      <c r="BE21" s="11" t="s">
        <v>221</v>
      </c>
      <c r="BF21" s="13">
        <v>491</v>
      </c>
      <c r="BG21" s="13">
        <v>405</v>
      </c>
      <c r="BH21" s="11" t="s">
        <v>268</v>
      </c>
      <c r="BI21" s="11" t="s">
        <v>184</v>
      </c>
      <c r="BJ21" s="11" t="s">
        <v>269</v>
      </c>
      <c r="BK21" s="11" t="s">
        <v>184</v>
      </c>
      <c r="BL21" s="11"/>
      <c r="BM21" s="11"/>
      <c r="BN21" s="11"/>
      <c r="BO21" s="11"/>
      <c r="BP21" s="11"/>
      <c r="BQ21" s="11"/>
      <c r="BR21" s="11"/>
      <c r="BS21" s="11"/>
      <c r="BT21" s="11"/>
      <c r="BU21" s="11"/>
      <c r="BV21" s="11"/>
      <c r="BW21" s="11"/>
      <c r="BX21" s="11"/>
      <c r="BY21" s="11"/>
      <c r="BZ21" s="11"/>
      <c r="CA21" s="11"/>
      <c r="CB21" s="11"/>
      <c r="CC21" s="11"/>
      <c r="CD21" s="11"/>
      <c r="CE21" s="14"/>
      <c r="CF21" s="15"/>
      <c r="CG21" s="15"/>
      <c r="CH21" s="15"/>
      <c r="CI21" s="15"/>
      <c r="CJ21" s="15"/>
      <c r="CK21" s="15"/>
      <c r="CL21" s="15"/>
      <c r="CM21" s="15"/>
      <c r="CN21" s="15"/>
      <c r="CO21" s="15"/>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row>
    <row r="22" spans="1:210" ht="75" customHeight="1">
      <c r="A22" s="11" t="s">
        <v>511</v>
      </c>
      <c r="B22" s="11" t="s">
        <v>512</v>
      </c>
      <c r="C22" s="11">
        <v>16627</v>
      </c>
      <c r="D22" s="11" t="s">
        <v>246</v>
      </c>
      <c r="E22" s="11" t="s">
        <v>513</v>
      </c>
      <c r="F22" s="11" t="s">
        <v>184</v>
      </c>
      <c r="G22" s="12" t="s">
        <v>514</v>
      </c>
      <c r="H22" s="11" t="s">
        <v>186</v>
      </c>
      <c r="I22" s="11" t="s">
        <v>187</v>
      </c>
      <c r="J22" s="11">
        <v>39642869</v>
      </c>
      <c r="K22" s="11" t="s">
        <v>515</v>
      </c>
      <c r="L22" s="11">
        <v>2024</v>
      </c>
      <c r="M22" s="11" t="s">
        <v>189</v>
      </c>
      <c r="N22" s="11"/>
      <c r="O22" s="11"/>
      <c r="P22" s="11" t="s">
        <v>516</v>
      </c>
      <c r="Q22" s="11" t="s">
        <v>517</v>
      </c>
      <c r="R22" s="11" t="s">
        <v>518</v>
      </c>
      <c r="S22" s="11"/>
      <c r="T22" s="11" t="s">
        <v>519</v>
      </c>
      <c r="U22" s="11" t="s">
        <v>449</v>
      </c>
      <c r="V22" s="11" t="s">
        <v>450</v>
      </c>
      <c r="W22" s="11" t="s">
        <v>451</v>
      </c>
      <c r="X22" s="11"/>
      <c r="Y22" s="11" t="s">
        <v>310</v>
      </c>
      <c r="Z22" s="11" t="s">
        <v>520</v>
      </c>
      <c r="AA22" s="11" t="s">
        <v>498</v>
      </c>
      <c r="AB22" s="11" t="s">
        <v>230</v>
      </c>
      <c r="AC22" s="11" t="s">
        <v>231</v>
      </c>
      <c r="AD22" s="11" t="s">
        <v>232</v>
      </c>
      <c r="AE22" s="11" t="s">
        <v>233</v>
      </c>
      <c r="AF22" s="11" t="s">
        <v>521</v>
      </c>
      <c r="AG22" s="11" t="s">
        <v>522</v>
      </c>
      <c r="AH22" s="11" t="s">
        <v>523</v>
      </c>
      <c r="AI22" s="11" t="s">
        <v>204</v>
      </c>
      <c r="AJ22" s="11" t="s">
        <v>184</v>
      </c>
      <c r="AK22" s="11" t="s">
        <v>184</v>
      </c>
      <c r="AL22" s="11" t="s">
        <v>524</v>
      </c>
      <c r="AM22" s="11">
        <v>2</v>
      </c>
      <c r="AN22" s="11" t="s">
        <v>525</v>
      </c>
      <c r="AO22" s="11" t="s">
        <v>526</v>
      </c>
      <c r="AP22" s="25"/>
      <c r="AQ22" s="11" t="s">
        <v>209</v>
      </c>
      <c r="AR22" s="11" t="s">
        <v>210</v>
      </c>
      <c r="AS22" s="11" t="s">
        <v>211</v>
      </c>
      <c r="AT22" s="11" t="s">
        <v>212</v>
      </c>
      <c r="AU22" s="11" t="s">
        <v>302</v>
      </c>
      <c r="AV22" s="11" t="s">
        <v>527</v>
      </c>
      <c r="AW22" s="11" t="s">
        <v>355</v>
      </c>
      <c r="AX22" s="11" t="s">
        <v>505</v>
      </c>
      <c r="AY22" s="11"/>
      <c r="AZ22" s="11" t="s">
        <v>218</v>
      </c>
      <c r="BA22" s="11" t="s">
        <v>265</v>
      </c>
      <c r="BB22" s="11"/>
      <c r="BC22" s="11"/>
      <c r="BD22" s="11" t="s">
        <v>220</v>
      </c>
      <c r="BE22" s="11" t="s">
        <v>221</v>
      </c>
      <c r="BF22" s="13">
        <v>450</v>
      </c>
      <c r="BG22" s="13">
        <v>414</v>
      </c>
      <c r="BH22" s="11" t="s">
        <v>528</v>
      </c>
      <c r="BI22" s="11" t="s">
        <v>184</v>
      </c>
      <c r="BJ22" s="11" t="s">
        <v>269</v>
      </c>
      <c r="BK22" s="11" t="s">
        <v>184</v>
      </c>
      <c r="BL22" s="11" t="s">
        <v>529</v>
      </c>
      <c r="BM22" s="11" t="s">
        <v>530</v>
      </c>
      <c r="BN22" s="11" t="s">
        <v>310</v>
      </c>
      <c r="BO22" s="11"/>
      <c r="BP22" s="11"/>
      <c r="BQ22" s="11"/>
      <c r="BR22" s="11"/>
      <c r="BS22" s="11"/>
      <c r="BT22" s="11"/>
      <c r="BU22" s="11"/>
      <c r="BV22" s="11"/>
      <c r="BW22" s="11"/>
      <c r="BX22" s="11"/>
      <c r="BY22" s="11"/>
      <c r="BZ22" s="11"/>
      <c r="CA22" s="11"/>
      <c r="CB22" s="11"/>
      <c r="CC22" s="11"/>
      <c r="CD22" s="11"/>
      <c r="CE22" s="14"/>
      <c r="CF22" s="15"/>
      <c r="CG22" s="15"/>
      <c r="CH22" s="15"/>
      <c r="CI22" s="15"/>
      <c r="CJ22" s="15"/>
      <c r="CK22" s="15"/>
      <c r="CL22" s="15"/>
      <c r="CM22" s="15"/>
      <c r="CN22" s="15"/>
      <c r="CO22" s="15"/>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row>
    <row r="23" spans="1:210" ht="75" customHeight="1">
      <c r="A23" s="11" t="s">
        <v>531</v>
      </c>
      <c r="B23" s="11" t="s">
        <v>512</v>
      </c>
      <c r="C23" s="11">
        <v>16627</v>
      </c>
      <c r="D23" s="11" t="s">
        <v>246</v>
      </c>
      <c r="E23" s="11" t="s">
        <v>532</v>
      </c>
      <c r="F23" s="11" t="s">
        <v>184</v>
      </c>
      <c r="G23" s="12" t="s">
        <v>533</v>
      </c>
      <c r="H23" s="11" t="s">
        <v>186</v>
      </c>
      <c r="I23" s="11" t="s">
        <v>365</v>
      </c>
      <c r="J23" s="11">
        <v>39146382</v>
      </c>
      <c r="K23" s="11" t="s">
        <v>534</v>
      </c>
      <c r="L23" s="11">
        <v>2024</v>
      </c>
      <c r="M23" s="28" t="s">
        <v>189</v>
      </c>
      <c r="N23" s="11"/>
      <c r="O23" s="11"/>
      <c r="P23" s="11" t="s">
        <v>516</v>
      </c>
      <c r="Q23" s="11" t="s">
        <v>517</v>
      </c>
      <c r="R23" s="11" t="s">
        <v>518</v>
      </c>
      <c r="S23" s="11"/>
      <c r="T23" s="11" t="s">
        <v>535</v>
      </c>
      <c r="U23" s="11" t="s">
        <v>449</v>
      </c>
      <c r="V23" s="11" t="s">
        <v>450</v>
      </c>
      <c r="W23" s="11" t="s">
        <v>451</v>
      </c>
      <c r="X23" s="11"/>
      <c r="Y23" s="11" t="s">
        <v>536</v>
      </c>
      <c r="Z23" s="11" t="s">
        <v>537</v>
      </c>
      <c r="AA23" s="11" t="s">
        <v>537</v>
      </c>
      <c r="AB23" s="11" t="s">
        <v>230</v>
      </c>
      <c r="AC23" s="11" t="s">
        <v>231</v>
      </c>
      <c r="AD23" s="11" t="s">
        <v>454</v>
      </c>
      <c r="AE23" s="11" t="s">
        <v>233</v>
      </c>
      <c r="AF23" s="11"/>
      <c r="AG23" s="11" t="s">
        <v>538</v>
      </c>
      <c r="AH23" s="11" t="s">
        <v>523</v>
      </c>
      <c r="AI23" s="28" t="s">
        <v>204</v>
      </c>
      <c r="AJ23" s="11" t="s">
        <v>184</v>
      </c>
      <c r="AK23" s="11" t="s">
        <v>184</v>
      </c>
      <c r="AL23" s="11" t="s">
        <v>539</v>
      </c>
      <c r="AM23" s="11">
        <v>4</v>
      </c>
      <c r="AN23" s="11" t="s">
        <v>540</v>
      </c>
      <c r="AO23" s="11" t="s">
        <v>184</v>
      </c>
      <c r="AP23" s="11"/>
      <c r="AQ23" s="11" t="s">
        <v>209</v>
      </c>
      <c r="AR23" s="11" t="s">
        <v>210</v>
      </c>
      <c r="AS23" s="11" t="s">
        <v>211</v>
      </c>
      <c r="AT23" s="11" t="s">
        <v>212</v>
      </c>
      <c r="AU23" s="11" t="s">
        <v>302</v>
      </c>
      <c r="AV23" s="11" t="s">
        <v>541</v>
      </c>
      <c r="AW23" s="11" t="s">
        <v>355</v>
      </c>
      <c r="AX23" s="11" t="s">
        <v>505</v>
      </c>
      <c r="AY23" s="11"/>
      <c r="AZ23" s="29" t="s">
        <v>218</v>
      </c>
      <c r="BA23" s="28" t="s">
        <v>265</v>
      </c>
      <c r="BB23" s="11"/>
      <c r="BC23" s="11"/>
      <c r="BD23" s="28" t="s">
        <v>220</v>
      </c>
      <c r="BE23" s="30" t="s">
        <v>221</v>
      </c>
      <c r="BF23" s="30">
        <v>530</v>
      </c>
      <c r="BG23" s="30">
        <v>195</v>
      </c>
      <c r="BH23" s="30" t="s">
        <v>542</v>
      </c>
      <c r="BI23" s="11" t="s">
        <v>207</v>
      </c>
      <c r="BJ23" s="11" t="s">
        <v>221</v>
      </c>
      <c r="BK23" s="11" t="s">
        <v>184</v>
      </c>
      <c r="BL23" s="11" t="s">
        <v>543</v>
      </c>
      <c r="BM23" s="11" t="s">
        <v>544</v>
      </c>
      <c r="BN23" s="11" t="s">
        <v>225</v>
      </c>
      <c r="BO23" s="11" t="s">
        <v>545</v>
      </c>
      <c r="BP23" s="30" t="s">
        <v>546</v>
      </c>
      <c r="BQ23" s="11" t="s">
        <v>244</v>
      </c>
      <c r="BR23" s="30"/>
      <c r="BS23" s="11"/>
      <c r="BT23" s="11"/>
      <c r="BU23" s="30"/>
      <c r="BV23" s="30"/>
      <c r="BW23" s="11"/>
      <c r="BX23" s="11"/>
      <c r="BY23" s="11"/>
      <c r="BZ23" s="11"/>
      <c r="CA23" s="11"/>
      <c r="CB23" s="11"/>
      <c r="CC23" s="11"/>
      <c r="CD23" s="11"/>
      <c r="CE23" s="14"/>
      <c r="CF23" s="15"/>
      <c r="CG23" s="15"/>
      <c r="CH23" s="15"/>
      <c r="CI23" s="15"/>
      <c r="CJ23" s="15"/>
      <c r="CK23" s="15"/>
      <c r="CL23" s="15"/>
      <c r="CM23" s="15"/>
      <c r="CN23" s="15"/>
      <c r="CO23" s="15"/>
      <c r="CP23" s="11"/>
      <c r="CQ23" s="30"/>
      <c r="CR23" s="11"/>
      <c r="CS23" s="30"/>
      <c r="CT23" s="11"/>
      <c r="CU23" s="11"/>
      <c r="CV23" s="30"/>
      <c r="CW23" s="30"/>
      <c r="CX23" s="11"/>
      <c r="CY23" s="11"/>
      <c r="CZ23" s="11"/>
      <c r="DA23" s="11"/>
      <c r="DB23" s="11"/>
      <c r="DC23" s="11"/>
      <c r="DD23" s="30"/>
      <c r="DE23" s="11"/>
      <c r="DF23" s="11"/>
      <c r="DG23" s="11"/>
      <c r="DH23" s="11"/>
      <c r="DI23" s="11"/>
      <c r="DJ23" s="11"/>
      <c r="DK23" s="11"/>
      <c r="DL23" s="11"/>
      <c r="DM23" s="11"/>
      <c r="DN23" s="11"/>
      <c r="DO23" s="11"/>
      <c r="DP23" s="11"/>
      <c r="DQ23" s="11"/>
      <c r="DR23" s="11"/>
      <c r="DS23" s="11"/>
      <c r="DT23" s="11"/>
      <c r="DU23" s="11"/>
      <c r="DV23" s="11"/>
      <c r="DW23" s="11"/>
      <c r="DX23" s="30"/>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30"/>
      <c r="EW23" s="11"/>
      <c r="EX23" s="11"/>
      <c r="EY23" s="11"/>
      <c r="EZ23" s="11"/>
      <c r="FA23" s="11"/>
      <c r="FB23" s="11"/>
      <c r="FC23" s="30"/>
      <c r="FD23" s="30"/>
      <c r="FE23" s="11"/>
      <c r="FF23" s="30"/>
      <c r="FG23" s="30"/>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row>
    <row r="24" spans="1:210" ht="75" customHeight="1">
      <c r="A24" s="11" t="s">
        <v>547</v>
      </c>
      <c r="B24" s="11" t="s">
        <v>548</v>
      </c>
      <c r="C24" s="11">
        <v>2383</v>
      </c>
      <c r="D24" s="11" t="s">
        <v>182</v>
      </c>
      <c r="E24" s="11" t="s">
        <v>549</v>
      </c>
      <c r="F24" s="11" t="s">
        <v>184</v>
      </c>
      <c r="G24" s="12" t="s">
        <v>550</v>
      </c>
      <c r="H24" s="11" t="s">
        <v>186</v>
      </c>
      <c r="I24" s="11" t="s">
        <v>187</v>
      </c>
      <c r="J24" s="11">
        <v>39322280</v>
      </c>
      <c r="K24" s="11" t="s">
        <v>551</v>
      </c>
      <c r="L24" s="11">
        <v>2024</v>
      </c>
      <c r="M24" s="11" t="s">
        <v>189</v>
      </c>
      <c r="N24" s="11"/>
      <c r="O24" s="11"/>
      <c r="P24" s="11"/>
      <c r="Q24" s="11" t="s">
        <v>552</v>
      </c>
      <c r="R24" s="11" t="s">
        <v>553</v>
      </c>
      <c r="S24" s="11"/>
      <c r="T24" s="11" t="s">
        <v>554</v>
      </c>
      <c r="U24" s="11" t="s">
        <v>193</v>
      </c>
      <c r="V24" s="11" t="s">
        <v>194</v>
      </c>
      <c r="W24" s="11" t="s">
        <v>195</v>
      </c>
      <c r="X24" s="11" t="s">
        <v>196</v>
      </c>
      <c r="Y24" s="11"/>
      <c r="Z24" s="11"/>
      <c r="AA24" s="11" t="s">
        <v>555</v>
      </c>
      <c r="AB24" s="11" t="s">
        <v>230</v>
      </c>
      <c r="AC24" s="11" t="s">
        <v>199</v>
      </c>
      <c r="AD24" s="11" t="s">
        <v>556</v>
      </c>
      <c r="AE24" s="11" t="s">
        <v>201</v>
      </c>
      <c r="AF24" s="11" t="s">
        <v>202</v>
      </c>
      <c r="AG24" s="11"/>
      <c r="AH24" s="11" t="s">
        <v>557</v>
      </c>
      <c r="AI24" s="11" t="s">
        <v>204</v>
      </c>
      <c r="AJ24" s="11" t="s">
        <v>184</v>
      </c>
      <c r="AK24" s="11" t="s">
        <v>184</v>
      </c>
      <c r="AL24" s="11" t="s">
        <v>558</v>
      </c>
      <c r="AM24" s="11">
        <v>2</v>
      </c>
      <c r="AN24" s="11" t="s">
        <v>559</v>
      </c>
      <c r="AO24" s="11" t="s">
        <v>560</v>
      </c>
      <c r="AP24" s="31"/>
      <c r="AQ24" s="11" t="s">
        <v>209</v>
      </c>
      <c r="AR24" s="11" t="s">
        <v>210</v>
      </c>
      <c r="AS24" s="11" t="s">
        <v>211</v>
      </c>
      <c r="AT24" s="11" t="s">
        <v>212</v>
      </c>
      <c r="AU24" s="11" t="s">
        <v>348</v>
      </c>
      <c r="AV24" s="11" t="s">
        <v>561</v>
      </c>
      <c r="AW24" s="11" t="s">
        <v>215</v>
      </c>
      <c r="AX24" s="11" t="s">
        <v>216</v>
      </c>
      <c r="AY24" s="11" t="s">
        <v>562</v>
      </c>
      <c r="AZ24" s="11" t="s">
        <v>218</v>
      </c>
      <c r="BA24" s="11" t="s">
        <v>219</v>
      </c>
      <c r="BB24" s="11"/>
      <c r="BC24" s="11"/>
      <c r="BD24" s="11" t="s">
        <v>220</v>
      </c>
      <c r="BE24" s="11"/>
      <c r="BF24" s="13">
        <v>0</v>
      </c>
      <c r="BG24" s="13">
        <v>0</v>
      </c>
      <c r="BH24" s="11" t="s">
        <v>563</v>
      </c>
      <c r="BI24" s="11" t="s">
        <v>207</v>
      </c>
      <c r="BJ24" s="11" t="s">
        <v>269</v>
      </c>
      <c r="BK24" s="11" t="s">
        <v>184</v>
      </c>
      <c r="BL24" s="11"/>
      <c r="BM24" s="11"/>
      <c r="BN24" s="11"/>
      <c r="BO24" s="11"/>
      <c r="BP24" s="11"/>
      <c r="BQ24" s="11"/>
      <c r="BR24" s="11"/>
      <c r="BS24" s="11"/>
      <c r="BT24" s="11"/>
      <c r="BU24" s="11"/>
      <c r="BV24" s="11"/>
      <c r="BW24" s="11"/>
      <c r="BX24" s="11"/>
      <c r="BY24" s="11"/>
      <c r="BZ24" s="11"/>
      <c r="CA24" s="11"/>
      <c r="CB24" s="11"/>
      <c r="CC24" s="11"/>
      <c r="CD24" s="11"/>
      <c r="CE24" s="14"/>
      <c r="CF24" s="15"/>
      <c r="CG24" s="15"/>
      <c r="CH24" s="15"/>
      <c r="CI24" s="15"/>
      <c r="CJ24" s="15"/>
      <c r="CK24" s="15"/>
      <c r="CL24" s="15"/>
      <c r="CM24" s="15"/>
      <c r="CN24" s="15"/>
      <c r="CO24" s="15"/>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row>
    <row r="25" spans="1:210" ht="75" customHeight="1">
      <c r="A25" s="11" t="s">
        <v>564</v>
      </c>
      <c r="B25" s="11" t="s">
        <v>565</v>
      </c>
      <c r="C25" s="11">
        <v>13723</v>
      </c>
      <c r="D25" s="11" t="s">
        <v>182</v>
      </c>
      <c r="E25" s="11" t="s">
        <v>566</v>
      </c>
      <c r="F25" s="11" t="s">
        <v>207</v>
      </c>
      <c r="G25" s="12" t="s">
        <v>567</v>
      </c>
      <c r="H25" s="11" t="s">
        <v>186</v>
      </c>
      <c r="I25" s="11" t="s">
        <v>187</v>
      </c>
      <c r="J25" s="11"/>
      <c r="K25" s="11" t="s">
        <v>383</v>
      </c>
      <c r="L25" s="11"/>
      <c r="M25" s="11" t="s">
        <v>189</v>
      </c>
      <c r="N25" s="11"/>
      <c r="O25" s="11"/>
      <c r="P25" s="11"/>
      <c r="Q25" s="11" t="s">
        <v>568</v>
      </c>
      <c r="R25" s="11" t="s">
        <v>569</v>
      </c>
      <c r="S25" s="11"/>
      <c r="T25" s="11" t="s">
        <v>570</v>
      </c>
      <c r="U25" s="11" t="s">
        <v>193</v>
      </c>
      <c r="V25" s="11" t="s">
        <v>194</v>
      </c>
      <c r="W25" s="11" t="s">
        <v>195</v>
      </c>
      <c r="X25" s="11" t="s">
        <v>253</v>
      </c>
      <c r="Y25" s="11"/>
      <c r="Z25" s="11"/>
      <c r="AA25" s="11" t="s">
        <v>278</v>
      </c>
      <c r="AB25" s="11" t="s">
        <v>255</v>
      </c>
      <c r="AC25" s="11" t="s">
        <v>231</v>
      </c>
      <c r="AD25" s="11" t="s">
        <v>232</v>
      </c>
      <c r="AE25" s="11" t="s">
        <v>233</v>
      </c>
      <c r="AF25" s="11" t="s">
        <v>234</v>
      </c>
      <c r="AG25" s="11"/>
      <c r="AH25" s="11" t="s">
        <v>256</v>
      </c>
      <c r="AI25" s="11" t="s">
        <v>204</v>
      </c>
      <c r="AJ25" s="11" t="s">
        <v>207</v>
      </c>
      <c r="AK25" s="11"/>
      <c r="AL25" s="11" t="s">
        <v>279</v>
      </c>
      <c r="AM25" s="11">
        <v>3</v>
      </c>
      <c r="AN25" s="11" t="s">
        <v>280</v>
      </c>
      <c r="AO25" s="11" t="s">
        <v>207</v>
      </c>
      <c r="AP25" s="11" t="s">
        <v>281</v>
      </c>
      <c r="AQ25" s="11" t="s">
        <v>260</v>
      </c>
      <c r="AR25" s="11" t="s">
        <v>373</v>
      </c>
      <c r="AS25" s="11" t="s">
        <v>571</v>
      </c>
      <c r="AT25" s="11" t="s">
        <v>263</v>
      </c>
      <c r="AU25" s="11" t="s">
        <v>213</v>
      </c>
      <c r="AV25" s="11" t="s">
        <v>282</v>
      </c>
      <c r="AW25" s="11"/>
      <c r="AX25" s="11" t="s">
        <v>216</v>
      </c>
      <c r="AY25" s="11" t="s">
        <v>283</v>
      </c>
      <c r="AZ25" s="11" t="s">
        <v>218</v>
      </c>
      <c r="BA25" s="11" t="s">
        <v>265</v>
      </c>
      <c r="BB25" s="11" t="s">
        <v>266</v>
      </c>
      <c r="BC25" s="11" t="s">
        <v>267</v>
      </c>
      <c r="BD25" s="11" t="s">
        <v>220</v>
      </c>
      <c r="BE25" s="11" t="s">
        <v>221</v>
      </c>
      <c r="BF25" s="13">
        <v>606</v>
      </c>
      <c r="BG25" s="13">
        <v>153</v>
      </c>
      <c r="BH25" s="11" t="s">
        <v>268</v>
      </c>
      <c r="BI25" s="11" t="s">
        <v>207</v>
      </c>
      <c r="BJ25" s="11" t="s">
        <v>269</v>
      </c>
      <c r="BK25" s="11" t="s">
        <v>184</v>
      </c>
      <c r="BL25" s="11"/>
      <c r="BM25" s="11"/>
      <c r="BN25" s="11"/>
      <c r="BO25" s="11"/>
      <c r="BP25" s="11"/>
      <c r="BQ25" s="11"/>
      <c r="BR25" s="11"/>
      <c r="BS25" s="11"/>
      <c r="BT25" s="11"/>
      <c r="BU25" s="11"/>
      <c r="BV25" s="11"/>
      <c r="BW25" s="11"/>
      <c r="BX25" s="11"/>
      <c r="BY25" s="11"/>
      <c r="BZ25" s="11"/>
      <c r="CA25" s="11"/>
      <c r="CB25" s="11"/>
      <c r="CC25" s="11"/>
      <c r="CD25" s="11"/>
      <c r="CE25" s="14"/>
      <c r="CF25" s="15"/>
      <c r="CG25" s="15"/>
      <c r="CH25" s="15"/>
      <c r="CI25" s="15"/>
      <c r="CJ25" s="15"/>
      <c r="CK25" s="15"/>
      <c r="CL25" s="15"/>
      <c r="CM25" s="15"/>
      <c r="CN25" s="15"/>
      <c r="CO25" s="15"/>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row>
    <row r="26" spans="1:210" ht="75" customHeight="1">
      <c r="A26" s="11" t="s">
        <v>20</v>
      </c>
      <c r="B26" s="11" t="s">
        <v>572</v>
      </c>
      <c r="C26" s="11">
        <v>2745</v>
      </c>
      <c r="D26" s="11" t="s">
        <v>246</v>
      </c>
      <c r="E26" s="11" t="s">
        <v>573</v>
      </c>
      <c r="F26" s="11" t="s">
        <v>184</v>
      </c>
      <c r="G26" s="12" t="s">
        <v>574</v>
      </c>
      <c r="H26" s="11" t="s">
        <v>186</v>
      </c>
      <c r="I26" s="11" t="s">
        <v>187</v>
      </c>
      <c r="J26" s="11">
        <v>38057330</v>
      </c>
      <c r="K26" s="11" t="s">
        <v>575</v>
      </c>
      <c r="L26" s="11">
        <v>2023</v>
      </c>
      <c r="M26" s="11" t="s">
        <v>189</v>
      </c>
      <c r="N26" s="11"/>
      <c r="O26" s="11"/>
      <c r="P26" s="11" t="s">
        <v>576</v>
      </c>
      <c r="Q26" s="11" t="s">
        <v>577</v>
      </c>
      <c r="R26" s="11" t="s">
        <v>578</v>
      </c>
      <c r="S26" s="11"/>
      <c r="T26" s="11" t="s">
        <v>579</v>
      </c>
      <c r="U26" s="11" t="s">
        <v>193</v>
      </c>
      <c r="V26" s="11" t="s">
        <v>194</v>
      </c>
      <c r="W26" s="11" t="s">
        <v>195</v>
      </c>
      <c r="X26" s="11" t="s">
        <v>253</v>
      </c>
      <c r="Y26" s="11"/>
      <c r="Z26" s="11"/>
      <c r="AA26" s="11" t="s">
        <v>580</v>
      </c>
      <c r="AB26" s="11" t="s">
        <v>255</v>
      </c>
      <c r="AC26" s="11" t="s">
        <v>231</v>
      </c>
      <c r="AD26" s="11" t="s">
        <v>232</v>
      </c>
      <c r="AE26" s="11" t="s">
        <v>233</v>
      </c>
      <c r="AF26" s="11" t="s">
        <v>234</v>
      </c>
      <c r="AG26" s="11"/>
      <c r="AH26" s="11" t="s">
        <v>256</v>
      </c>
      <c r="AI26" s="11" t="s">
        <v>204</v>
      </c>
      <c r="AJ26" s="11" t="s">
        <v>207</v>
      </c>
      <c r="AK26" s="11" t="s">
        <v>207</v>
      </c>
      <c r="AL26" s="11" t="s">
        <v>581</v>
      </c>
      <c r="AM26" s="11">
        <v>3</v>
      </c>
      <c r="AN26" s="11" t="s">
        <v>582</v>
      </c>
      <c r="AO26" s="11" t="s">
        <v>583</v>
      </c>
      <c r="AP26" s="31"/>
      <c r="AQ26" s="11" t="s">
        <v>260</v>
      </c>
      <c r="AR26" s="11" t="s">
        <v>210</v>
      </c>
      <c r="AS26" s="11" t="s">
        <v>262</v>
      </c>
      <c r="AT26" s="11" t="s">
        <v>263</v>
      </c>
      <c r="AU26" s="11"/>
      <c r="AV26" s="11"/>
      <c r="AW26" s="11"/>
      <c r="AX26" s="11" t="s">
        <v>216</v>
      </c>
      <c r="AY26" s="11" t="s">
        <v>283</v>
      </c>
      <c r="AZ26" s="11" t="s">
        <v>218</v>
      </c>
      <c r="BA26" s="11" t="s">
        <v>265</v>
      </c>
      <c r="BB26" s="11" t="s">
        <v>266</v>
      </c>
      <c r="BC26" s="11" t="s">
        <v>267</v>
      </c>
      <c r="BD26" s="11" t="s">
        <v>220</v>
      </c>
      <c r="BE26" s="11" t="s">
        <v>221</v>
      </c>
      <c r="BF26" s="13">
        <v>1245</v>
      </c>
      <c r="BG26" s="13">
        <v>280</v>
      </c>
      <c r="BH26" s="11" t="s">
        <v>268</v>
      </c>
      <c r="BI26" s="11" t="s">
        <v>207</v>
      </c>
      <c r="BJ26" s="11" t="s">
        <v>269</v>
      </c>
      <c r="BK26" s="11" t="s">
        <v>184</v>
      </c>
      <c r="BL26" s="11"/>
      <c r="BM26" s="11"/>
      <c r="BN26" s="11"/>
      <c r="BO26" s="11"/>
      <c r="BP26" s="11"/>
      <c r="BQ26" s="11"/>
      <c r="BR26" s="11"/>
      <c r="BS26" s="11"/>
      <c r="BT26" s="11"/>
      <c r="BU26" s="11"/>
      <c r="BV26" s="11"/>
      <c r="BW26" s="11"/>
      <c r="BX26" s="11"/>
      <c r="BY26" s="11"/>
      <c r="BZ26" s="11"/>
      <c r="CA26" s="11"/>
      <c r="CB26" s="11"/>
      <c r="CC26" s="11"/>
      <c r="CD26" s="28" t="s">
        <v>23</v>
      </c>
      <c r="CE26" s="32"/>
      <c r="CF26" s="33"/>
      <c r="CG26" s="33"/>
      <c r="CH26" s="33"/>
      <c r="CI26" s="33"/>
      <c r="CJ26" s="33"/>
      <c r="CK26" s="33"/>
      <c r="CL26" s="33"/>
      <c r="CM26" s="33"/>
      <c r="CN26" s="33"/>
      <c r="CO26" s="33"/>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c r="FJ26" s="34"/>
      <c r="FK26" s="34"/>
      <c r="FL26" s="34"/>
      <c r="FM26" s="34"/>
      <c r="FN26" s="34"/>
      <c r="FO26" s="34"/>
      <c r="FP26" s="34"/>
      <c r="FQ26" s="34"/>
      <c r="FR26" s="34"/>
      <c r="FS26" s="34"/>
      <c r="FT26" s="34"/>
      <c r="FU26" s="34"/>
      <c r="FV26" s="34"/>
      <c r="FW26" s="34"/>
      <c r="FX26" s="34"/>
      <c r="FY26" s="34"/>
      <c r="FZ26" s="34"/>
      <c r="GA26" s="34"/>
      <c r="GB26" s="34"/>
      <c r="GC26" s="34"/>
      <c r="GD26" s="34"/>
      <c r="GE26" s="34"/>
      <c r="GF26" s="34"/>
      <c r="GG26" s="34"/>
      <c r="GH26" s="34"/>
      <c r="GI26" s="34"/>
      <c r="GJ26" s="34"/>
      <c r="GK26" s="34"/>
      <c r="GL26" s="34"/>
      <c r="GM26" s="34"/>
      <c r="GN26" s="34"/>
      <c r="GO26" s="34"/>
      <c r="GP26" s="34"/>
      <c r="GQ26" s="34"/>
      <c r="GR26" s="34"/>
      <c r="GS26" s="34"/>
      <c r="GT26" s="34"/>
      <c r="GU26" s="34"/>
      <c r="GV26" s="34"/>
      <c r="GW26" s="34"/>
      <c r="GX26" s="34"/>
      <c r="GY26" s="34"/>
      <c r="GZ26" s="34"/>
      <c r="HA26" s="34"/>
      <c r="HB26" s="34"/>
    </row>
    <row r="27" spans="1:210" ht="75" customHeight="1">
      <c r="A27" s="11" t="s">
        <v>584</v>
      </c>
      <c r="B27" s="11" t="s">
        <v>585</v>
      </c>
      <c r="C27" s="11">
        <v>3551</v>
      </c>
      <c r="D27" s="11" t="s">
        <v>182</v>
      </c>
      <c r="E27" s="11" t="s">
        <v>586</v>
      </c>
      <c r="F27" s="11" t="s">
        <v>207</v>
      </c>
      <c r="G27" s="12" t="s">
        <v>587</v>
      </c>
      <c r="H27" s="11" t="s">
        <v>186</v>
      </c>
      <c r="I27" s="11" t="s">
        <v>187</v>
      </c>
      <c r="J27" s="11">
        <v>40514537</v>
      </c>
      <c r="K27" s="11" t="s">
        <v>588</v>
      </c>
      <c r="L27" s="11">
        <v>2025</v>
      </c>
      <c r="M27" s="11" t="s">
        <v>189</v>
      </c>
      <c r="N27" s="11"/>
      <c r="O27" s="11"/>
      <c r="P27" s="11"/>
      <c r="Q27" s="11" t="s">
        <v>589</v>
      </c>
      <c r="R27" s="11" t="s">
        <v>590</v>
      </c>
      <c r="S27" s="11"/>
      <c r="T27" s="11" t="s">
        <v>591</v>
      </c>
      <c r="U27" s="11" t="s">
        <v>193</v>
      </c>
      <c r="V27" s="11" t="s">
        <v>194</v>
      </c>
      <c r="W27" s="11" t="s">
        <v>195</v>
      </c>
      <c r="X27" s="11" t="s">
        <v>592</v>
      </c>
      <c r="Y27" s="11"/>
      <c r="Z27" s="11"/>
      <c r="AA27" s="11" t="s">
        <v>593</v>
      </c>
      <c r="AB27" s="11" t="s">
        <v>198</v>
      </c>
      <c r="AC27" s="11" t="s">
        <v>199</v>
      </c>
      <c r="AD27" s="11" t="s">
        <v>594</v>
      </c>
      <c r="AE27" s="11" t="s">
        <v>201</v>
      </c>
      <c r="AF27" s="11" t="s">
        <v>202</v>
      </c>
      <c r="AG27" s="11"/>
      <c r="AH27" s="11" t="s">
        <v>595</v>
      </c>
      <c r="AI27" s="11" t="s">
        <v>204</v>
      </c>
      <c r="AJ27" s="11" t="s">
        <v>184</v>
      </c>
      <c r="AK27" s="11" t="s">
        <v>184</v>
      </c>
      <c r="AL27" s="11" t="s">
        <v>596</v>
      </c>
      <c r="AM27" s="11">
        <v>2</v>
      </c>
      <c r="AN27" s="11" t="s">
        <v>597</v>
      </c>
      <c r="AO27" s="11" t="s">
        <v>598</v>
      </c>
      <c r="AP27" s="31"/>
      <c r="AQ27" s="11" t="s">
        <v>209</v>
      </c>
      <c r="AR27" s="11" t="s">
        <v>210</v>
      </c>
      <c r="AS27" s="11" t="s">
        <v>211</v>
      </c>
      <c r="AT27" s="11" t="s">
        <v>212</v>
      </c>
      <c r="AU27" s="11" t="s">
        <v>264</v>
      </c>
      <c r="AV27" s="11" t="s">
        <v>599</v>
      </c>
      <c r="AW27" s="11" t="s">
        <v>215</v>
      </c>
      <c r="AX27" s="11" t="s">
        <v>216</v>
      </c>
      <c r="AY27" s="11" t="s">
        <v>600</v>
      </c>
      <c r="AZ27" s="11" t="s">
        <v>218</v>
      </c>
      <c r="BA27" s="11" t="s">
        <v>219</v>
      </c>
      <c r="BB27" s="11"/>
      <c r="BC27" s="11"/>
      <c r="BD27" s="11" t="s">
        <v>220</v>
      </c>
      <c r="BE27" s="11" t="s">
        <v>221</v>
      </c>
      <c r="BF27" s="13">
        <v>422</v>
      </c>
      <c r="BG27" s="13">
        <v>43</v>
      </c>
      <c r="BH27" s="11" t="s">
        <v>438</v>
      </c>
      <c r="BI27" s="11" t="s">
        <v>207</v>
      </c>
      <c r="BJ27" s="11" t="s">
        <v>269</v>
      </c>
      <c r="BK27" s="11" t="s">
        <v>207</v>
      </c>
      <c r="BL27" s="11"/>
      <c r="BM27" s="11"/>
      <c r="BN27" s="11"/>
      <c r="BO27" s="11"/>
      <c r="BP27" s="11"/>
      <c r="BQ27" s="11"/>
      <c r="BR27" s="11"/>
      <c r="BS27" s="11"/>
      <c r="BT27" s="11"/>
      <c r="BU27" s="11"/>
      <c r="BV27" s="11"/>
      <c r="BW27" s="11"/>
      <c r="BX27" s="11"/>
      <c r="BY27" s="11"/>
      <c r="BZ27" s="11"/>
      <c r="CA27" s="11"/>
      <c r="CB27" s="11"/>
      <c r="CC27" s="11"/>
      <c r="CD27" s="28" t="s">
        <v>601</v>
      </c>
      <c r="CE27" s="32"/>
      <c r="CF27" s="33"/>
      <c r="CG27" s="33"/>
      <c r="CH27" s="33"/>
      <c r="CI27" s="33"/>
      <c r="CJ27" s="33"/>
      <c r="CK27" s="33"/>
      <c r="CL27" s="33"/>
      <c r="CM27" s="33"/>
      <c r="CN27" s="33"/>
      <c r="CO27" s="33"/>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c r="EJ27" s="34"/>
      <c r="EK27" s="34"/>
      <c r="EL27" s="34"/>
      <c r="EM27" s="34"/>
      <c r="EN27" s="34"/>
      <c r="EO27" s="34"/>
      <c r="EP27" s="34"/>
      <c r="EQ27" s="34"/>
      <c r="ER27" s="34"/>
      <c r="ES27" s="34"/>
      <c r="ET27" s="34"/>
      <c r="EU27" s="34"/>
      <c r="EV27" s="34"/>
      <c r="EW27" s="34"/>
      <c r="EX27" s="34"/>
      <c r="EY27" s="34"/>
      <c r="EZ27" s="34"/>
      <c r="FA27" s="34"/>
      <c r="FB27" s="34"/>
      <c r="FC27" s="34"/>
      <c r="FD27" s="34"/>
      <c r="FE27" s="34"/>
      <c r="FF27" s="34"/>
      <c r="FG27" s="34"/>
      <c r="FH27" s="34"/>
      <c r="FI27" s="34"/>
      <c r="FJ27" s="34"/>
      <c r="FK27" s="34"/>
      <c r="FL27" s="34"/>
      <c r="FM27" s="34"/>
      <c r="FN27" s="34"/>
      <c r="FO27" s="34"/>
      <c r="FP27" s="34"/>
      <c r="FQ27" s="34"/>
      <c r="FR27" s="34"/>
      <c r="FS27" s="34"/>
      <c r="FT27" s="34"/>
      <c r="FU27" s="34"/>
      <c r="FV27" s="34"/>
      <c r="FW27" s="34"/>
      <c r="FX27" s="34"/>
      <c r="FY27" s="34"/>
      <c r="FZ27" s="34"/>
      <c r="GA27" s="34"/>
      <c r="GB27" s="34"/>
      <c r="GC27" s="34"/>
      <c r="GD27" s="34"/>
      <c r="GE27" s="34"/>
      <c r="GF27" s="34"/>
      <c r="GG27" s="34"/>
      <c r="GH27" s="34"/>
      <c r="GI27" s="34"/>
      <c r="GJ27" s="34"/>
      <c r="GK27" s="34"/>
      <c r="GL27" s="34"/>
      <c r="GM27" s="34"/>
      <c r="GN27" s="34"/>
      <c r="GO27" s="34"/>
      <c r="GP27" s="34"/>
      <c r="GQ27" s="34"/>
      <c r="GR27" s="34"/>
      <c r="GS27" s="34"/>
      <c r="GT27" s="34"/>
      <c r="GU27" s="34"/>
      <c r="GV27" s="34"/>
      <c r="GW27" s="34"/>
      <c r="GX27" s="34"/>
      <c r="GY27" s="34"/>
      <c r="GZ27" s="34"/>
      <c r="HA27" s="34"/>
      <c r="HB27" s="34"/>
    </row>
    <row r="28" spans="1:210" ht="75" customHeight="1">
      <c r="A28" s="11" t="s">
        <v>602</v>
      </c>
      <c r="B28" s="11" t="s">
        <v>585</v>
      </c>
      <c r="C28" s="11">
        <v>3551</v>
      </c>
      <c r="D28" s="11" t="s">
        <v>182</v>
      </c>
      <c r="E28" s="11" t="s">
        <v>603</v>
      </c>
      <c r="F28" s="11" t="s">
        <v>207</v>
      </c>
      <c r="G28" s="12" t="s">
        <v>604</v>
      </c>
      <c r="H28" s="11" t="s">
        <v>186</v>
      </c>
      <c r="I28" s="11" t="s">
        <v>187</v>
      </c>
      <c r="J28" s="11">
        <v>40514537</v>
      </c>
      <c r="K28" s="11" t="s">
        <v>588</v>
      </c>
      <c r="L28" s="11">
        <v>2025</v>
      </c>
      <c r="M28" s="11" t="s">
        <v>189</v>
      </c>
      <c r="N28" s="11"/>
      <c r="O28" s="11"/>
      <c r="P28" s="11"/>
      <c r="Q28" s="11" t="s">
        <v>589</v>
      </c>
      <c r="R28" s="11" t="s">
        <v>590</v>
      </c>
      <c r="S28" s="11"/>
      <c r="T28" s="11" t="s">
        <v>605</v>
      </c>
      <c r="U28" s="11" t="s">
        <v>193</v>
      </c>
      <c r="V28" s="11" t="s">
        <v>194</v>
      </c>
      <c r="W28" s="11" t="s">
        <v>195</v>
      </c>
      <c r="X28" s="11" t="s">
        <v>592</v>
      </c>
      <c r="Y28" s="11"/>
      <c r="Z28" s="11"/>
      <c r="AA28" s="11" t="s">
        <v>593</v>
      </c>
      <c r="AB28" s="11" t="s">
        <v>198</v>
      </c>
      <c r="AC28" s="11" t="s">
        <v>199</v>
      </c>
      <c r="AD28" s="11" t="s">
        <v>594</v>
      </c>
      <c r="AE28" s="11" t="s">
        <v>201</v>
      </c>
      <c r="AF28" s="11" t="s">
        <v>202</v>
      </c>
      <c r="AG28" s="11"/>
      <c r="AH28" s="11" t="s">
        <v>595</v>
      </c>
      <c r="AI28" s="11" t="s">
        <v>204</v>
      </c>
      <c r="AJ28" s="11" t="s">
        <v>184</v>
      </c>
      <c r="AK28" s="11" t="s">
        <v>184</v>
      </c>
      <c r="AL28" s="11" t="s">
        <v>596</v>
      </c>
      <c r="AM28" s="11">
        <v>2</v>
      </c>
      <c r="AN28" s="11" t="s">
        <v>597</v>
      </c>
      <c r="AO28" s="11" t="s">
        <v>606</v>
      </c>
      <c r="AP28" s="31"/>
      <c r="AQ28" s="11" t="s">
        <v>209</v>
      </c>
      <c r="AR28" s="11" t="s">
        <v>210</v>
      </c>
      <c r="AS28" s="11" t="s">
        <v>211</v>
      </c>
      <c r="AT28" s="11" t="s">
        <v>212</v>
      </c>
      <c r="AU28" s="11" t="s">
        <v>264</v>
      </c>
      <c r="AV28" s="11" t="s">
        <v>599</v>
      </c>
      <c r="AW28" s="11" t="s">
        <v>215</v>
      </c>
      <c r="AX28" s="11" t="s">
        <v>216</v>
      </c>
      <c r="AY28" s="11" t="s">
        <v>600</v>
      </c>
      <c r="AZ28" s="11" t="s">
        <v>218</v>
      </c>
      <c r="BA28" s="11" t="s">
        <v>219</v>
      </c>
      <c r="BB28" s="11"/>
      <c r="BC28" s="11"/>
      <c r="BD28" s="11" t="s">
        <v>220</v>
      </c>
      <c r="BE28" s="11" t="s">
        <v>221</v>
      </c>
      <c r="BF28" s="13">
        <v>422</v>
      </c>
      <c r="BG28" s="13">
        <v>43</v>
      </c>
      <c r="BH28" s="11" t="s">
        <v>438</v>
      </c>
      <c r="BI28" s="11" t="s">
        <v>184</v>
      </c>
      <c r="BJ28" s="11" t="s">
        <v>269</v>
      </c>
      <c r="BK28" s="11" t="s">
        <v>184</v>
      </c>
      <c r="BL28" s="11"/>
      <c r="BM28" s="11"/>
      <c r="BN28" s="11"/>
      <c r="BO28" s="11"/>
      <c r="BP28" s="11"/>
      <c r="BQ28" s="11"/>
      <c r="BR28" s="11"/>
      <c r="BS28" s="11"/>
      <c r="BT28" s="11"/>
      <c r="BU28" s="11"/>
      <c r="BV28" s="11"/>
      <c r="BW28" s="11"/>
      <c r="BX28" s="11"/>
      <c r="BY28" s="11"/>
      <c r="BZ28" s="11"/>
      <c r="CA28" s="11"/>
      <c r="CB28" s="11"/>
      <c r="CC28" s="11"/>
      <c r="CD28" s="28" t="s">
        <v>601</v>
      </c>
      <c r="CE28" s="32"/>
      <c r="CF28" s="33"/>
      <c r="CG28" s="33"/>
      <c r="CH28" s="33"/>
      <c r="CI28" s="33"/>
      <c r="CJ28" s="33"/>
      <c r="CK28" s="33"/>
      <c r="CL28" s="33"/>
      <c r="CM28" s="33"/>
      <c r="CN28" s="33"/>
      <c r="CO28" s="33"/>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c r="EJ28" s="34"/>
      <c r="EK28" s="34"/>
      <c r="EL28" s="34"/>
      <c r="EM28" s="34"/>
      <c r="EN28" s="34"/>
      <c r="EO28" s="34"/>
      <c r="EP28" s="34"/>
      <c r="EQ28" s="34"/>
      <c r="ER28" s="34"/>
      <c r="ES28" s="34"/>
      <c r="ET28" s="34"/>
      <c r="EU28" s="34"/>
      <c r="EV28" s="34"/>
      <c r="EW28" s="34"/>
      <c r="EX28" s="34"/>
      <c r="EY28" s="34"/>
      <c r="EZ28" s="34"/>
      <c r="FA28" s="34"/>
      <c r="FB28" s="34"/>
      <c r="FC28" s="34"/>
      <c r="FD28" s="34"/>
      <c r="FE28" s="34"/>
      <c r="FF28" s="34"/>
      <c r="FG28" s="34"/>
      <c r="FH28" s="34"/>
      <c r="FI28" s="34"/>
      <c r="FJ28" s="34"/>
      <c r="FK28" s="34"/>
      <c r="FL28" s="34"/>
      <c r="FM28" s="34"/>
      <c r="FN28" s="34"/>
      <c r="FO28" s="34"/>
      <c r="FP28" s="34"/>
      <c r="FQ28" s="34"/>
      <c r="FR28" s="34"/>
      <c r="FS28" s="34"/>
      <c r="FT28" s="34"/>
      <c r="FU28" s="34"/>
      <c r="FV28" s="34"/>
      <c r="FW28" s="34"/>
      <c r="FX28" s="34"/>
      <c r="FY28" s="34"/>
      <c r="FZ28" s="34"/>
      <c r="GA28" s="34"/>
      <c r="GB28" s="34"/>
      <c r="GC28" s="34"/>
      <c r="GD28" s="34"/>
      <c r="GE28" s="34"/>
      <c r="GF28" s="34"/>
      <c r="GG28" s="34"/>
      <c r="GH28" s="34"/>
      <c r="GI28" s="34"/>
      <c r="GJ28" s="34"/>
      <c r="GK28" s="34"/>
      <c r="GL28" s="34"/>
      <c r="GM28" s="34"/>
      <c r="GN28" s="34"/>
      <c r="GO28" s="34"/>
      <c r="GP28" s="34"/>
      <c r="GQ28" s="34"/>
      <c r="GR28" s="34"/>
      <c r="GS28" s="34"/>
      <c r="GT28" s="34"/>
      <c r="GU28" s="34"/>
      <c r="GV28" s="34"/>
      <c r="GW28" s="34"/>
      <c r="GX28" s="34"/>
      <c r="GY28" s="34"/>
      <c r="GZ28" s="34"/>
      <c r="HA28" s="34"/>
      <c r="HB28" s="34"/>
    </row>
    <row r="29" spans="1:210" ht="75" customHeight="1">
      <c r="A29" s="11" t="s">
        <v>607</v>
      </c>
      <c r="B29" s="11" t="s">
        <v>585</v>
      </c>
      <c r="C29" s="11">
        <v>3551</v>
      </c>
      <c r="D29" s="11" t="s">
        <v>182</v>
      </c>
      <c r="E29" s="11" t="s">
        <v>608</v>
      </c>
      <c r="F29" s="11" t="s">
        <v>207</v>
      </c>
      <c r="G29" s="12" t="s">
        <v>609</v>
      </c>
      <c r="H29" s="11" t="s">
        <v>186</v>
      </c>
      <c r="I29" s="11" t="s">
        <v>187</v>
      </c>
      <c r="J29" s="11">
        <v>40514537</v>
      </c>
      <c r="K29" s="11" t="s">
        <v>588</v>
      </c>
      <c r="L29" s="11">
        <v>2025</v>
      </c>
      <c r="M29" s="11" t="s">
        <v>189</v>
      </c>
      <c r="N29" s="11"/>
      <c r="O29" s="11"/>
      <c r="P29" s="11"/>
      <c r="Q29" s="11" t="s">
        <v>589</v>
      </c>
      <c r="R29" s="11" t="s">
        <v>590</v>
      </c>
      <c r="S29" s="11"/>
      <c r="T29" s="11" t="s">
        <v>610</v>
      </c>
      <c r="U29" s="11" t="s">
        <v>193</v>
      </c>
      <c r="V29" s="11" t="s">
        <v>194</v>
      </c>
      <c r="W29" s="11" t="s">
        <v>195</v>
      </c>
      <c r="X29" s="11" t="s">
        <v>592</v>
      </c>
      <c r="Y29" s="11"/>
      <c r="Z29" s="11"/>
      <c r="AA29" s="11" t="s">
        <v>593</v>
      </c>
      <c r="AB29" s="11" t="s">
        <v>198</v>
      </c>
      <c r="AC29" s="11" t="s">
        <v>199</v>
      </c>
      <c r="AD29" s="11" t="s">
        <v>200</v>
      </c>
      <c r="AE29" s="11" t="s">
        <v>201</v>
      </c>
      <c r="AF29" s="11" t="s">
        <v>202</v>
      </c>
      <c r="AG29" s="11"/>
      <c r="AH29" s="11" t="s">
        <v>203</v>
      </c>
      <c r="AI29" s="11" t="s">
        <v>204</v>
      </c>
      <c r="AJ29" s="11" t="s">
        <v>184</v>
      </c>
      <c r="AK29" s="11" t="s">
        <v>184</v>
      </c>
      <c r="AL29" s="11" t="s">
        <v>596</v>
      </c>
      <c r="AM29" s="11">
        <v>3</v>
      </c>
      <c r="AN29" s="11" t="s">
        <v>597</v>
      </c>
      <c r="AO29" s="11" t="s">
        <v>611</v>
      </c>
      <c r="AP29" s="31"/>
      <c r="AQ29" s="11" t="s">
        <v>209</v>
      </c>
      <c r="AR29" s="11" t="s">
        <v>210</v>
      </c>
      <c r="AS29" s="11" t="s">
        <v>211</v>
      </c>
      <c r="AT29" s="11" t="s">
        <v>212</v>
      </c>
      <c r="AU29" s="11" t="s">
        <v>264</v>
      </c>
      <c r="AV29" s="11" t="s">
        <v>599</v>
      </c>
      <c r="AW29" s="11" t="s">
        <v>215</v>
      </c>
      <c r="AX29" s="11" t="s">
        <v>216</v>
      </c>
      <c r="AY29" s="11" t="s">
        <v>600</v>
      </c>
      <c r="AZ29" s="11" t="s">
        <v>218</v>
      </c>
      <c r="BA29" s="11" t="s">
        <v>219</v>
      </c>
      <c r="BB29" s="11"/>
      <c r="BC29" s="11"/>
      <c r="BD29" s="11" t="s">
        <v>220</v>
      </c>
      <c r="BE29" s="11" t="s">
        <v>221</v>
      </c>
      <c r="BF29" s="13">
        <v>422</v>
      </c>
      <c r="BG29" s="13">
        <v>43</v>
      </c>
      <c r="BH29" s="11" t="s">
        <v>438</v>
      </c>
      <c r="BI29" s="11" t="s">
        <v>207</v>
      </c>
      <c r="BJ29" s="11" t="s">
        <v>269</v>
      </c>
      <c r="BK29" s="11" t="s">
        <v>207</v>
      </c>
      <c r="BL29" s="11"/>
      <c r="BM29" s="11"/>
      <c r="BN29" s="11"/>
      <c r="BO29" s="11"/>
      <c r="BP29" s="11"/>
      <c r="BQ29" s="11"/>
      <c r="BR29" s="11"/>
      <c r="BS29" s="11"/>
      <c r="BT29" s="11"/>
      <c r="BU29" s="11"/>
      <c r="BV29" s="11"/>
      <c r="BW29" s="11"/>
      <c r="BX29" s="11"/>
      <c r="BY29" s="11"/>
      <c r="BZ29" s="11"/>
      <c r="CA29" s="11"/>
      <c r="CB29" s="11"/>
      <c r="CC29" s="11"/>
      <c r="CD29" s="28" t="s">
        <v>601</v>
      </c>
      <c r="CE29" s="32"/>
      <c r="CF29" s="33"/>
      <c r="CG29" s="33"/>
      <c r="CH29" s="33"/>
      <c r="CI29" s="33"/>
      <c r="CJ29" s="33"/>
      <c r="CK29" s="33"/>
      <c r="CL29" s="33"/>
      <c r="CM29" s="33"/>
      <c r="CN29" s="33"/>
      <c r="CO29" s="33"/>
      <c r="CP29" s="34"/>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c r="DR29" s="34"/>
      <c r="DS29" s="34"/>
      <c r="DT29" s="34"/>
      <c r="DU29" s="34"/>
      <c r="DV29" s="34"/>
      <c r="DW29" s="34"/>
      <c r="DX29" s="34"/>
      <c r="DY29" s="34"/>
      <c r="DZ29" s="34"/>
      <c r="EA29" s="34"/>
      <c r="EB29" s="34"/>
      <c r="EC29" s="34"/>
      <c r="ED29" s="34"/>
      <c r="EE29" s="34"/>
      <c r="EF29" s="34"/>
      <c r="EG29" s="34"/>
      <c r="EH29" s="34"/>
      <c r="EI29" s="34"/>
      <c r="EJ29" s="34"/>
      <c r="EK29" s="34"/>
      <c r="EL29" s="34"/>
      <c r="EM29" s="34"/>
      <c r="EN29" s="34"/>
      <c r="EO29" s="34"/>
      <c r="EP29" s="34"/>
      <c r="EQ29" s="34"/>
      <c r="ER29" s="34"/>
      <c r="ES29" s="34"/>
      <c r="ET29" s="34"/>
      <c r="EU29" s="34"/>
      <c r="EV29" s="34"/>
      <c r="EW29" s="34"/>
      <c r="EX29" s="34"/>
      <c r="EY29" s="34"/>
      <c r="EZ29" s="34"/>
      <c r="FA29" s="34"/>
      <c r="FB29" s="34"/>
      <c r="FC29" s="34"/>
      <c r="FD29" s="34"/>
      <c r="FE29" s="34"/>
      <c r="FF29" s="34"/>
      <c r="FG29" s="34"/>
      <c r="FH29" s="34"/>
      <c r="FI29" s="34"/>
      <c r="FJ29" s="34"/>
      <c r="FK29" s="34"/>
      <c r="FL29" s="34"/>
      <c r="FM29" s="34"/>
      <c r="FN29" s="34"/>
      <c r="FO29" s="34"/>
      <c r="FP29" s="34"/>
      <c r="FQ29" s="34"/>
      <c r="FR29" s="34"/>
      <c r="FS29" s="34"/>
      <c r="FT29" s="34"/>
      <c r="FU29" s="34"/>
      <c r="FV29" s="34"/>
      <c r="FW29" s="34"/>
      <c r="FX29" s="34"/>
      <c r="FY29" s="34"/>
      <c r="FZ29" s="34"/>
      <c r="GA29" s="34"/>
      <c r="GB29" s="34"/>
      <c r="GC29" s="34"/>
      <c r="GD29" s="34"/>
      <c r="GE29" s="34"/>
      <c r="GF29" s="34"/>
      <c r="GG29" s="34"/>
      <c r="GH29" s="34"/>
      <c r="GI29" s="34"/>
      <c r="GJ29" s="34"/>
      <c r="GK29" s="34"/>
      <c r="GL29" s="34"/>
      <c r="GM29" s="34"/>
      <c r="GN29" s="34"/>
      <c r="GO29" s="34"/>
      <c r="GP29" s="34"/>
      <c r="GQ29" s="34"/>
      <c r="GR29" s="34"/>
      <c r="GS29" s="34"/>
      <c r="GT29" s="34"/>
      <c r="GU29" s="34"/>
      <c r="GV29" s="34"/>
      <c r="GW29" s="34"/>
      <c r="GX29" s="34"/>
      <c r="GY29" s="34"/>
      <c r="GZ29" s="34"/>
      <c r="HA29" s="34"/>
      <c r="HB29" s="34"/>
    </row>
    <row r="30" spans="1:210" ht="75" customHeight="1">
      <c r="A30" s="11" t="s">
        <v>612</v>
      </c>
      <c r="B30" s="11" t="s">
        <v>585</v>
      </c>
      <c r="C30" s="11">
        <v>3551</v>
      </c>
      <c r="D30" s="11" t="s">
        <v>182</v>
      </c>
      <c r="E30" s="11" t="s">
        <v>613</v>
      </c>
      <c r="F30" s="11" t="s">
        <v>207</v>
      </c>
      <c r="G30" s="12" t="s">
        <v>614</v>
      </c>
      <c r="H30" s="11" t="s">
        <v>186</v>
      </c>
      <c r="I30" s="11" t="s">
        <v>187</v>
      </c>
      <c r="J30" s="11">
        <v>40514537</v>
      </c>
      <c r="K30" s="11" t="s">
        <v>588</v>
      </c>
      <c r="L30" s="11">
        <v>2025</v>
      </c>
      <c r="M30" s="11" t="s">
        <v>189</v>
      </c>
      <c r="N30" s="11"/>
      <c r="O30" s="11"/>
      <c r="P30" s="11"/>
      <c r="Q30" s="11" t="s">
        <v>589</v>
      </c>
      <c r="R30" s="11" t="s">
        <v>590</v>
      </c>
      <c r="S30" s="11"/>
      <c r="T30" s="11" t="s">
        <v>615</v>
      </c>
      <c r="U30" s="11" t="s">
        <v>193</v>
      </c>
      <c r="V30" s="11" t="s">
        <v>194</v>
      </c>
      <c r="W30" s="11" t="s">
        <v>195</v>
      </c>
      <c r="X30" s="11" t="s">
        <v>592</v>
      </c>
      <c r="Y30" s="11"/>
      <c r="Z30" s="11"/>
      <c r="AA30" s="11" t="s">
        <v>593</v>
      </c>
      <c r="AB30" s="11" t="s">
        <v>198</v>
      </c>
      <c r="AC30" s="11" t="s">
        <v>199</v>
      </c>
      <c r="AD30" s="11" t="s">
        <v>200</v>
      </c>
      <c r="AE30" s="11" t="s">
        <v>201</v>
      </c>
      <c r="AF30" s="11" t="s">
        <v>202</v>
      </c>
      <c r="AG30" s="11"/>
      <c r="AH30" s="11" t="s">
        <v>203</v>
      </c>
      <c r="AI30" s="11" t="s">
        <v>204</v>
      </c>
      <c r="AJ30" s="11" t="s">
        <v>184</v>
      </c>
      <c r="AK30" s="11" t="s">
        <v>184</v>
      </c>
      <c r="AL30" s="11" t="s">
        <v>596</v>
      </c>
      <c r="AM30" s="11">
        <v>2</v>
      </c>
      <c r="AN30" s="11" t="s">
        <v>597</v>
      </c>
      <c r="AO30" s="11" t="s">
        <v>606</v>
      </c>
      <c r="AP30" s="31"/>
      <c r="AQ30" s="11" t="s">
        <v>209</v>
      </c>
      <c r="AR30" s="11" t="s">
        <v>210</v>
      </c>
      <c r="AS30" s="11" t="s">
        <v>211</v>
      </c>
      <c r="AT30" s="11" t="s">
        <v>212</v>
      </c>
      <c r="AU30" s="11" t="s">
        <v>264</v>
      </c>
      <c r="AV30" s="11" t="s">
        <v>599</v>
      </c>
      <c r="AW30" s="11" t="s">
        <v>215</v>
      </c>
      <c r="AX30" s="11" t="s">
        <v>216</v>
      </c>
      <c r="AY30" s="11" t="s">
        <v>600</v>
      </c>
      <c r="AZ30" s="11" t="s">
        <v>218</v>
      </c>
      <c r="BA30" s="11" t="s">
        <v>219</v>
      </c>
      <c r="BB30" s="11"/>
      <c r="BC30" s="11"/>
      <c r="BD30" s="11" t="s">
        <v>220</v>
      </c>
      <c r="BE30" s="11" t="s">
        <v>221</v>
      </c>
      <c r="BF30" s="13">
        <v>422</v>
      </c>
      <c r="BG30" s="13">
        <v>43</v>
      </c>
      <c r="BH30" s="11" t="s">
        <v>438</v>
      </c>
      <c r="BI30" s="11" t="s">
        <v>184</v>
      </c>
      <c r="BJ30" s="11" t="s">
        <v>269</v>
      </c>
      <c r="BK30" s="11" t="s">
        <v>184</v>
      </c>
      <c r="BL30" s="11"/>
      <c r="BM30" s="11"/>
      <c r="BN30" s="11"/>
      <c r="BO30" s="11"/>
      <c r="BP30" s="11"/>
      <c r="BQ30" s="11"/>
      <c r="BR30" s="11"/>
      <c r="BS30" s="11"/>
      <c r="BT30" s="11"/>
      <c r="BU30" s="11"/>
      <c r="BV30" s="11"/>
      <c r="BW30" s="11"/>
      <c r="BX30" s="11"/>
      <c r="BY30" s="11"/>
      <c r="BZ30" s="11"/>
      <c r="CA30" s="11"/>
      <c r="CB30" s="11"/>
      <c r="CC30" s="11"/>
      <c r="CD30" s="28" t="s">
        <v>601</v>
      </c>
      <c r="CE30" s="32"/>
      <c r="CF30" s="33"/>
      <c r="CG30" s="33"/>
      <c r="CH30" s="33"/>
      <c r="CI30" s="33"/>
      <c r="CJ30" s="33"/>
      <c r="CK30" s="33"/>
      <c r="CL30" s="33"/>
      <c r="CM30" s="33"/>
      <c r="CN30" s="33"/>
      <c r="CO30" s="33"/>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c r="EJ30" s="34"/>
      <c r="EK30" s="34"/>
      <c r="EL30" s="34"/>
      <c r="EM30" s="34"/>
      <c r="EN30" s="34"/>
      <c r="EO30" s="34"/>
      <c r="EP30" s="34"/>
      <c r="EQ30" s="34"/>
      <c r="ER30" s="34"/>
      <c r="ES30" s="34"/>
      <c r="ET30" s="34"/>
      <c r="EU30" s="34"/>
      <c r="EV30" s="34"/>
      <c r="EW30" s="34"/>
      <c r="EX30" s="34"/>
      <c r="EY30" s="34"/>
      <c r="EZ30" s="34"/>
      <c r="FA30" s="34"/>
      <c r="FB30" s="34"/>
      <c r="FC30" s="34"/>
      <c r="FD30" s="34"/>
      <c r="FE30" s="34"/>
      <c r="FF30" s="34"/>
      <c r="FG30" s="34"/>
      <c r="FH30" s="34"/>
      <c r="FI30" s="34"/>
      <c r="FJ30" s="34"/>
      <c r="FK30" s="34"/>
      <c r="FL30" s="34"/>
      <c r="FM30" s="34"/>
      <c r="FN30" s="34"/>
      <c r="FO30" s="34"/>
      <c r="FP30" s="34"/>
      <c r="FQ30" s="34"/>
      <c r="FR30" s="34"/>
      <c r="FS30" s="34"/>
      <c r="FT30" s="34"/>
      <c r="FU30" s="34"/>
      <c r="FV30" s="34"/>
      <c r="FW30" s="34"/>
      <c r="FX30" s="34"/>
      <c r="FY30" s="34"/>
      <c r="FZ30" s="34"/>
      <c r="GA30" s="34"/>
      <c r="GB30" s="34"/>
      <c r="GC30" s="34"/>
      <c r="GD30" s="34"/>
      <c r="GE30" s="34"/>
      <c r="GF30" s="34"/>
      <c r="GG30" s="34"/>
      <c r="GH30" s="34"/>
      <c r="GI30" s="34"/>
      <c r="GJ30" s="34"/>
      <c r="GK30" s="34"/>
      <c r="GL30" s="34"/>
      <c r="GM30" s="34"/>
      <c r="GN30" s="34"/>
      <c r="GO30" s="34"/>
      <c r="GP30" s="34"/>
      <c r="GQ30" s="34"/>
      <c r="GR30" s="34"/>
      <c r="GS30" s="34"/>
      <c r="GT30" s="34"/>
      <c r="GU30" s="34"/>
      <c r="GV30" s="34"/>
      <c r="GW30" s="34"/>
      <c r="GX30" s="34"/>
      <c r="GY30" s="34"/>
      <c r="GZ30" s="34"/>
      <c r="HA30" s="34"/>
      <c r="HB30" s="34"/>
    </row>
    <row r="31" spans="1:210" ht="75" customHeight="1">
      <c r="A31" s="11" t="s">
        <v>616</v>
      </c>
      <c r="B31" s="11" t="s">
        <v>585</v>
      </c>
      <c r="C31" s="11">
        <v>3551</v>
      </c>
      <c r="D31" s="11" t="s">
        <v>182</v>
      </c>
      <c r="E31" s="11" t="s">
        <v>617</v>
      </c>
      <c r="F31" s="11" t="s">
        <v>207</v>
      </c>
      <c r="G31" s="12" t="s">
        <v>618</v>
      </c>
      <c r="H31" s="11" t="s">
        <v>186</v>
      </c>
      <c r="I31" s="11" t="s">
        <v>187</v>
      </c>
      <c r="J31" s="11">
        <v>40514537</v>
      </c>
      <c r="K31" s="11" t="s">
        <v>588</v>
      </c>
      <c r="L31" s="11">
        <v>2025</v>
      </c>
      <c r="M31" s="11" t="s">
        <v>408</v>
      </c>
      <c r="N31" s="11" t="s">
        <v>619</v>
      </c>
      <c r="O31" s="11">
        <v>40514537</v>
      </c>
      <c r="P31" s="11"/>
      <c r="Q31" s="11" t="s">
        <v>589</v>
      </c>
      <c r="R31" s="11" t="s">
        <v>590</v>
      </c>
      <c r="S31" s="11"/>
      <c r="T31" s="11" t="s">
        <v>620</v>
      </c>
      <c r="U31" s="11" t="s">
        <v>193</v>
      </c>
      <c r="V31" s="11" t="s">
        <v>194</v>
      </c>
      <c r="W31" s="11" t="s">
        <v>195</v>
      </c>
      <c r="X31" s="11" t="s">
        <v>592</v>
      </c>
      <c r="Y31" s="11"/>
      <c r="Z31" s="11"/>
      <c r="AA31" s="11" t="s">
        <v>593</v>
      </c>
      <c r="AB31" s="11" t="s">
        <v>198</v>
      </c>
      <c r="AC31" s="11" t="s">
        <v>621</v>
      </c>
      <c r="AD31" s="11"/>
      <c r="AE31" s="11"/>
      <c r="AF31" s="11"/>
      <c r="AG31" s="11"/>
      <c r="AH31" s="11"/>
      <c r="AI31" s="11" t="s">
        <v>204</v>
      </c>
      <c r="AJ31" s="11" t="s">
        <v>184</v>
      </c>
      <c r="AK31" s="11" t="s">
        <v>184</v>
      </c>
      <c r="AL31" s="11"/>
      <c r="AM31" s="11" t="s">
        <v>451</v>
      </c>
      <c r="AN31" s="11"/>
      <c r="AO31" s="11"/>
      <c r="AP31" s="31"/>
      <c r="AQ31" s="11" t="s">
        <v>414</v>
      </c>
      <c r="AR31" s="11" t="s">
        <v>210</v>
      </c>
      <c r="AS31" s="11" t="s">
        <v>211</v>
      </c>
      <c r="AT31" s="11"/>
      <c r="AU31" s="11"/>
      <c r="AV31" s="11"/>
      <c r="AW31" s="11"/>
      <c r="AX31" s="11"/>
      <c r="AY31" s="11"/>
      <c r="AZ31" s="11"/>
      <c r="BA31" s="11"/>
      <c r="BB31" s="11"/>
      <c r="BC31" s="11"/>
      <c r="BD31" s="11" t="s">
        <v>622</v>
      </c>
      <c r="BE31" s="11" t="s">
        <v>207</v>
      </c>
      <c r="BF31" s="13">
        <v>422</v>
      </c>
      <c r="BG31" s="13">
        <v>43</v>
      </c>
      <c r="BH31" s="11" t="s">
        <v>438</v>
      </c>
      <c r="BI31" s="11" t="s">
        <v>207</v>
      </c>
      <c r="BJ31" s="11" t="s">
        <v>269</v>
      </c>
      <c r="BK31" s="11" t="s">
        <v>184</v>
      </c>
      <c r="BL31" s="11"/>
      <c r="BM31" s="11"/>
      <c r="BN31" s="11"/>
      <c r="BO31" s="11"/>
      <c r="BP31" s="11"/>
      <c r="BQ31" s="11"/>
      <c r="BR31" s="11"/>
      <c r="BS31" s="11"/>
      <c r="BT31" s="11"/>
      <c r="BU31" s="11"/>
      <c r="BV31" s="11"/>
      <c r="BW31" s="11"/>
      <c r="BX31" s="11"/>
      <c r="BY31" s="11"/>
      <c r="BZ31" s="11"/>
      <c r="CA31" s="11"/>
      <c r="CB31" s="11"/>
      <c r="CC31" s="11"/>
      <c r="CD31" s="28" t="s">
        <v>601</v>
      </c>
      <c r="CE31" s="32"/>
      <c r="CF31" s="33"/>
      <c r="CG31" s="33"/>
      <c r="CH31" s="33"/>
      <c r="CI31" s="33"/>
      <c r="CJ31" s="33"/>
      <c r="CK31" s="33"/>
      <c r="CL31" s="33"/>
      <c r="CM31" s="33"/>
      <c r="CN31" s="33"/>
      <c r="CO31" s="33"/>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c r="EJ31" s="34"/>
      <c r="EK31" s="34"/>
      <c r="EL31" s="34"/>
      <c r="EM31" s="34"/>
      <c r="EN31" s="34"/>
      <c r="EO31" s="34"/>
      <c r="EP31" s="34"/>
      <c r="EQ31" s="34"/>
      <c r="ER31" s="34"/>
      <c r="ES31" s="34"/>
      <c r="ET31" s="34"/>
      <c r="EU31" s="34"/>
      <c r="EV31" s="34"/>
      <c r="EW31" s="34"/>
      <c r="EX31" s="34"/>
      <c r="EY31" s="34"/>
      <c r="EZ31" s="34"/>
      <c r="FA31" s="34"/>
      <c r="FB31" s="34"/>
      <c r="FC31" s="34"/>
      <c r="FD31" s="34"/>
      <c r="FE31" s="34"/>
      <c r="FF31" s="34"/>
      <c r="FG31" s="34"/>
      <c r="FH31" s="34"/>
      <c r="FI31" s="34"/>
      <c r="FJ31" s="34"/>
      <c r="FK31" s="34"/>
      <c r="FL31" s="34"/>
      <c r="FM31" s="34"/>
      <c r="FN31" s="34"/>
      <c r="FO31" s="34"/>
      <c r="FP31" s="34"/>
      <c r="FQ31" s="34"/>
      <c r="FR31" s="34"/>
      <c r="FS31" s="34"/>
      <c r="FT31" s="34"/>
      <c r="FU31" s="34"/>
      <c r="FV31" s="34"/>
      <c r="FW31" s="34"/>
      <c r="FX31" s="34"/>
      <c r="FY31" s="34"/>
      <c r="FZ31" s="34"/>
      <c r="GA31" s="34"/>
      <c r="GB31" s="34"/>
      <c r="GC31" s="34"/>
      <c r="GD31" s="34"/>
      <c r="GE31" s="34"/>
      <c r="GF31" s="34"/>
      <c r="GG31" s="34"/>
      <c r="GH31" s="34"/>
      <c r="GI31" s="34"/>
      <c r="GJ31" s="34"/>
      <c r="GK31" s="34"/>
      <c r="GL31" s="34"/>
      <c r="GM31" s="34"/>
      <c r="GN31" s="34"/>
      <c r="GO31" s="34"/>
      <c r="GP31" s="34"/>
      <c r="GQ31" s="34"/>
      <c r="GR31" s="34"/>
      <c r="GS31" s="34"/>
      <c r="GT31" s="34"/>
      <c r="GU31" s="34"/>
      <c r="GV31" s="34"/>
      <c r="GW31" s="34"/>
      <c r="GX31" s="34"/>
      <c r="GY31" s="34"/>
      <c r="GZ31" s="34"/>
      <c r="HA31" s="34"/>
      <c r="HB31" s="34"/>
    </row>
    <row r="32" spans="1:210" ht="75" customHeight="1">
      <c r="A32" s="11" t="s">
        <v>623</v>
      </c>
      <c r="B32" s="11" t="s">
        <v>585</v>
      </c>
      <c r="C32" s="11">
        <v>3551</v>
      </c>
      <c r="D32" s="11" t="s">
        <v>182</v>
      </c>
      <c r="E32" s="11" t="s">
        <v>624</v>
      </c>
      <c r="F32" s="11" t="s">
        <v>207</v>
      </c>
      <c r="G32" s="12" t="s">
        <v>625</v>
      </c>
      <c r="H32" s="11" t="s">
        <v>186</v>
      </c>
      <c r="I32" s="11" t="s">
        <v>187</v>
      </c>
      <c r="J32" s="11">
        <v>40514537</v>
      </c>
      <c r="K32" s="11" t="s">
        <v>588</v>
      </c>
      <c r="L32" s="11">
        <v>2025</v>
      </c>
      <c r="M32" s="11" t="s">
        <v>189</v>
      </c>
      <c r="N32" s="11"/>
      <c r="O32" s="11"/>
      <c r="P32" s="11"/>
      <c r="Q32" s="11" t="s">
        <v>589</v>
      </c>
      <c r="R32" s="11" t="s">
        <v>590</v>
      </c>
      <c r="S32" s="11"/>
      <c r="T32" s="11" t="s">
        <v>626</v>
      </c>
      <c r="U32" s="11" t="s">
        <v>193</v>
      </c>
      <c r="V32" s="11" t="s">
        <v>194</v>
      </c>
      <c r="W32" s="11" t="s">
        <v>195</v>
      </c>
      <c r="X32" s="11" t="s">
        <v>592</v>
      </c>
      <c r="Y32" s="11"/>
      <c r="Z32" s="11"/>
      <c r="AA32" s="11" t="s">
        <v>593</v>
      </c>
      <c r="AB32" s="11" t="s">
        <v>198</v>
      </c>
      <c r="AC32" s="11" t="s">
        <v>199</v>
      </c>
      <c r="AD32" s="11" t="s">
        <v>200</v>
      </c>
      <c r="AE32" s="11" t="s">
        <v>201</v>
      </c>
      <c r="AF32" s="11" t="s">
        <v>202</v>
      </c>
      <c r="AG32" s="11"/>
      <c r="AH32" s="11" t="s">
        <v>203</v>
      </c>
      <c r="AI32" s="11" t="s">
        <v>204</v>
      </c>
      <c r="AJ32" s="11" t="s">
        <v>184</v>
      </c>
      <c r="AK32" s="11" t="s">
        <v>184</v>
      </c>
      <c r="AL32" s="11" t="s">
        <v>596</v>
      </c>
      <c r="AM32" s="11">
        <v>3</v>
      </c>
      <c r="AN32" s="11" t="s">
        <v>597</v>
      </c>
      <c r="AO32" s="11" t="s">
        <v>627</v>
      </c>
      <c r="AP32" s="31"/>
      <c r="AQ32" s="11" t="s">
        <v>209</v>
      </c>
      <c r="AR32" s="11" t="s">
        <v>210</v>
      </c>
      <c r="AS32" s="11" t="s">
        <v>211</v>
      </c>
      <c r="AT32" s="11" t="s">
        <v>212</v>
      </c>
      <c r="AU32" s="11" t="s">
        <v>264</v>
      </c>
      <c r="AV32" s="11" t="s">
        <v>599</v>
      </c>
      <c r="AW32" s="11" t="s">
        <v>215</v>
      </c>
      <c r="AX32" s="11" t="s">
        <v>216</v>
      </c>
      <c r="AY32" s="11" t="s">
        <v>600</v>
      </c>
      <c r="AZ32" s="11" t="s">
        <v>218</v>
      </c>
      <c r="BA32" s="11" t="s">
        <v>219</v>
      </c>
      <c r="BB32" s="11"/>
      <c r="BC32" s="11"/>
      <c r="BD32" s="11" t="s">
        <v>220</v>
      </c>
      <c r="BE32" s="11" t="s">
        <v>221</v>
      </c>
      <c r="BF32" s="13">
        <v>422</v>
      </c>
      <c r="BG32" s="13">
        <v>43</v>
      </c>
      <c r="BH32" s="11" t="s">
        <v>438</v>
      </c>
      <c r="BI32" s="11" t="s">
        <v>207</v>
      </c>
      <c r="BJ32" s="11" t="s">
        <v>269</v>
      </c>
      <c r="BK32" s="11" t="s">
        <v>207</v>
      </c>
      <c r="BL32" s="11"/>
      <c r="BM32" s="11"/>
      <c r="BN32" s="11"/>
      <c r="BO32" s="11"/>
      <c r="BP32" s="11"/>
      <c r="BQ32" s="11"/>
      <c r="BR32" s="11"/>
      <c r="BS32" s="11"/>
      <c r="BT32" s="11"/>
      <c r="BU32" s="11"/>
      <c r="BV32" s="11"/>
      <c r="BW32" s="11"/>
      <c r="BX32" s="11"/>
      <c r="BY32" s="11"/>
      <c r="BZ32" s="11"/>
      <c r="CA32" s="11"/>
      <c r="CB32" s="11"/>
      <c r="CC32" s="11"/>
      <c r="CD32" s="28" t="s">
        <v>601</v>
      </c>
      <c r="CE32" s="32"/>
      <c r="CF32" s="33"/>
      <c r="CG32" s="33"/>
      <c r="CH32" s="33"/>
      <c r="CI32" s="33"/>
      <c r="CJ32" s="33"/>
      <c r="CK32" s="33"/>
      <c r="CL32" s="33"/>
      <c r="CM32" s="33"/>
      <c r="CN32" s="33"/>
      <c r="CO32" s="33"/>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c r="EJ32" s="34"/>
      <c r="EK32" s="34"/>
      <c r="EL32" s="34"/>
      <c r="EM32" s="34"/>
      <c r="EN32" s="34"/>
      <c r="EO32" s="34"/>
      <c r="EP32" s="34"/>
      <c r="EQ32" s="34"/>
      <c r="ER32" s="34"/>
      <c r="ES32" s="34"/>
      <c r="ET32" s="34"/>
      <c r="EU32" s="34"/>
      <c r="EV32" s="34"/>
      <c r="EW32" s="34"/>
      <c r="EX32" s="34"/>
      <c r="EY32" s="34"/>
      <c r="EZ32" s="34"/>
      <c r="FA32" s="34"/>
      <c r="FB32" s="34"/>
      <c r="FC32" s="34"/>
      <c r="FD32" s="34"/>
      <c r="FE32" s="34"/>
      <c r="FF32" s="34"/>
      <c r="FG32" s="34"/>
      <c r="FH32" s="34"/>
      <c r="FI32" s="34"/>
      <c r="FJ32" s="34"/>
      <c r="FK32" s="34"/>
      <c r="FL32" s="34"/>
      <c r="FM32" s="34"/>
      <c r="FN32" s="34"/>
      <c r="FO32" s="34"/>
      <c r="FP32" s="34"/>
      <c r="FQ32" s="34"/>
      <c r="FR32" s="34"/>
      <c r="FS32" s="34"/>
      <c r="FT32" s="34"/>
      <c r="FU32" s="34"/>
      <c r="FV32" s="34"/>
      <c r="FW32" s="34"/>
      <c r="FX32" s="34"/>
      <c r="FY32" s="34"/>
      <c r="FZ32" s="34"/>
      <c r="GA32" s="34"/>
      <c r="GB32" s="34"/>
      <c r="GC32" s="34"/>
      <c r="GD32" s="34"/>
      <c r="GE32" s="34"/>
      <c r="GF32" s="34"/>
      <c r="GG32" s="34"/>
      <c r="GH32" s="34"/>
      <c r="GI32" s="34"/>
      <c r="GJ32" s="34"/>
      <c r="GK32" s="34"/>
      <c r="GL32" s="34"/>
      <c r="GM32" s="34"/>
      <c r="GN32" s="34"/>
      <c r="GO32" s="34"/>
      <c r="GP32" s="34"/>
      <c r="GQ32" s="34"/>
      <c r="GR32" s="34"/>
      <c r="GS32" s="34"/>
      <c r="GT32" s="34"/>
      <c r="GU32" s="34"/>
      <c r="GV32" s="34"/>
      <c r="GW32" s="34"/>
      <c r="GX32" s="34"/>
      <c r="GY32" s="34"/>
      <c r="GZ32" s="34"/>
      <c r="HA32" s="34"/>
      <c r="HB32" s="34"/>
    </row>
    <row r="33" spans="1:210" ht="75" customHeight="1">
      <c r="A33" s="11" t="s">
        <v>628</v>
      </c>
      <c r="B33" s="11" t="s">
        <v>629</v>
      </c>
      <c r="C33" s="11">
        <v>17997</v>
      </c>
      <c r="D33" s="11" t="s">
        <v>182</v>
      </c>
      <c r="E33" s="11" t="s">
        <v>630</v>
      </c>
      <c r="F33" s="11" t="s">
        <v>184</v>
      </c>
      <c r="G33" s="12" t="s">
        <v>631</v>
      </c>
      <c r="H33" s="11" t="s">
        <v>186</v>
      </c>
      <c r="I33" s="11" t="s">
        <v>187</v>
      </c>
      <c r="J33" s="11">
        <v>39326416</v>
      </c>
      <c r="K33" s="11" t="s">
        <v>632</v>
      </c>
      <c r="L33" s="11">
        <v>2024</v>
      </c>
      <c r="M33" s="11" t="s">
        <v>189</v>
      </c>
      <c r="N33" s="11"/>
      <c r="O33" s="11"/>
      <c r="P33" s="11"/>
      <c r="Q33" s="11" t="s">
        <v>633</v>
      </c>
      <c r="R33" s="11" t="s">
        <v>634</v>
      </c>
      <c r="S33" s="11"/>
      <c r="T33" s="11" t="s">
        <v>635</v>
      </c>
      <c r="U33" s="11" t="s">
        <v>193</v>
      </c>
      <c r="V33" s="11" t="s">
        <v>194</v>
      </c>
      <c r="W33" s="11" t="s">
        <v>195</v>
      </c>
      <c r="X33" s="11" t="s">
        <v>253</v>
      </c>
      <c r="Y33" s="11"/>
      <c r="Z33" s="11"/>
      <c r="AA33" s="11" t="s">
        <v>636</v>
      </c>
      <c r="AB33" s="11" t="s">
        <v>230</v>
      </c>
      <c r="AC33" s="11" t="s">
        <v>199</v>
      </c>
      <c r="AD33" s="11" t="s">
        <v>594</v>
      </c>
      <c r="AE33" s="11" t="s">
        <v>201</v>
      </c>
      <c r="AF33" s="11" t="s">
        <v>202</v>
      </c>
      <c r="AG33" s="11"/>
      <c r="AH33" s="11" t="s">
        <v>637</v>
      </c>
      <c r="AI33" s="11" t="s">
        <v>204</v>
      </c>
      <c r="AJ33" s="11" t="s">
        <v>184</v>
      </c>
      <c r="AK33" s="11" t="s">
        <v>184</v>
      </c>
      <c r="AL33" s="11" t="s">
        <v>638</v>
      </c>
      <c r="AM33" s="11">
        <v>3</v>
      </c>
      <c r="AN33" s="11" t="s">
        <v>639</v>
      </c>
      <c r="AO33" s="11" t="s">
        <v>640</v>
      </c>
      <c r="AP33" s="31"/>
      <c r="AQ33" s="11" t="s">
        <v>209</v>
      </c>
      <c r="AR33" s="11" t="s">
        <v>210</v>
      </c>
      <c r="AS33" s="11" t="s">
        <v>211</v>
      </c>
      <c r="AT33" s="11" t="s">
        <v>212</v>
      </c>
      <c r="AU33" s="11" t="s">
        <v>641</v>
      </c>
      <c r="AV33" s="11" t="s">
        <v>642</v>
      </c>
      <c r="AW33" s="11" t="s">
        <v>643</v>
      </c>
      <c r="AX33" s="11" t="s">
        <v>644</v>
      </c>
      <c r="AY33" s="11"/>
      <c r="AZ33" s="11" t="s">
        <v>218</v>
      </c>
      <c r="BA33" s="11" t="s">
        <v>265</v>
      </c>
      <c r="BB33" s="11"/>
      <c r="BC33" s="11"/>
      <c r="BD33" s="11" t="s">
        <v>220</v>
      </c>
      <c r="BE33" s="11" t="s">
        <v>221</v>
      </c>
      <c r="BF33" s="13">
        <v>1194</v>
      </c>
      <c r="BG33" s="13">
        <v>126</v>
      </c>
      <c r="BH33" s="11" t="s">
        <v>645</v>
      </c>
      <c r="BI33" s="11" t="s">
        <v>207</v>
      </c>
      <c r="BJ33" s="11" t="s">
        <v>221</v>
      </c>
      <c r="BK33" s="11" t="s">
        <v>184</v>
      </c>
      <c r="BL33" s="11" t="s">
        <v>646</v>
      </c>
      <c r="BM33" s="11" t="s">
        <v>647</v>
      </c>
      <c r="BN33" s="11" t="s">
        <v>244</v>
      </c>
      <c r="BO33" s="11" t="s">
        <v>648</v>
      </c>
      <c r="BP33" s="11" t="s">
        <v>649</v>
      </c>
      <c r="BQ33" s="11" t="s">
        <v>225</v>
      </c>
      <c r="BR33" s="11" t="s">
        <v>650</v>
      </c>
      <c r="BS33" s="11" t="s">
        <v>651</v>
      </c>
      <c r="BT33" s="11" t="s">
        <v>225</v>
      </c>
      <c r="BU33" s="11" t="s">
        <v>652</v>
      </c>
      <c r="BV33" s="11" t="s">
        <v>653</v>
      </c>
      <c r="BW33" s="11" t="s">
        <v>225</v>
      </c>
      <c r="BX33" s="11"/>
      <c r="BY33" s="11"/>
      <c r="BZ33" s="11"/>
      <c r="CA33" s="11"/>
      <c r="CB33" s="11"/>
      <c r="CC33" s="11"/>
      <c r="CD33" s="11"/>
      <c r="CE33" s="14"/>
      <c r="CF33" s="15"/>
      <c r="CG33" s="15"/>
      <c r="CH33" s="15"/>
      <c r="CI33" s="15"/>
      <c r="CJ33" s="15"/>
      <c r="CK33" s="15"/>
      <c r="CL33" s="15"/>
      <c r="CM33" s="15"/>
      <c r="CN33" s="15"/>
      <c r="CO33" s="15"/>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row>
    <row r="34" spans="1:210" ht="75" customHeight="1">
      <c r="A34" s="11" t="s">
        <v>654</v>
      </c>
      <c r="B34" s="11" t="s">
        <v>655</v>
      </c>
      <c r="C34" s="11">
        <v>4057</v>
      </c>
      <c r="D34" s="11" t="s">
        <v>489</v>
      </c>
      <c r="E34" s="11" t="s">
        <v>656</v>
      </c>
      <c r="F34" s="11" t="s">
        <v>207</v>
      </c>
      <c r="G34" s="12" t="s">
        <v>657</v>
      </c>
      <c r="H34" s="11" t="s">
        <v>186</v>
      </c>
      <c r="I34" s="11" t="s">
        <v>187</v>
      </c>
      <c r="J34" s="11">
        <v>40832240</v>
      </c>
      <c r="K34" s="11" t="s">
        <v>383</v>
      </c>
      <c r="L34" s="11">
        <v>2026</v>
      </c>
      <c r="M34" s="11" t="s">
        <v>189</v>
      </c>
      <c r="N34" s="11"/>
      <c r="O34" s="11"/>
      <c r="P34" s="11"/>
      <c r="Q34" s="11" t="s">
        <v>658</v>
      </c>
      <c r="R34" s="11" t="s">
        <v>659</v>
      </c>
      <c r="S34" s="11"/>
      <c r="T34" s="11" t="s">
        <v>660</v>
      </c>
      <c r="U34" s="11" t="s">
        <v>193</v>
      </c>
      <c r="V34" s="11" t="s">
        <v>194</v>
      </c>
      <c r="W34" s="11" t="s">
        <v>195</v>
      </c>
      <c r="X34" s="11" t="s">
        <v>196</v>
      </c>
      <c r="Y34" s="11"/>
      <c r="Z34" s="11"/>
      <c r="AA34" s="11" t="s">
        <v>661</v>
      </c>
      <c r="AB34" s="11" t="s">
        <v>198</v>
      </c>
      <c r="AC34" s="11" t="s">
        <v>199</v>
      </c>
      <c r="AD34" s="11" t="s">
        <v>200</v>
      </c>
      <c r="AE34" s="11" t="s">
        <v>201</v>
      </c>
      <c r="AF34" s="11" t="s">
        <v>202</v>
      </c>
      <c r="AG34" s="11"/>
      <c r="AH34" s="11" t="s">
        <v>203</v>
      </c>
      <c r="AI34" s="11" t="s">
        <v>204</v>
      </c>
      <c r="AJ34" s="11" t="s">
        <v>184</v>
      </c>
      <c r="AK34" s="11" t="s">
        <v>184</v>
      </c>
      <c r="AL34" s="11" t="s">
        <v>662</v>
      </c>
      <c r="AM34" s="11">
        <v>3</v>
      </c>
      <c r="AN34" s="11" t="s">
        <v>663</v>
      </c>
      <c r="AO34" s="11" t="s">
        <v>664</v>
      </c>
      <c r="AP34" s="31"/>
      <c r="AQ34" s="11" t="s">
        <v>209</v>
      </c>
      <c r="AR34" s="11" t="s">
        <v>210</v>
      </c>
      <c r="AS34" s="11" t="s">
        <v>211</v>
      </c>
      <c r="AT34" s="11" t="s">
        <v>212</v>
      </c>
      <c r="AU34" s="35" t="s">
        <v>213</v>
      </c>
      <c r="AV34" s="11" t="s">
        <v>665</v>
      </c>
      <c r="AW34" s="11" t="s">
        <v>215</v>
      </c>
      <c r="AX34" s="11" t="s">
        <v>666</v>
      </c>
      <c r="AY34" s="11" t="s">
        <v>667</v>
      </c>
      <c r="AZ34" s="11" t="s">
        <v>218</v>
      </c>
      <c r="BA34" s="11" t="s">
        <v>219</v>
      </c>
      <c r="BB34" s="11"/>
      <c r="BC34" s="11"/>
      <c r="BD34" s="11" t="s">
        <v>220</v>
      </c>
      <c r="BE34" s="11"/>
      <c r="BF34" s="13">
        <v>469</v>
      </c>
      <c r="BG34" s="13">
        <v>501</v>
      </c>
      <c r="BH34" s="11" t="s">
        <v>668</v>
      </c>
      <c r="BI34" s="11" t="s">
        <v>207</v>
      </c>
      <c r="BJ34" s="11" t="s">
        <v>269</v>
      </c>
      <c r="BK34" s="11" t="s">
        <v>184</v>
      </c>
      <c r="BL34" s="11"/>
      <c r="BM34" s="11"/>
      <c r="BN34" s="11"/>
      <c r="BO34" s="11"/>
      <c r="BP34" s="11"/>
      <c r="BQ34" s="11"/>
      <c r="BR34" s="11"/>
      <c r="BS34" s="11"/>
      <c r="BT34" s="11"/>
      <c r="BU34" s="11"/>
      <c r="BV34" s="11"/>
      <c r="BW34" s="11"/>
      <c r="BX34" s="11"/>
      <c r="BY34" s="11"/>
      <c r="BZ34" s="11"/>
      <c r="CA34" s="11"/>
      <c r="CB34" s="11"/>
      <c r="CC34" s="11"/>
      <c r="CD34" s="11"/>
      <c r="CE34" s="14"/>
      <c r="CF34" s="15"/>
      <c r="CG34" s="15"/>
      <c r="CH34" s="15"/>
      <c r="CI34" s="15"/>
      <c r="CJ34" s="15"/>
      <c r="CK34" s="15"/>
      <c r="CL34" s="15"/>
      <c r="CM34" s="15"/>
      <c r="CN34" s="15"/>
      <c r="CO34" s="15"/>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row>
    <row r="35" spans="1:210" ht="75" customHeight="1">
      <c r="A35" s="11" t="s">
        <v>669</v>
      </c>
      <c r="B35" s="11" t="s">
        <v>670</v>
      </c>
      <c r="C35" s="11">
        <v>4195</v>
      </c>
      <c r="D35" s="11" t="s">
        <v>489</v>
      </c>
      <c r="E35" s="11" t="s">
        <v>671</v>
      </c>
      <c r="F35" s="11" t="s">
        <v>184</v>
      </c>
      <c r="G35" s="12" t="s">
        <v>672</v>
      </c>
      <c r="H35" s="11" t="s">
        <v>186</v>
      </c>
      <c r="I35" s="11" t="s">
        <v>187</v>
      </c>
      <c r="J35" s="11">
        <v>37101203</v>
      </c>
      <c r="K35" s="11" t="s">
        <v>673</v>
      </c>
      <c r="L35" s="11">
        <v>2023</v>
      </c>
      <c r="M35" s="11" t="s">
        <v>189</v>
      </c>
      <c r="N35" s="11"/>
      <c r="O35" s="11"/>
      <c r="P35" s="11" t="s">
        <v>674</v>
      </c>
      <c r="Q35" s="11" t="s">
        <v>674</v>
      </c>
      <c r="R35" s="11" t="s">
        <v>675</v>
      </c>
      <c r="S35" s="11"/>
      <c r="T35" s="11" t="s">
        <v>676</v>
      </c>
      <c r="U35" s="11" t="s">
        <v>449</v>
      </c>
      <c r="V35" s="11" t="s">
        <v>450</v>
      </c>
      <c r="W35" s="11" t="s">
        <v>451</v>
      </c>
      <c r="X35" s="11"/>
      <c r="Y35" s="11" t="s">
        <v>677</v>
      </c>
      <c r="Z35" s="11" t="s">
        <v>678</v>
      </c>
      <c r="AA35" s="11" t="s">
        <v>679</v>
      </c>
      <c r="AB35" s="11" t="s">
        <v>230</v>
      </c>
      <c r="AC35" s="11" t="s">
        <v>231</v>
      </c>
      <c r="AD35" s="11" t="s">
        <v>454</v>
      </c>
      <c r="AE35" s="11" t="s">
        <v>233</v>
      </c>
      <c r="AF35" s="11" t="s">
        <v>680</v>
      </c>
      <c r="AG35" s="11" t="s">
        <v>681</v>
      </c>
      <c r="AH35" s="11" t="s">
        <v>682</v>
      </c>
      <c r="AI35" s="11" t="s">
        <v>683</v>
      </c>
      <c r="AJ35" s="11" t="s">
        <v>184</v>
      </c>
      <c r="AK35" s="11" t="s">
        <v>184</v>
      </c>
      <c r="AL35" s="11" t="s">
        <v>684</v>
      </c>
      <c r="AM35" s="11">
        <v>2</v>
      </c>
      <c r="AN35" s="11" t="s">
        <v>685</v>
      </c>
      <c r="AO35" s="11" t="s">
        <v>686</v>
      </c>
      <c r="AP35" s="31"/>
      <c r="AQ35" s="11" t="s">
        <v>209</v>
      </c>
      <c r="AR35" s="11" t="s">
        <v>210</v>
      </c>
      <c r="AS35" s="11" t="s">
        <v>211</v>
      </c>
      <c r="AT35" s="11" t="s">
        <v>212</v>
      </c>
      <c r="AU35" s="11" t="s">
        <v>302</v>
      </c>
      <c r="AV35" s="11" t="s">
        <v>687</v>
      </c>
      <c r="AW35" s="11" t="s">
        <v>355</v>
      </c>
      <c r="AX35" s="11" t="s">
        <v>505</v>
      </c>
      <c r="AY35" s="11"/>
      <c r="AZ35" s="11" t="s">
        <v>218</v>
      </c>
      <c r="BA35" s="11" t="s">
        <v>265</v>
      </c>
      <c r="BB35" s="11"/>
      <c r="BC35" s="11"/>
      <c r="BD35" s="11" t="s">
        <v>220</v>
      </c>
      <c r="BE35" s="11" t="s">
        <v>221</v>
      </c>
      <c r="BF35" s="13">
        <v>347</v>
      </c>
      <c r="BG35" s="13">
        <v>428</v>
      </c>
      <c r="BH35" s="11" t="s">
        <v>403</v>
      </c>
      <c r="BI35" s="11" t="s">
        <v>184</v>
      </c>
      <c r="BJ35" s="11" t="s">
        <v>221</v>
      </c>
      <c r="BK35" s="11" t="s">
        <v>184</v>
      </c>
      <c r="BL35" s="11" t="s">
        <v>688</v>
      </c>
      <c r="BM35" s="11" t="s">
        <v>689</v>
      </c>
      <c r="BN35" s="11" t="s">
        <v>225</v>
      </c>
      <c r="BO35" s="11" t="s">
        <v>690</v>
      </c>
      <c r="BP35" s="11" t="s">
        <v>691</v>
      </c>
      <c r="BQ35" s="11" t="s">
        <v>310</v>
      </c>
      <c r="BR35" s="11" t="s">
        <v>692</v>
      </c>
      <c r="BS35" s="11" t="s">
        <v>693</v>
      </c>
      <c r="BT35" s="11" t="s">
        <v>244</v>
      </c>
      <c r="BU35" s="11"/>
      <c r="BV35" s="11"/>
      <c r="BW35" s="11"/>
      <c r="BX35" s="11"/>
      <c r="BY35" s="11"/>
      <c r="BZ35" s="11"/>
      <c r="CA35" s="11"/>
      <c r="CB35" s="11"/>
      <c r="CC35" s="11"/>
      <c r="CD35" s="11"/>
      <c r="CE35" s="14"/>
      <c r="CF35" s="15"/>
      <c r="CG35" s="15"/>
      <c r="CH35" s="15"/>
      <c r="CI35" s="15"/>
      <c r="CJ35" s="15"/>
      <c r="CK35" s="15"/>
      <c r="CL35" s="15"/>
      <c r="CM35" s="15"/>
      <c r="CN35" s="15"/>
      <c r="CO35" s="15"/>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row>
    <row r="36" spans="1:210" ht="75" customHeight="1">
      <c r="A36" s="11" t="s">
        <v>694</v>
      </c>
      <c r="B36" s="11" t="s">
        <v>670</v>
      </c>
      <c r="C36" s="11">
        <v>4195</v>
      </c>
      <c r="D36" s="11" t="s">
        <v>489</v>
      </c>
      <c r="E36" s="11" t="s">
        <v>695</v>
      </c>
      <c r="F36" s="11" t="s">
        <v>184</v>
      </c>
      <c r="G36" s="12" t="s">
        <v>696</v>
      </c>
      <c r="H36" s="11" t="s">
        <v>186</v>
      </c>
      <c r="I36" s="11" t="s">
        <v>187</v>
      </c>
      <c r="J36" s="11">
        <v>38627865</v>
      </c>
      <c r="K36" s="11" t="s">
        <v>673</v>
      </c>
      <c r="L36" s="11">
        <v>2024</v>
      </c>
      <c r="M36" s="11" t="s">
        <v>189</v>
      </c>
      <c r="N36" s="11"/>
      <c r="O36" s="11"/>
      <c r="P36" s="11" t="s">
        <v>674</v>
      </c>
      <c r="Q36" s="11" t="s">
        <v>674</v>
      </c>
      <c r="R36" s="11" t="s">
        <v>675</v>
      </c>
      <c r="S36" s="11"/>
      <c r="T36" s="11" t="s">
        <v>697</v>
      </c>
      <c r="U36" s="11" t="s">
        <v>449</v>
      </c>
      <c r="V36" s="11" t="s">
        <v>450</v>
      </c>
      <c r="W36" s="11" t="s">
        <v>451</v>
      </c>
      <c r="X36" s="11"/>
      <c r="Y36" s="11" t="s">
        <v>677</v>
      </c>
      <c r="Z36" s="11" t="s">
        <v>678</v>
      </c>
      <c r="AA36" s="11" t="s">
        <v>679</v>
      </c>
      <c r="AB36" s="11" t="s">
        <v>230</v>
      </c>
      <c r="AC36" s="11" t="s">
        <v>199</v>
      </c>
      <c r="AD36" s="11" t="s">
        <v>200</v>
      </c>
      <c r="AE36" s="11" t="s">
        <v>201</v>
      </c>
      <c r="AF36" s="11" t="s">
        <v>202</v>
      </c>
      <c r="AG36" s="11"/>
      <c r="AH36" s="11" t="s">
        <v>203</v>
      </c>
      <c r="AI36" s="11" t="s">
        <v>204</v>
      </c>
      <c r="AJ36" s="11" t="s">
        <v>184</v>
      </c>
      <c r="AK36" s="11" t="s">
        <v>184</v>
      </c>
      <c r="AL36" s="11" t="s">
        <v>698</v>
      </c>
      <c r="AM36" s="11">
        <v>2</v>
      </c>
      <c r="AN36" s="11" t="s">
        <v>699</v>
      </c>
      <c r="AO36" s="11" t="s">
        <v>686</v>
      </c>
      <c r="AP36" s="31"/>
      <c r="AQ36" s="11" t="s">
        <v>209</v>
      </c>
      <c r="AR36" s="11" t="s">
        <v>210</v>
      </c>
      <c r="AS36" s="11" t="s">
        <v>211</v>
      </c>
      <c r="AT36" s="11" t="s">
        <v>212</v>
      </c>
      <c r="AU36" s="11" t="s">
        <v>302</v>
      </c>
      <c r="AV36" s="11" t="s">
        <v>687</v>
      </c>
      <c r="AW36" s="11" t="s">
        <v>355</v>
      </c>
      <c r="AX36" s="11" t="s">
        <v>505</v>
      </c>
      <c r="AY36" s="11"/>
      <c r="AZ36" s="11" t="s">
        <v>218</v>
      </c>
      <c r="BA36" s="11" t="s">
        <v>265</v>
      </c>
      <c r="BB36" s="11"/>
      <c r="BC36" s="11"/>
      <c r="BD36" s="11" t="s">
        <v>220</v>
      </c>
      <c r="BE36" s="11" t="s">
        <v>207</v>
      </c>
      <c r="BF36" s="13">
        <v>365</v>
      </c>
      <c r="BG36" s="13">
        <v>421</v>
      </c>
      <c r="BH36" s="11" t="s">
        <v>700</v>
      </c>
      <c r="BI36" s="11" t="s">
        <v>184</v>
      </c>
      <c r="BJ36" s="11" t="s">
        <v>221</v>
      </c>
      <c r="BK36" s="11" t="s">
        <v>184</v>
      </c>
      <c r="BL36" s="11" t="s">
        <v>701</v>
      </c>
      <c r="BM36" s="11" t="s">
        <v>702</v>
      </c>
      <c r="BN36" s="11" t="s">
        <v>225</v>
      </c>
      <c r="BO36" s="11"/>
      <c r="BP36" s="11"/>
      <c r="BQ36" s="11"/>
      <c r="BR36" s="11"/>
      <c r="BS36" s="11"/>
      <c r="BT36" s="11"/>
      <c r="BU36" s="11"/>
      <c r="BV36" s="11"/>
      <c r="BW36" s="11"/>
      <c r="BX36" s="11"/>
      <c r="BY36" s="11"/>
      <c r="BZ36" s="11"/>
      <c r="CA36" s="11"/>
      <c r="CB36" s="11"/>
      <c r="CC36" s="11"/>
      <c r="CD36" s="11"/>
      <c r="CE36" s="14"/>
      <c r="CF36" s="15"/>
      <c r="CG36" s="15"/>
      <c r="CH36" s="15"/>
      <c r="CI36" s="15"/>
      <c r="CJ36" s="15"/>
      <c r="CK36" s="15"/>
      <c r="CL36" s="15"/>
      <c r="CM36" s="15"/>
      <c r="CN36" s="15"/>
      <c r="CO36" s="15"/>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row>
    <row r="37" spans="1:210" ht="75" customHeight="1">
      <c r="A37" s="11" t="s">
        <v>703</v>
      </c>
      <c r="B37" s="11" t="s">
        <v>704</v>
      </c>
      <c r="C37" s="11">
        <v>4982</v>
      </c>
      <c r="D37" s="11" t="s">
        <v>489</v>
      </c>
      <c r="E37" s="11" t="s">
        <v>705</v>
      </c>
      <c r="F37" s="11" t="s">
        <v>184</v>
      </c>
      <c r="G37" s="12" t="s">
        <v>706</v>
      </c>
      <c r="H37" s="11" t="s">
        <v>186</v>
      </c>
      <c r="I37" s="11" t="s">
        <v>187</v>
      </c>
      <c r="J37" s="11">
        <v>37729906</v>
      </c>
      <c r="K37" s="11" t="s">
        <v>707</v>
      </c>
      <c r="L37" s="11">
        <v>2023</v>
      </c>
      <c r="M37" s="11" t="s">
        <v>408</v>
      </c>
      <c r="N37" s="11" t="s">
        <v>409</v>
      </c>
      <c r="O37" s="11">
        <v>37729906</v>
      </c>
      <c r="P37" s="11" t="s">
        <v>708</v>
      </c>
      <c r="Q37" s="11" t="s">
        <v>709</v>
      </c>
      <c r="R37" s="11" t="s">
        <v>708</v>
      </c>
      <c r="S37" s="11"/>
      <c r="T37" s="11" t="s">
        <v>710</v>
      </c>
      <c r="U37" s="11" t="s">
        <v>449</v>
      </c>
      <c r="V37" s="11" t="s">
        <v>450</v>
      </c>
      <c r="W37" s="11" t="s">
        <v>451</v>
      </c>
      <c r="X37" s="11"/>
      <c r="Y37" s="11" t="s">
        <v>310</v>
      </c>
      <c r="Z37" s="11" t="s">
        <v>711</v>
      </c>
      <c r="AA37" s="11" t="s">
        <v>712</v>
      </c>
      <c r="AB37" s="11" t="s">
        <v>230</v>
      </c>
      <c r="AC37" s="11" t="s">
        <v>231</v>
      </c>
      <c r="AD37" s="11" t="s">
        <v>454</v>
      </c>
      <c r="AE37" s="11" t="s">
        <v>233</v>
      </c>
      <c r="AF37" s="11" t="s">
        <v>455</v>
      </c>
      <c r="AG37" s="11"/>
      <c r="AH37" s="11" t="s">
        <v>713</v>
      </c>
      <c r="AI37" s="11" t="s">
        <v>204</v>
      </c>
      <c r="AJ37" s="11" t="s">
        <v>184</v>
      </c>
      <c r="AK37" s="11" t="s">
        <v>184</v>
      </c>
      <c r="AL37" s="11" t="s">
        <v>714</v>
      </c>
      <c r="AM37" s="11"/>
      <c r="AN37" s="11"/>
      <c r="AO37" s="11"/>
      <c r="AP37" s="31"/>
      <c r="AQ37" s="11" t="s">
        <v>414</v>
      </c>
      <c r="AR37" s="11" t="s">
        <v>210</v>
      </c>
      <c r="AS37" s="11" t="s">
        <v>211</v>
      </c>
      <c r="AT37" s="11" t="s">
        <v>212</v>
      </c>
      <c r="AU37" s="11" t="s">
        <v>302</v>
      </c>
      <c r="AV37" s="11"/>
      <c r="AW37" s="11" t="s">
        <v>355</v>
      </c>
      <c r="AX37" s="11" t="s">
        <v>505</v>
      </c>
      <c r="AY37" s="11"/>
      <c r="AZ37" s="11" t="s">
        <v>218</v>
      </c>
      <c r="BA37" s="11" t="s">
        <v>265</v>
      </c>
      <c r="BB37" s="11"/>
      <c r="BC37" s="11"/>
      <c r="BD37" s="11" t="s">
        <v>622</v>
      </c>
      <c r="BE37" s="11" t="s">
        <v>221</v>
      </c>
      <c r="BF37" s="13">
        <v>287</v>
      </c>
      <c r="BG37" s="13">
        <v>313</v>
      </c>
      <c r="BH37" s="11"/>
      <c r="BI37" s="11" t="s">
        <v>184</v>
      </c>
      <c r="BJ37" s="11" t="s">
        <v>269</v>
      </c>
      <c r="BK37" s="11" t="s">
        <v>184</v>
      </c>
      <c r="BL37" s="11"/>
      <c r="BM37" s="11"/>
      <c r="BN37" s="11"/>
      <c r="BO37" s="11"/>
      <c r="BP37" s="11"/>
      <c r="BQ37" s="11"/>
      <c r="BR37" s="11"/>
      <c r="BS37" s="11"/>
      <c r="BT37" s="11"/>
      <c r="BU37" s="11"/>
      <c r="BV37" s="11"/>
      <c r="BW37" s="11"/>
      <c r="BX37" s="11"/>
      <c r="BY37" s="11"/>
      <c r="BZ37" s="11"/>
      <c r="CA37" s="11"/>
      <c r="CB37" s="11"/>
      <c r="CC37" s="11"/>
      <c r="CD37" s="11"/>
      <c r="CE37" s="14"/>
      <c r="CF37" s="15"/>
      <c r="CG37" s="15"/>
      <c r="CH37" s="15"/>
      <c r="CI37" s="15"/>
      <c r="CJ37" s="15"/>
      <c r="CK37" s="15"/>
      <c r="CL37" s="15"/>
      <c r="CM37" s="15"/>
      <c r="CN37" s="15"/>
      <c r="CO37" s="15"/>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row>
    <row r="38" spans="1:210" ht="75" customHeight="1">
      <c r="A38" s="11" t="s">
        <v>715</v>
      </c>
      <c r="B38" s="11" t="s">
        <v>704</v>
      </c>
      <c r="C38" s="11">
        <v>4982</v>
      </c>
      <c r="D38" s="11" t="s">
        <v>489</v>
      </c>
      <c r="E38" s="11" t="s">
        <v>716</v>
      </c>
      <c r="F38" s="11" t="s">
        <v>184</v>
      </c>
      <c r="G38" s="12" t="s">
        <v>717</v>
      </c>
      <c r="H38" s="11" t="s">
        <v>186</v>
      </c>
      <c r="I38" s="11" t="s">
        <v>187</v>
      </c>
      <c r="J38" s="11">
        <v>37729906</v>
      </c>
      <c r="K38" s="11" t="s">
        <v>707</v>
      </c>
      <c r="L38" s="11">
        <v>2023</v>
      </c>
      <c r="M38" s="11" t="s">
        <v>189</v>
      </c>
      <c r="N38" s="11"/>
      <c r="O38" s="11"/>
      <c r="P38" s="11" t="s">
        <v>708</v>
      </c>
      <c r="Q38" s="11" t="s">
        <v>709</v>
      </c>
      <c r="R38" s="11" t="s">
        <v>708</v>
      </c>
      <c r="S38" s="11"/>
      <c r="T38" s="11" t="s">
        <v>718</v>
      </c>
      <c r="U38" s="11" t="s">
        <v>449</v>
      </c>
      <c r="V38" s="11" t="s">
        <v>450</v>
      </c>
      <c r="W38" s="11" t="s">
        <v>451</v>
      </c>
      <c r="X38" s="11"/>
      <c r="Y38" s="11" t="s">
        <v>310</v>
      </c>
      <c r="Z38" s="11" t="s">
        <v>711</v>
      </c>
      <c r="AA38" s="11" t="s">
        <v>712</v>
      </c>
      <c r="AB38" s="11" t="s">
        <v>230</v>
      </c>
      <c r="AC38" s="11" t="s">
        <v>231</v>
      </c>
      <c r="AD38" s="11" t="s">
        <v>454</v>
      </c>
      <c r="AE38" s="11" t="s">
        <v>233</v>
      </c>
      <c r="AF38" s="11" t="s">
        <v>455</v>
      </c>
      <c r="AG38" s="11"/>
      <c r="AH38" s="11" t="s">
        <v>713</v>
      </c>
      <c r="AI38" s="11" t="s">
        <v>204</v>
      </c>
      <c r="AJ38" s="11" t="s">
        <v>184</v>
      </c>
      <c r="AK38" s="11" t="s">
        <v>184</v>
      </c>
      <c r="AL38" s="11" t="s">
        <v>719</v>
      </c>
      <c r="AM38" s="11">
        <v>2</v>
      </c>
      <c r="AN38" s="11" t="s">
        <v>720</v>
      </c>
      <c r="AO38" s="11" t="s">
        <v>686</v>
      </c>
      <c r="AP38" s="31"/>
      <c r="AQ38" s="11" t="s">
        <v>209</v>
      </c>
      <c r="AR38" s="11" t="s">
        <v>210</v>
      </c>
      <c r="AS38" s="11" t="s">
        <v>211</v>
      </c>
      <c r="AT38" s="11" t="s">
        <v>212</v>
      </c>
      <c r="AU38" s="11" t="s">
        <v>302</v>
      </c>
      <c r="AV38" s="11"/>
      <c r="AW38" s="11" t="s">
        <v>355</v>
      </c>
      <c r="AX38" s="11" t="s">
        <v>505</v>
      </c>
      <c r="AY38" s="11"/>
      <c r="AZ38" s="11" t="s">
        <v>218</v>
      </c>
      <c r="BA38" s="11" t="s">
        <v>265</v>
      </c>
      <c r="BB38" s="11"/>
      <c r="BC38" s="11"/>
      <c r="BD38" s="11" t="s">
        <v>220</v>
      </c>
      <c r="BE38" s="11" t="s">
        <v>221</v>
      </c>
      <c r="BF38" s="13">
        <v>278</v>
      </c>
      <c r="BG38" s="13">
        <v>305</v>
      </c>
      <c r="BH38" s="11" t="s">
        <v>721</v>
      </c>
      <c r="BI38" s="11" t="s">
        <v>184</v>
      </c>
      <c r="BJ38" s="11" t="s">
        <v>269</v>
      </c>
      <c r="BK38" s="11" t="s">
        <v>184</v>
      </c>
      <c r="BL38" s="11"/>
      <c r="BM38" s="11"/>
      <c r="BN38" s="11"/>
      <c r="BO38" s="11"/>
      <c r="BP38" s="11"/>
      <c r="BQ38" s="11"/>
      <c r="BR38" s="11"/>
      <c r="BS38" s="11"/>
      <c r="BT38" s="11"/>
      <c r="BU38" s="11"/>
      <c r="BV38" s="11"/>
      <c r="BW38" s="11"/>
      <c r="BX38" s="11"/>
      <c r="BY38" s="11"/>
      <c r="BZ38" s="11"/>
      <c r="CA38" s="11"/>
      <c r="CB38" s="11"/>
      <c r="CC38" s="11"/>
      <c r="CD38" s="11"/>
      <c r="CE38" s="14"/>
      <c r="CF38" s="15"/>
      <c r="CG38" s="15"/>
      <c r="CH38" s="15"/>
      <c r="CI38" s="15"/>
      <c r="CJ38" s="15"/>
      <c r="CK38" s="15"/>
      <c r="CL38" s="15"/>
      <c r="CM38" s="15"/>
      <c r="CN38" s="15"/>
      <c r="CO38" s="15"/>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row>
    <row r="39" spans="1:210" ht="75" customHeight="1">
      <c r="A39" s="11" t="s">
        <v>722</v>
      </c>
      <c r="B39" s="11" t="s">
        <v>704</v>
      </c>
      <c r="C39" s="11">
        <v>4982</v>
      </c>
      <c r="D39" s="11" t="s">
        <v>489</v>
      </c>
      <c r="E39" s="11" t="s">
        <v>723</v>
      </c>
      <c r="F39" s="11" t="s">
        <v>184</v>
      </c>
      <c r="G39" s="12" t="s">
        <v>724</v>
      </c>
      <c r="H39" s="11" t="s">
        <v>186</v>
      </c>
      <c r="I39" s="11" t="s">
        <v>187</v>
      </c>
      <c r="J39" s="11">
        <v>37729906</v>
      </c>
      <c r="K39" s="11" t="s">
        <v>707</v>
      </c>
      <c r="L39" s="11">
        <v>2023</v>
      </c>
      <c r="M39" s="11" t="s">
        <v>189</v>
      </c>
      <c r="N39" s="11"/>
      <c r="O39" s="11"/>
      <c r="P39" s="11" t="s">
        <v>708</v>
      </c>
      <c r="Q39" s="11" t="s">
        <v>709</v>
      </c>
      <c r="R39" s="11" t="s">
        <v>708</v>
      </c>
      <c r="S39" s="11"/>
      <c r="T39" s="11" t="s">
        <v>725</v>
      </c>
      <c r="U39" s="11" t="s">
        <v>449</v>
      </c>
      <c r="V39" s="11" t="s">
        <v>450</v>
      </c>
      <c r="W39" s="11" t="s">
        <v>451</v>
      </c>
      <c r="X39" s="11"/>
      <c r="Y39" s="11" t="s">
        <v>310</v>
      </c>
      <c r="Z39" s="11" t="s">
        <v>711</v>
      </c>
      <c r="AA39" s="11" t="s">
        <v>712</v>
      </c>
      <c r="AB39" s="11" t="s">
        <v>230</v>
      </c>
      <c r="AC39" s="11" t="s">
        <v>231</v>
      </c>
      <c r="AD39" s="11" t="s">
        <v>454</v>
      </c>
      <c r="AE39" s="11" t="s">
        <v>233</v>
      </c>
      <c r="AF39" s="11" t="s">
        <v>455</v>
      </c>
      <c r="AG39" s="11"/>
      <c r="AH39" s="11" t="s">
        <v>713</v>
      </c>
      <c r="AI39" s="11" t="s">
        <v>204</v>
      </c>
      <c r="AJ39" s="11" t="s">
        <v>184</v>
      </c>
      <c r="AK39" s="11" t="s">
        <v>184</v>
      </c>
      <c r="AL39" s="11" t="s">
        <v>719</v>
      </c>
      <c r="AM39" s="11">
        <v>2</v>
      </c>
      <c r="AN39" s="11" t="s">
        <v>720</v>
      </c>
      <c r="AO39" s="11" t="s">
        <v>686</v>
      </c>
      <c r="AP39" s="31"/>
      <c r="AQ39" s="11" t="s">
        <v>209</v>
      </c>
      <c r="AR39" s="11" t="s">
        <v>210</v>
      </c>
      <c r="AS39" s="11" t="s">
        <v>211</v>
      </c>
      <c r="AT39" s="11" t="s">
        <v>212</v>
      </c>
      <c r="AU39" s="11" t="s">
        <v>302</v>
      </c>
      <c r="AV39" s="11"/>
      <c r="AW39" s="11" t="s">
        <v>355</v>
      </c>
      <c r="AX39" s="11" t="s">
        <v>505</v>
      </c>
      <c r="AY39" s="11"/>
      <c r="AZ39" s="11" t="s">
        <v>218</v>
      </c>
      <c r="BA39" s="11" t="s">
        <v>265</v>
      </c>
      <c r="BB39" s="11"/>
      <c r="BC39" s="11"/>
      <c r="BD39" s="11" t="s">
        <v>220</v>
      </c>
      <c r="BE39" s="11" t="s">
        <v>221</v>
      </c>
      <c r="BF39" s="13">
        <v>268</v>
      </c>
      <c r="BG39" s="13">
        <v>288</v>
      </c>
      <c r="BH39" s="11" t="s">
        <v>721</v>
      </c>
      <c r="BI39" s="11" t="s">
        <v>184</v>
      </c>
      <c r="BJ39" s="11" t="s">
        <v>269</v>
      </c>
      <c r="BK39" s="11" t="s">
        <v>184</v>
      </c>
      <c r="BL39" s="11"/>
      <c r="BM39" s="11"/>
      <c r="BN39" s="11"/>
      <c r="BO39" s="11"/>
      <c r="BP39" s="11"/>
      <c r="BQ39" s="11"/>
      <c r="BR39" s="11"/>
      <c r="BS39" s="11"/>
      <c r="BT39" s="11"/>
      <c r="BU39" s="11"/>
      <c r="BV39" s="11"/>
      <c r="BW39" s="11"/>
      <c r="BX39" s="11"/>
      <c r="BY39" s="11"/>
      <c r="BZ39" s="11"/>
      <c r="CA39" s="11"/>
      <c r="CB39" s="11"/>
      <c r="CC39" s="11"/>
      <c r="CD39" s="11"/>
      <c r="CE39" s="14"/>
      <c r="CF39" s="15"/>
      <c r="CG39" s="15"/>
      <c r="CH39" s="15"/>
      <c r="CI39" s="15"/>
      <c r="CJ39" s="15"/>
      <c r="CK39" s="15"/>
      <c r="CL39" s="15"/>
      <c r="CM39" s="15"/>
      <c r="CN39" s="15"/>
      <c r="CO39" s="15"/>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row>
    <row r="40" spans="1:210" ht="75" customHeight="1">
      <c r="A40" s="11" t="s">
        <v>726</v>
      </c>
      <c r="B40" s="11" t="s">
        <v>727</v>
      </c>
      <c r="C40" s="11">
        <v>6188</v>
      </c>
      <c r="D40" s="11" t="s">
        <v>182</v>
      </c>
      <c r="E40" s="11" t="s">
        <v>728</v>
      </c>
      <c r="F40" s="11" t="s">
        <v>184</v>
      </c>
      <c r="G40" s="12" t="s">
        <v>729</v>
      </c>
      <c r="H40" s="11" t="s">
        <v>186</v>
      </c>
      <c r="I40" s="11" t="s">
        <v>187</v>
      </c>
      <c r="J40" s="11">
        <v>39043182</v>
      </c>
      <c r="K40" s="11" t="s">
        <v>730</v>
      </c>
      <c r="L40" s="11">
        <v>2024</v>
      </c>
      <c r="M40" s="11" t="s">
        <v>189</v>
      </c>
      <c r="N40" s="11"/>
      <c r="O40" s="11"/>
      <c r="P40" s="11" t="s">
        <v>731</v>
      </c>
      <c r="Q40" s="11" t="s">
        <v>732</v>
      </c>
      <c r="R40" s="11" t="s">
        <v>731</v>
      </c>
      <c r="S40" s="11"/>
      <c r="T40" s="11" t="s">
        <v>733</v>
      </c>
      <c r="U40" s="11" t="s">
        <v>348</v>
      </c>
      <c r="V40" s="11" t="s">
        <v>392</v>
      </c>
      <c r="W40" s="11" t="s">
        <v>195</v>
      </c>
      <c r="X40" s="11" t="s">
        <v>734</v>
      </c>
      <c r="Y40" s="11"/>
      <c r="Z40" s="11"/>
      <c r="AA40" s="11"/>
      <c r="AB40" s="11" t="s">
        <v>230</v>
      </c>
      <c r="AC40" s="11" t="s">
        <v>199</v>
      </c>
      <c r="AD40" s="11" t="s">
        <v>735</v>
      </c>
      <c r="AE40" s="11" t="s">
        <v>201</v>
      </c>
      <c r="AF40" s="11" t="s">
        <v>202</v>
      </c>
      <c r="AG40" s="11"/>
      <c r="AH40" s="11" t="s">
        <v>736</v>
      </c>
      <c r="AI40" s="11" t="s">
        <v>204</v>
      </c>
      <c r="AJ40" s="11" t="s">
        <v>184</v>
      </c>
      <c r="AK40" s="11" t="s">
        <v>184</v>
      </c>
      <c r="AL40" s="11" t="s">
        <v>737</v>
      </c>
      <c r="AM40" s="11">
        <v>7</v>
      </c>
      <c r="AN40" s="11" t="s">
        <v>738</v>
      </c>
      <c r="AO40" s="11" t="s">
        <v>686</v>
      </c>
      <c r="AP40" s="31"/>
      <c r="AQ40" s="11" t="s">
        <v>209</v>
      </c>
      <c r="AR40" s="11" t="s">
        <v>210</v>
      </c>
      <c r="AS40" s="11" t="s">
        <v>374</v>
      </c>
      <c r="AT40" s="11" t="s">
        <v>212</v>
      </c>
      <c r="AU40" s="11" t="s">
        <v>348</v>
      </c>
      <c r="AV40" s="11" t="s">
        <v>561</v>
      </c>
      <c r="AW40" s="11" t="s">
        <v>643</v>
      </c>
      <c r="AX40" s="11" t="s">
        <v>644</v>
      </c>
      <c r="AY40" s="11"/>
      <c r="AZ40" s="11" t="s">
        <v>739</v>
      </c>
      <c r="BA40" s="11" t="s">
        <v>265</v>
      </c>
      <c r="BB40" s="11"/>
      <c r="BC40" s="11"/>
      <c r="BD40" s="11"/>
      <c r="BE40" s="11" t="s">
        <v>221</v>
      </c>
      <c r="BF40" s="13">
        <v>638</v>
      </c>
      <c r="BG40" s="13">
        <v>0</v>
      </c>
      <c r="BH40" s="11" t="s">
        <v>740</v>
      </c>
      <c r="BI40" s="11" t="s">
        <v>207</v>
      </c>
      <c r="BJ40" s="11" t="s">
        <v>479</v>
      </c>
      <c r="BK40" s="11" t="s">
        <v>184</v>
      </c>
      <c r="BL40" s="11"/>
      <c r="BM40" s="11"/>
      <c r="BN40" s="11"/>
      <c r="BO40" s="11"/>
      <c r="BP40" s="11"/>
      <c r="BQ40" s="11"/>
      <c r="BR40" s="11"/>
      <c r="BS40" s="11"/>
      <c r="BT40" s="11"/>
      <c r="BU40" s="11"/>
      <c r="BV40" s="11"/>
      <c r="BW40" s="11"/>
      <c r="BX40" s="11"/>
      <c r="BY40" s="11"/>
      <c r="BZ40" s="11"/>
      <c r="CA40" s="11"/>
      <c r="CB40" s="11"/>
      <c r="CC40" s="11"/>
      <c r="CD40" s="28" t="s">
        <v>741</v>
      </c>
      <c r="CE40" s="32"/>
      <c r="CF40" s="33"/>
      <c r="CG40" s="33"/>
      <c r="CH40" s="33"/>
      <c r="CI40" s="33"/>
      <c r="CJ40" s="33"/>
      <c r="CK40" s="33"/>
      <c r="CL40" s="33"/>
      <c r="CM40" s="33"/>
      <c r="CN40" s="33"/>
      <c r="CO40" s="33"/>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c r="EJ40" s="34"/>
      <c r="EK40" s="34"/>
      <c r="EL40" s="34"/>
      <c r="EM40" s="34"/>
      <c r="EN40" s="34"/>
      <c r="EO40" s="34"/>
      <c r="EP40" s="34"/>
      <c r="EQ40" s="34"/>
      <c r="ER40" s="34"/>
      <c r="ES40" s="34"/>
      <c r="ET40" s="34"/>
      <c r="EU40" s="34"/>
      <c r="EV40" s="34"/>
      <c r="EW40" s="34"/>
      <c r="EX40" s="34"/>
      <c r="EY40" s="34"/>
      <c r="EZ40" s="34"/>
      <c r="FA40" s="34"/>
      <c r="FB40" s="34"/>
      <c r="FC40" s="34"/>
      <c r="FD40" s="34"/>
      <c r="FE40" s="34"/>
      <c r="FF40" s="34"/>
      <c r="FG40" s="34"/>
      <c r="FH40" s="34"/>
      <c r="FI40" s="34"/>
      <c r="FJ40" s="34"/>
      <c r="FK40" s="34"/>
      <c r="FL40" s="34"/>
      <c r="FM40" s="34"/>
      <c r="FN40" s="34"/>
      <c r="FO40" s="34"/>
      <c r="FP40" s="34"/>
      <c r="FQ40" s="34"/>
      <c r="FR40" s="34"/>
      <c r="FS40" s="34"/>
      <c r="FT40" s="34"/>
      <c r="FU40" s="34"/>
      <c r="FV40" s="34"/>
      <c r="FW40" s="34"/>
      <c r="FX40" s="34"/>
      <c r="FY40" s="34"/>
      <c r="FZ40" s="34"/>
      <c r="GA40" s="34"/>
      <c r="GB40" s="34"/>
      <c r="GC40" s="34"/>
      <c r="GD40" s="34"/>
      <c r="GE40" s="34"/>
      <c r="GF40" s="34"/>
      <c r="GG40" s="34"/>
      <c r="GH40" s="34"/>
      <c r="GI40" s="34"/>
      <c r="GJ40" s="34"/>
      <c r="GK40" s="34"/>
      <c r="GL40" s="34"/>
      <c r="GM40" s="34"/>
      <c r="GN40" s="34"/>
      <c r="GO40" s="34"/>
      <c r="GP40" s="34"/>
      <c r="GQ40" s="34"/>
      <c r="GR40" s="34"/>
      <c r="GS40" s="34"/>
      <c r="GT40" s="34"/>
      <c r="GU40" s="34"/>
      <c r="GV40" s="34"/>
      <c r="GW40" s="34"/>
      <c r="GX40" s="34"/>
      <c r="GY40" s="34"/>
      <c r="GZ40" s="34"/>
      <c r="HA40" s="34"/>
      <c r="HB40" s="34"/>
    </row>
    <row r="41" spans="1:210" ht="75" customHeight="1">
      <c r="A41" s="11" t="s">
        <v>742</v>
      </c>
      <c r="B41" s="11" t="s">
        <v>743</v>
      </c>
      <c r="C41" s="11">
        <v>6240</v>
      </c>
      <c r="D41" s="11" t="s">
        <v>442</v>
      </c>
      <c r="E41" s="11" t="s">
        <v>744</v>
      </c>
      <c r="F41" s="11" t="s">
        <v>184</v>
      </c>
      <c r="G41" s="12" t="s">
        <v>745</v>
      </c>
      <c r="H41" s="11" t="s">
        <v>186</v>
      </c>
      <c r="I41" s="11" t="s">
        <v>187</v>
      </c>
      <c r="J41" s="11">
        <v>38816749</v>
      </c>
      <c r="K41" s="11" t="s">
        <v>746</v>
      </c>
      <c r="L41" s="11">
        <v>2024</v>
      </c>
      <c r="M41" s="11" t="s">
        <v>189</v>
      </c>
      <c r="N41" s="11"/>
      <c r="O41" s="11"/>
      <c r="P41" s="11" t="s">
        <v>747</v>
      </c>
      <c r="Q41" s="11" t="s">
        <v>748</v>
      </c>
      <c r="R41" s="11" t="s">
        <v>747</v>
      </c>
      <c r="S41" s="34" t="s">
        <v>749</v>
      </c>
      <c r="T41" s="11" t="s">
        <v>750</v>
      </c>
      <c r="U41" s="11" t="s">
        <v>193</v>
      </c>
      <c r="V41" s="11" t="s">
        <v>194</v>
      </c>
      <c r="W41" s="11" t="s">
        <v>195</v>
      </c>
      <c r="X41" s="11"/>
      <c r="Y41" s="11"/>
      <c r="Z41" s="11"/>
      <c r="AA41" s="11" t="s">
        <v>751</v>
      </c>
      <c r="AB41" s="11" t="s">
        <v>230</v>
      </c>
      <c r="AC41" s="11" t="s">
        <v>231</v>
      </c>
      <c r="AD41" s="11" t="s">
        <v>232</v>
      </c>
      <c r="AE41" s="11" t="s">
        <v>233</v>
      </c>
      <c r="AF41" s="11" t="s">
        <v>234</v>
      </c>
      <c r="AG41" s="11"/>
      <c r="AH41" s="11" t="s">
        <v>752</v>
      </c>
      <c r="AI41" s="11" t="s">
        <v>204</v>
      </c>
      <c r="AJ41" s="11" t="s">
        <v>184</v>
      </c>
      <c r="AK41" s="11" t="s">
        <v>184</v>
      </c>
      <c r="AL41" s="11" t="s">
        <v>753</v>
      </c>
      <c r="AM41" s="11">
        <v>3</v>
      </c>
      <c r="AN41" s="11" t="s">
        <v>754</v>
      </c>
      <c r="AO41" s="11" t="s">
        <v>755</v>
      </c>
      <c r="AP41" s="31"/>
      <c r="AQ41" s="11" t="s">
        <v>209</v>
      </c>
      <c r="AR41" s="11" t="s">
        <v>210</v>
      </c>
      <c r="AS41" s="11" t="s">
        <v>211</v>
      </c>
      <c r="AT41" s="11" t="s">
        <v>212</v>
      </c>
      <c r="AU41" s="11" t="s">
        <v>213</v>
      </c>
      <c r="AV41" s="11" t="s">
        <v>756</v>
      </c>
      <c r="AW41" s="11" t="s">
        <v>215</v>
      </c>
      <c r="AX41" s="11" t="s">
        <v>216</v>
      </c>
      <c r="AY41" s="11"/>
      <c r="AZ41" s="11" t="s">
        <v>218</v>
      </c>
      <c r="BA41" s="11" t="s">
        <v>219</v>
      </c>
      <c r="BB41" s="11"/>
      <c r="BC41" s="11"/>
      <c r="BD41" s="11" t="s">
        <v>220</v>
      </c>
      <c r="BE41" s="11" t="s">
        <v>221</v>
      </c>
      <c r="BF41" s="13">
        <v>98</v>
      </c>
      <c r="BG41" s="13">
        <v>121</v>
      </c>
      <c r="BH41" s="11" t="s">
        <v>757</v>
      </c>
      <c r="BI41" s="11" t="s">
        <v>207</v>
      </c>
      <c r="BJ41" s="11" t="s">
        <v>479</v>
      </c>
      <c r="BK41" s="11" t="s">
        <v>184</v>
      </c>
      <c r="BL41" s="11"/>
      <c r="BM41" s="11"/>
      <c r="BN41" s="11"/>
      <c r="BO41" s="11"/>
      <c r="BP41" s="11"/>
      <c r="BQ41" s="11"/>
      <c r="BR41" s="11"/>
      <c r="BS41" s="11"/>
      <c r="BT41" s="11"/>
      <c r="BU41" s="11"/>
      <c r="BV41" s="11"/>
      <c r="BW41" s="11"/>
      <c r="BX41" s="11"/>
      <c r="BY41" s="11"/>
      <c r="BZ41" s="11"/>
      <c r="CA41" s="11"/>
      <c r="CB41" s="11"/>
      <c r="CC41" s="11"/>
      <c r="CD41" s="28" t="s">
        <v>601</v>
      </c>
      <c r="CE41" s="32"/>
      <c r="CF41" s="33"/>
      <c r="CG41" s="33"/>
      <c r="CH41" s="33"/>
      <c r="CI41" s="33"/>
      <c r="CJ41" s="33"/>
      <c r="CK41" s="33"/>
      <c r="CL41" s="33"/>
      <c r="CM41" s="33"/>
      <c r="CN41" s="33"/>
      <c r="CO41" s="33"/>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4"/>
      <c r="DN41" s="34"/>
      <c r="DO41" s="34"/>
      <c r="DP41" s="34"/>
      <c r="DQ41" s="34"/>
      <c r="DR41" s="34"/>
      <c r="DS41" s="34"/>
      <c r="DT41" s="34"/>
      <c r="DU41" s="34"/>
      <c r="DV41" s="34"/>
      <c r="DW41" s="34"/>
      <c r="DX41" s="34"/>
      <c r="DY41" s="34"/>
      <c r="DZ41" s="34"/>
      <c r="EA41" s="34"/>
      <c r="EB41" s="34"/>
      <c r="EC41" s="34"/>
      <c r="ED41" s="34"/>
      <c r="EE41" s="34"/>
      <c r="EF41" s="34"/>
      <c r="EG41" s="34"/>
      <c r="EH41" s="34"/>
      <c r="EI41" s="34"/>
      <c r="EJ41" s="34"/>
      <c r="EK41" s="34"/>
      <c r="EL41" s="34"/>
      <c r="EM41" s="34"/>
      <c r="EN41" s="34"/>
      <c r="EO41" s="34"/>
      <c r="EP41" s="34"/>
      <c r="EQ41" s="34"/>
      <c r="ER41" s="34"/>
      <c r="ES41" s="34"/>
      <c r="ET41" s="34"/>
      <c r="EU41" s="34"/>
      <c r="EV41" s="34"/>
      <c r="EW41" s="34"/>
      <c r="EX41" s="34"/>
      <c r="EY41" s="34"/>
      <c r="EZ41" s="34"/>
      <c r="FA41" s="34"/>
      <c r="FB41" s="34"/>
      <c r="FC41" s="34"/>
      <c r="FD41" s="34"/>
      <c r="FE41" s="34"/>
      <c r="FF41" s="34"/>
      <c r="FG41" s="34"/>
      <c r="FH41" s="34"/>
      <c r="FI41" s="34"/>
      <c r="FJ41" s="34"/>
      <c r="FK41" s="34"/>
      <c r="FL41" s="34"/>
      <c r="FM41" s="34"/>
      <c r="FN41" s="34"/>
      <c r="FO41" s="34"/>
      <c r="FP41" s="34"/>
      <c r="FQ41" s="34"/>
      <c r="FR41" s="34"/>
      <c r="FS41" s="34"/>
      <c r="FT41" s="34"/>
      <c r="FU41" s="34"/>
      <c r="FV41" s="34"/>
      <c r="FW41" s="34"/>
      <c r="FX41" s="34"/>
      <c r="FY41" s="34"/>
      <c r="FZ41" s="34"/>
      <c r="GA41" s="34"/>
      <c r="GB41" s="34"/>
      <c r="GC41" s="34"/>
      <c r="GD41" s="34"/>
      <c r="GE41" s="34"/>
      <c r="GF41" s="34"/>
      <c r="GG41" s="34"/>
      <c r="GH41" s="34"/>
      <c r="GI41" s="34"/>
      <c r="GJ41" s="34"/>
      <c r="GK41" s="34"/>
      <c r="GL41" s="34"/>
      <c r="GM41" s="34"/>
      <c r="GN41" s="34"/>
      <c r="GO41" s="34"/>
      <c r="GP41" s="34"/>
      <c r="GQ41" s="34"/>
      <c r="GR41" s="34"/>
      <c r="GS41" s="34"/>
      <c r="GT41" s="34"/>
      <c r="GU41" s="34"/>
      <c r="GV41" s="34"/>
      <c r="GW41" s="34"/>
      <c r="GX41" s="34"/>
      <c r="GY41" s="34"/>
      <c r="GZ41" s="34"/>
      <c r="HA41" s="34"/>
      <c r="HB41" s="34"/>
    </row>
    <row r="42" spans="1:210" ht="75" customHeight="1">
      <c r="A42" s="11" t="s">
        <v>758</v>
      </c>
      <c r="B42" s="11" t="s">
        <v>743</v>
      </c>
      <c r="C42" s="11">
        <v>6240</v>
      </c>
      <c r="D42" s="11" t="s">
        <v>442</v>
      </c>
      <c r="E42" s="11" t="s">
        <v>759</v>
      </c>
      <c r="F42" s="11" t="s">
        <v>184</v>
      </c>
      <c r="G42" s="12" t="s">
        <v>760</v>
      </c>
      <c r="H42" s="11" t="s">
        <v>186</v>
      </c>
      <c r="I42" s="11" t="s">
        <v>187</v>
      </c>
      <c r="J42" s="11">
        <v>38816749</v>
      </c>
      <c r="K42" s="11" t="s">
        <v>746</v>
      </c>
      <c r="L42" s="11">
        <v>2024</v>
      </c>
      <c r="M42" s="11" t="s">
        <v>189</v>
      </c>
      <c r="N42" s="11"/>
      <c r="O42" s="11"/>
      <c r="P42" s="11" t="s">
        <v>747</v>
      </c>
      <c r="Q42" s="11" t="s">
        <v>748</v>
      </c>
      <c r="R42" s="11" t="s">
        <v>747</v>
      </c>
      <c r="S42" s="34" t="s">
        <v>749</v>
      </c>
      <c r="T42" s="11" t="s">
        <v>761</v>
      </c>
      <c r="U42" s="11" t="s">
        <v>193</v>
      </c>
      <c r="V42" s="11" t="s">
        <v>194</v>
      </c>
      <c r="W42" s="11" t="s">
        <v>195</v>
      </c>
      <c r="X42" s="11"/>
      <c r="Y42" s="11"/>
      <c r="Z42" s="11"/>
      <c r="AA42" s="11" t="s">
        <v>661</v>
      </c>
      <c r="AB42" s="11" t="s">
        <v>230</v>
      </c>
      <c r="AC42" s="11" t="s">
        <v>199</v>
      </c>
      <c r="AD42" s="11" t="s">
        <v>762</v>
      </c>
      <c r="AE42" s="11" t="s">
        <v>201</v>
      </c>
      <c r="AF42" s="11" t="s">
        <v>202</v>
      </c>
      <c r="AG42" s="11"/>
      <c r="AH42" s="11" t="s">
        <v>736</v>
      </c>
      <c r="AI42" s="11" t="s">
        <v>204</v>
      </c>
      <c r="AJ42" s="11" t="s">
        <v>184</v>
      </c>
      <c r="AK42" s="11" t="s">
        <v>184</v>
      </c>
      <c r="AL42" s="11" t="s">
        <v>763</v>
      </c>
      <c r="AM42" s="11">
        <v>3</v>
      </c>
      <c r="AN42" s="11" t="s">
        <v>764</v>
      </c>
      <c r="AO42" s="11" t="s">
        <v>765</v>
      </c>
      <c r="AP42" s="31"/>
      <c r="AQ42" s="11" t="s">
        <v>209</v>
      </c>
      <c r="AR42" s="11" t="s">
        <v>210</v>
      </c>
      <c r="AS42" s="11" t="s">
        <v>211</v>
      </c>
      <c r="AT42" s="11" t="s">
        <v>212</v>
      </c>
      <c r="AU42" s="11" t="s">
        <v>213</v>
      </c>
      <c r="AV42" s="11" t="s">
        <v>756</v>
      </c>
      <c r="AW42" s="11" t="s">
        <v>215</v>
      </c>
      <c r="AX42" s="11" t="s">
        <v>216</v>
      </c>
      <c r="AY42" s="11"/>
      <c r="AZ42" s="11" t="s">
        <v>218</v>
      </c>
      <c r="BA42" s="11" t="s">
        <v>219</v>
      </c>
      <c r="BB42" s="11"/>
      <c r="BC42" s="11"/>
      <c r="BD42" s="11" t="s">
        <v>220</v>
      </c>
      <c r="BE42" s="11" t="s">
        <v>221</v>
      </c>
      <c r="BF42" s="13">
        <v>98</v>
      </c>
      <c r="BG42" s="13">
        <v>122</v>
      </c>
      <c r="BH42" s="11" t="s">
        <v>757</v>
      </c>
      <c r="BI42" s="11" t="s">
        <v>207</v>
      </c>
      <c r="BJ42" s="11" t="s">
        <v>479</v>
      </c>
      <c r="BK42" s="11" t="s">
        <v>184</v>
      </c>
      <c r="BL42" s="11"/>
      <c r="BM42" s="11"/>
      <c r="BN42" s="11"/>
      <c r="BO42" s="11"/>
      <c r="BP42" s="11"/>
      <c r="BQ42" s="11"/>
      <c r="BR42" s="11"/>
      <c r="BS42" s="11"/>
      <c r="BT42" s="11"/>
      <c r="BU42" s="11"/>
      <c r="BV42" s="11"/>
      <c r="BW42" s="11"/>
      <c r="BX42" s="11"/>
      <c r="BY42" s="11"/>
      <c r="BZ42" s="11"/>
      <c r="CA42" s="11"/>
      <c r="CB42" s="11"/>
      <c r="CC42" s="11"/>
      <c r="CD42" s="28" t="s">
        <v>601</v>
      </c>
      <c r="CE42" s="32"/>
      <c r="CF42" s="33"/>
      <c r="CG42" s="33"/>
      <c r="CH42" s="33"/>
      <c r="CI42" s="33"/>
      <c r="CJ42" s="33"/>
      <c r="CK42" s="33"/>
      <c r="CL42" s="33"/>
      <c r="CM42" s="33"/>
      <c r="CN42" s="33"/>
      <c r="CO42" s="33"/>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c r="EJ42" s="34"/>
      <c r="EK42" s="34"/>
      <c r="EL42" s="34"/>
      <c r="EM42" s="34"/>
      <c r="EN42" s="34"/>
      <c r="EO42" s="34"/>
      <c r="EP42" s="34"/>
      <c r="EQ42" s="34"/>
      <c r="ER42" s="34"/>
      <c r="ES42" s="34"/>
      <c r="ET42" s="34"/>
      <c r="EU42" s="34"/>
      <c r="EV42" s="34"/>
      <c r="EW42" s="34"/>
      <c r="EX42" s="34"/>
      <c r="EY42" s="34"/>
      <c r="EZ42" s="34"/>
      <c r="FA42" s="34"/>
      <c r="FB42" s="34"/>
      <c r="FC42" s="34"/>
      <c r="FD42" s="34"/>
      <c r="FE42" s="34"/>
      <c r="FF42" s="34"/>
      <c r="FG42" s="34"/>
      <c r="FH42" s="34"/>
      <c r="FI42" s="34"/>
      <c r="FJ42" s="34"/>
      <c r="FK42" s="34"/>
      <c r="FL42" s="34"/>
      <c r="FM42" s="34"/>
      <c r="FN42" s="34"/>
      <c r="FO42" s="34"/>
      <c r="FP42" s="34"/>
      <c r="FQ42" s="34"/>
      <c r="FR42" s="34"/>
      <c r="FS42" s="34"/>
      <c r="FT42" s="34"/>
      <c r="FU42" s="34"/>
      <c r="FV42" s="34"/>
      <c r="FW42" s="34"/>
      <c r="FX42" s="34"/>
      <c r="FY42" s="34"/>
      <c r="FZ42" s="34"/>
      <c r="GA42" s="34"/>
      <c r="GB42" s="34"/>
      <c r="GC42" s="34"/>
      <c r="GD42" s="34"/>
      <c r="GE42" s="34"/>
      <c r="GF42" s="34"/>
      <c r="GG42" s="34"/>
      <c r="GH42" s="34"/>
      <c r="GI42" s="34"/>
      <c r="GJ42" s="34"/>
      <c r="GK42" s="34"/>
      <c r="GL42" s="34"/>
      <c r="GM42" s="34"/>
      <c r="GN42" s="34"/>
      <c r="GO42" s="34"/>
      <c r="GP42" s="34"/>
      <c r="GQ42" s="34"/>
      <c r="GR42" s="34"/>
      <c r="GS42" s="34"/>
      <c r="GT42" s="34"/>
      <c r="GU42" s="34"/>
      <c r="GV42" s="34"/>
      <c r="GW42" s="34"/>
      <c r="GX42" s="34"/>
      <c r="GY42" s="34"/>
      <c r="GZ42" s="34"/>
      <c r="HA42" s="34"/>
      <c r="HB42" s="34"/>
    </row>
    <row r="43" spans="1:210" ht="75" customHeight="1">
      <c r="A43" s="11" t="s">
        <v>766</v>
      </c>
      <c r="B43" s="11" t="s">
        <v>743</v>
      </c>
      <c r="C43" s="11">
        <v>6240</v>
      </c>
      <c r="D43" s="11" t="s">
        <v>442</v>
      </c>
      <c r="E43" s="11" t="s">
        <v>767</v>
      </c>
      <c r="F43" s="11" t="s">
        <v>184</v>
      </c>
      <c r="G43" s="12" t="s">
        <v>768</v>
      </c>
      <c r="H43" s="11" t="s">
        <v>186</v>
      </c>
      <c r="I43" s="11" t="s">
        <v>187</v>
      </c>
      <c r="J43" s="11">
        <v>38816749</v>
      </c>
      <c r="K43" s="11" t="s">
        <v>746</v>
      </c>
      <c r="L43" s="11">
        <v>2024</v>
      </c>
      <c r="M43" s="11" t="s">
        <v>189</v>
      </c>
      <c r="N43" s="11"/>
      <c r="O43" s="11"/>
      <c r="P43" s="11" t="s">
        <v>747</v>
      </c>
      <c r="Q43" s="11" t="s">
        <v>748</v>
      </c>
      <c r="R43" s="11" t="s">
        <v>747</v>
      </c>
      <c r="S43" s="34" t="s">
        <v>749</v>
      </c>
      <c r="T43" s="11" t="s">
        <v>769</v>
      </c>
      <c r="U43" s="11" t="s">
        <v>193</v>
      </c>
      <c r="V43" s="11" t="s">
        <v>194</v>
      </c>
      <c r="W43" s="11" t="s">
        <v>195</v>
      </c>
      <c r="X43" s="11"/>
      <c r="Y43" s="11"/>
      <c r="Z43" s="11"/>
      <c r="AA43" s="11" t="s">
        <v>770</v>
      </c>
      <c r="AB43" s="11" t="s">
        <v>230</v>
      </c>
      <c r="AC43" s="11" t="s">
        <v>199</v>
      </c>
      <c r="AD43" s="11" t="s">
        <v>762</v>
      </c>
      <c r="AE43" s="11" t="s">
        <v>201</v>
      </c>
      <c r="AF43" s="11" t="s">
        <v>202</v>
      </c>
      <c r="AG43" s="11"/>
      <c r="AH43" s="11" t="s">
        <v>736</v>
      </c>
      <c r="AI43" s="11" t="s">
        <v>204</v>
      </c>
      <c r="AJ43" s="11" t="s">
        <v>184</v>
      </c>
      <c r="AK43" s="11" t="s">
        <v>184</v>
      </c>
      <c r="AL43" s="11" t="s">
        <v>763</v>
      </c>
      <c r="AM43" s="11">
        <v>3</v>
      </c>
      <c r="AN43" s="11" t="s">
        <v>764</v>
      </c>
      <c r="AO43" s="11" t="s">
        <v>765</v>
      </c>
      <c r="AP43" s="31"/>
      <c r="AQ43" s="11" t="s">
        <v>209</v>
      </c>
      <c r="AR43" s="11" t="s">
        <v>210</v>
      </c>
      <c r="AS43" s="11" t="s">
        <v>211</v>
      </c>
      <c r="AT43" s="11" t="s">
        <v>212</v>
      </c>
      <c r="AU43" s="11" t="s">
        <v>213</v>
      </c>
      <c r="AV43" s="11" t="s">
        <v>756</v>
      </c>
      <c r="AW43" s="11" t="s">
        <v>215</v>
      </c>
      <c r="AX43" s="11" t="s">
        <v>216</v>
      </c>
      <c r="AY43" s="11"/>
      <c r="AZ43" s="11" t="s">
        <v>218</v>
      </c>
      <c r="BA43" s="11" t="s">
        <v>219</v>
      </c>
      <c r="BB43" s="11"/>
      <c r="BC43" s="11"/>
      <c r="BD43" s="11" t="s">
        <v>220</v>
      </c>
      <c r="BE43" s="11" t="s">
        <v>221</v>
      </c>
      <c r="BF43" s="13">
        <v>98</v>
      </c>
      <c r="BG43" s="13">
        <v>117</v>
      </c>
      <c r="BH43" s="11" t="s">
        <v>757</v>
      </c>
      <c r="BI43" s="11" t="s">
        <v>207</v>
      </c>
      <c r="BJ43" s="11" t="s">
        <v>479</v>
      </c>
      <c r="BK43" s="11" t="s">
        <v>184</v>
      </c>
      <c r="BL43" s="11"/>
      <c r="BM43" s="11"/>
      <c r="BN43" s="11"/>
      <c r="BO43" s="11"/>
      <c r="BP43" s="11"/>
      <c r="BQ43" s="11"/>
      <c r="BR43" s="11"/>
      <c r="BS43" s="11"/>
      <c r="BT43" s="11"/>
      <c r="BU43" s="11"/>
      <c r="BV43" s="11"/>
      <c r="BW43" s="11"/>
      <c r="BX43" s="11"/>
      <c r="BY43" s="11"/>
      <c r="BZ43" s="11"/>
      <c r="CA43" s="11"/>
      <c r="CB43" s="11"/>
      <c r="CC43" s="11"/>
      <c r="CD43" s="28" t="s">
        <v>601</v>
      </c>
      <c r="CE43" s="32"/>
      <c r="CF43" s="33"/>
      <c r="CG43" s="33"/>
      <c r="CH43" s="33"/>
      <c r="CI43" s="33"/>
      <c r="CJ43" s="33"/>
      <c r="CK43" s="33"/>
      <c r="CL43" s="33"/>
      <c r="CM43" s="33"/>
      <c r="CN43" s="33"/>
      <c r="CO43" s="33"/>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c r="EJ43" s="34"/>
      <c r="EK43" s="34"/>
      <c r="EL43" s="34"/>
      <c r="EM43" s="34"/>
      <c r="EN43" s="34"/>
      <c r="EO43" s="34"/>
      <c r="EP43" s="34"/>
      <c r="EQ43" s="34"/>
      <c r="ER43" s="34"/>
      <c r="ES43" s="34"/>
      <c r="ET43" s="34"/>
      <c r="EU43" s="34"/>
      <c r="EV43" s="34"/>
      <c r="EW43" s="34"/>
      <c r="EX43" s="34"/>
      <c r="EY43" s="34"/>
      <c r="EZ43" s="34"/>
      <c r="FA43" s="34"/>
      <c r="FB43" s="34"/>
      <c r="FC43" s="34"/>
      <c r="FD43" s="34"/>
      <c r="FE43" s="34"/>
      <c r="FF43" s="34"/>
      <c r="FG43" s="34"/>
      <c r="FH43" s="34"/>
      <c r="FI43" s="34"/>
      <c r="FJ43" s="34"/>
      <c r="FK43" s="34"/>
      <c r="FL43" s="34"/>
      <c r="FM43" s="34"/>
      <c r="FN43" s="34"/>
      <c r="FO43" s="34"/>
      <c r="FP43" s="34"/>
      <c r="FQ43" s="34"/>
      <c r="FR43" s="34"/>
      <c r="FS43" s="34"/>
      <c r="FT43" s="34"/>
      <c r="FU43" s="34"/>
      <c r="FV43" s="34"/>
      <c r="FW43" s="34"/>
      <c r="FX43" s="34"/>
      <c r="FY43" s="34"/>
      <c r="FZ43" s="34"/>
      <c r="GA43" s="34"/>
      <c r="GB43" s="34"/>
      <c r="GC43" s="34"/>
      <c r="GD43" s="34"/>
      <c r="GE43" s="34"/>
      <c r="GF43" s="34"/>
      <c r="GG43" s="34"/>
      <c r="GH43" s="34"/>
      <c r="GI43" s="34"/>
      <c r="GJ43" s="34"/>
      <c r="GK43" s="34"/>
      <c r="GL43" s="34"/>
      <c r="GM43" s="34"/>
      <c r="GN43" s="34"/>
      <c r="GO43" s="34"/>
      <c r="GP43" s="34"/>
      <c r="GQ43" s="34"/>
      <c r="GR43" s="34"/>
      <c r="GS43" s="34"/>
      <c r="GT43" s="34"/>
      <c r="GU43" s="34"/>
      <c r="GV43" s="34"/>
      <c r="GW43" s="34"/>
      <c r="GX43" s="34"/>
      <c r="GY43" s="34"/>
      <c r="GZ43" s="34"/>
      <c r="HA43" s="34"/>
      <c r="HB43" s="34"/>
    </row>
    <row r="44" spans="1:210" ht="75" customHeight="1">
      <c r="A44" s="11" t="s">
        <v>771</v>
      </c>
      <c r="B44" s="11" t="s">
        <v>772</v>
      </c>
      <c r="C44" s="11">
        <v>6251</v>
      </c>
      <c r="D44" s="11" t="s">
        <v>442</v>
      </c>
      <c r="E44" s="11" t="s">
        <v>773</v>
      </c>
      <c r="F44" s="11" t="s">
        <v>184</v>
      </c>
      <c r="G44" s="12" t="s">
        <v>774</v>
      </c>
      <c r="H44" s="11" t="s">
        <v>342</v>
      </c>
      <c r="I44" s="11" t="s">
        <v>343</v>
      </c>
      <c r="J44" s="11">
        <v>35688147</v>
      </c>
      <c r="K44" s="11" t="s">
        <v>775</v>
      </c>
      <c r="L44" s="11">
        <v>2022</v>
      </c>
      <c r="M44" s="11" t="s">
        <v>189</v>
      </c>
      <c r="N44" s="11"/>
      <c r="O44" s="11"/>
      <c r="P44" s="11" t="s">
        <v>776</v>
      </c>
      <c r="Q44" s="11" t="s">
        <v>777</v>
      </c>
      <c r="R44" s="11" t="s">
        <v>776</v>
      </c>
      <c r="S44" s="11"/>
      <c r="T44" s="11" t="s">
        <v>778</v>
      </c>
      <c r="U44" s="11" t="s">
        <v>193</v>
      </c>
      <c r="V44" s="11" t="s">
        <v>194</v>
      </c>
      <c r="W44" s="11" t="s">
        <v>195</v>
      </c>
      <c r="X44" s="11" t="s">
        <v>779</v>
      </c>
      <c r="Y44" s="11"/>
      <c r="Z44" s="11"/>
      <c r="AA44" s="11" t="s">
        <v>780</v>
      </c>
      <c r="AB44" s="11" t="s">
        <v>230</v>
      </c>
      <c r="AC44" s="11" t="s">
        <v>781</v>
      </c>
      <c r="AD44" s="11" t="s">
        <v>782</v>
      </c>
      <c r="AE44" s="11" t="s">
        <v>783</v>
      </c>
      <c r="AF44" s="11" t="s">
        <v>202</v>
      </c>
      <c r="AG44" s="11"/>
      <c r="AH44" s="11" t="s">
        <v>752</v>
      </c>
      <c r="AI44" s="11" t="s">
        <v>204</v>
      </c>
      <c r="AJ44" s="11" t="s">
        <v>184</v>
      </c>
      <c r="AK44" s="11" t="s">
        <v>184</v>
      </c>
      <c r="AL44" s="11" t="s">
        <v>784</v>
      </c>
      <c r="AM44" s="11">
        <v>2</v>
      </c>
      <c r="AN44" s="11" t="s">
        <v>785</v>
      </c>
      <c r="AO44" s="11" t="s">
        <v>686</v>
      </c>
      <c r="AP44" s="31"/>
      <c r="AQ44" s="11" t="s">
        <v>209</v>
      </c>
      <c r="AR44" s="11" t="s">
        <v>210</v>
      </c>
      <c r="AS44" s="11" t="s">
        <v>301</v>
      </c>
      <c r="AT44" s="11" t="s">
        <v>212</v>
      </c>
      <c r="AU44" s="11" t="s">
        <v>264</v>
      </c>
      <c r="AV44" s="11"/>
      <c r="AW44" s="11" t="s">
        <v>215</v>
      </c>
      <c r="AX44" s="11" t="s">
        <v>216</v>
      </c>
      <c r="AY44" s="11"/>
      <c r="AZ44" s="11"/>
      <c r="BA44" s="11"/>
      <c r="BB44" s="11"/>
      <c r="BC44" s="11"/>
      <c r="BD44" s="11"/>
      <c r="BE44" s="11" t="s">
        <v>221</v>
      </c>
      <c r="BF44" s="13">
        <v>0</v>
      </c>
      <c r="BG44" s="13">
        <v>0</v>
      </c>
      <c r="BH44" s="11" t="s">
        <v>786</v>
      </c>
      <c r="BI44" s="11" t="s">
        <v>184</v>
      </c>
      <c r="BJ44" s="11" t="s">
        <v>221</v>
      </c>
      <c r="BK44" s="11" t="s">
        <v>184</v>
      </c>
      <c r="BL44" s="11" t="s">
        <v>787</v>
      </c>
      <c r="BM44" s="11" t="s">
        <v>788</v>
      </c>
      <c r="BN44" s="11" t="s">
        <v>244</v>
      </c>
      <c r="BO44" s="11" t="s">
        <v>789</v>
      </c>
      <c r="BP44" s="11" t="s">
        <v>790</v>
      </c>
      <c r="BQ44" s="11" t="s">
        <v>225</v>
      </c>
      <c r="BR44" s="11"/>
      <c r="BS44" s="11"/>
      <c r="BT44" s="11"/>
      <c r="BU44" s="11"/>
      <c r="BV44" s="11"/>
      <c r="BW44" s="11"/>
      <c r="BX44" s="11"/>
      <c r="BY44" s="11"/>
      <c r="BZ44" s="11"/>
      <c r="CA44" s="11"/>
      <c r="CB44" s="11"/>
      <c r="CC44" s="11"/>
      <c r="CD44" s="11" t="s">
        <v>791</v>
      </c>
      <c r="CE44" s="36"/>
      <c r="CF44" s="37"/>
      <c r="CG44" s="37"/>
      <c r="CH44" s="37"/>
      <c r="CI44" s="37"/>
      <c r="CJ44" s="37"/>
      <c r="CK44" s="37"/>
      <c r="CL44" s="37"/>
      <c r="CM44" s="37"/>
      <c r="CN44" s="37"/>
      <c r="CO44" s="37"/>
      <c r="CP44" s="38"/>
      <c r="CQ44" s="38"/>
      <c r="CR44" s="38"/>
      <c r="CS44" s="38"/>
      <c r="CT44" s="38"/>
      <c r="CU44" s="38"/>
      <c r="CV44" s="38"/>
      <c r="CW44" s="38"/>
      <c r="CX44" s="38"/>
      <c r="CY44" s="38"/>
      <c r="CZ44" s="38"/>
      <c r="DA44" s="38"/>
      <c r="DB44" s="38"/>
      <c r="DC44" s="38"/>
      <c r="DD44" s="38"/>
      <c r="DE44" s="38"/>
      <c r="DF44" s="38"/>
      <c r="DG44" s="38"/>
      <c r="DH44" s="38"/>
      <c r="DI44" s="38"/>
      <c r="DJ44" s="38"/>
      <c r="DK44" s="38"/>
      <c r="DL44" s="38"/>
      <c r="DM44" s="38"/>
      <c r="DN44" s="38"/>
      <c r="DO44" s="38"/>
      <c r="DP44" s="38"/>
      <c r="DQ44" s="38"/>
      <c r="DR44" s="38"/>
      <c r="DS44" s="38"/>
      <c r="DT44" s="38"/>
      <c r="DU44" s="38"/>
      <c r="DV44" s="38"/>
      <c r="DW44" s="38"/>
      <c r="DX44" s="38"/>
      <c r="DY44" s="38"/>
      <c r="DZ44" s="38"/>
      <c r="EA44" s="38"/>
      <c r="EB44" s="38"/>
      <c r="EC44" s="38"/>
      <c r="ED44" s="38"/>
      <c r="EE44" s="38"/>
      <c r="EF44" s="38"/>
      <c r="EG44" s="38"/>
      <c r="EH44" s="38"/>
      <c r="EI44" s="38"/>
      <c r="EJ44" s="38"/>
      <c r="EK44" s="38"/>
      <c r="EL44" s="38"/>
      <c r="EM44" s="38"/>
      <c r="EN44" s="38"/>
      <c r="EO44" s="38"/>
      <c r="EP44" s="38"/>
      <c r="EQ44" s="38"/>
      <c r="ER44" s="38"/>
      <c r="ES44" s="38"/>
      <c r="ET44" s="38"/>
      <c r="EU44" s="38"/>
      <c r="EV44" s="38"/>
      <c r="EW44" s="38"/>
      <c r="EX44" s="38"/>
      <c r="EY44" s="38"/>
      <c r="EZ44" s="38"/>
      <c r="FA44" s="38"/>
      <c r="FB44" s="38"/>
      <c r="FC44" s="38"/>
      <c r="FD44" s="38"/>
      <c r="FE44" s="38"/>
      <c r="FF44" s="38"/>
      <c r="FG44" s="38"/>
      <c r="FH44" s="38"/>
      <c r="FI44" s="38"/>
      <c r="FJ44" s="38"/>
      <c r="FK44" s="38"/>
      <c r="FL44" s="38"/>
      <c r="FM44" s="38"/>
      <c r="FN44" s="38"/>
      <c r="FO44" s="38"/>
      <c r="FP44" s="38"/>
      <c r="FQ44" s="38"/>
      <c r="FR44" s="38"/>
      <c r="FS44" s="38"/>
      <c r="FT44" s="38"/>
      <c r="FU44" s="38"/>
      <c r="FV44" s="38"/>
      <c r="FW44" s="38"/>
      <c r="FX44" s="38"/>
      <c r="FY44" s="38"/>
      <c r="FZ44" s="38"/>
      <c r="GA44" s="38"/>
      <c r="GB44" s="38"/>
      <c r="GC44" s="38"/>
      <c r="GD44" s="38"/>
      <c r="GE44" s="38"/>
      <c r="GF44" s="38"/>
      <c r="GG44" s="38"/>
      <c r="GH44" s="38"/>
      <c r="GI44" s="38"/>
      <c r="GJ44" s="38"/>
      <c r="GK44" s="38"/>
      <c r="GL44" s="38"/>
      <c r="GM44" s="38"/>
      <c r="GN44" s="38"/>
      <c r="GO44" s="38"/>
      <c r="GP44" s="38"/>
      <c r="GQ44" s="38"/>
      <c r="GR44" s="38"/>
      <c r="GS44" s="38"/>
      <c r="GT44" s="38"/>
      <c r="GU44" s="38"/>
      <c r="GV44" s="38"/>
      <c r="GW44" s="38"/>
      <c r="GX44" s="38"/>
      <c r="GY44" s="38"/>
      <c r="GZ44" s="38"/>
      <c r="HA44" s="38"/>
      <c r="HB44" s="38"/>
    </row>
    <row r="45" spans="1:210" ht="75" customHeight="1">
      <c r="A45" s="11" t="s">
        <v>792</v>
      </c>
      <c r="B45" s="11" t="s">
        <v>772</v>
      </c>
      <c r="C45" s="11">
        <v>6251</v>
      </c>
      <c r="D45" s="11" t="s">
        <v>442</v>
      </c>
      <c r="E45" s="11" t="s">
        <v>793</v>
      </c>
      <c r="F45" s="11" t="s">
        <v>184</v>
      </c>
      <c r="G45" s="12" t="s">
        <v>794</v>
      </c>
      <c r="H45" s="11" t="s">
        <v>186</v>
      </c>
      <c r="I45" s="11" t="s">
        <v>343</v>
      </c>
      <c r="J45" s="11">
        <v>32522694</v>
      </c>
      <c r="K45" s="11" t="s">
        <v>795</v>
      </c>
      <c r="L45" s="11">
        <v>2020</v>
      </c>
      <c r="M45" s="11" t="s">
        <v>189</v>
      </c>
      <c r="N45" s="11"/>
      <c r="O45" s="11"/>
      <c r="P45" s="11" t="s">
        <v>796</v>
      </c>
      <c r="Q45" s="11" t="s">
        <v>777</v>
      </c>
      <c r="R45" s="11" t="s">
        <v>776</v>
      </c>
      <c r="S45" s="11"/>
      <c r="T45" s="11" t="s">
        <v>797</v>
      </c>
      <c r="U45" s="11" t="s">
        <v>193</v>
      </c>
      <c r="V45" s="11" t="s">
        <v>194</v>
      </c>
      <c r="W45" s="11" t="s">
        <v>195</v>
      </c>
      <c r="X45" s="11"/>
      <c r="Y45" s="11"/>
      <c r="Z45" s="11"/>
      <c r="AA45" s="11" t="s">
        <v>661</v>
      </c>
      <c r="AB45" s="11" t="s">
        <v>230</v>
      </c>
      <c r="AC45" s="11" t="s">
        <v>199</v>
      </c>
      <c r="AD45" s="11" t="s">
        <v>762</v>
      </c>
      <c r="AE45" s="11" t="s">
        <v>201</v>
      </c>
      <c r="AF45" s="11" t="s">
        <v>202</v>
      </c>
      <c r="AG45" s="11"/>
      <c r="AH45" s="11" t="s">
        <v>736</v>
      </c>
      <c r="AI45" s="11" t="s">
        <v>204</v>
      </c>
      <c r="AJ45" s="11" t="s">
        <v>184</v>
      </c>
      <c r="AK45" s="11" t="s">
        <v>184</v>
      </c>
      <c r="AL45" s="11" t="s">
        <v>798</v>
      </c>
      <c r="AM45" s="11">
        <v>2</v>
      </c>
      <c r="AN45" s="11" t="s">
        <v>799</v>
      </c>
      <c r="AO45" s="11" t="s">
        <v>800</v>
      </c>
      <c r="AP45" s="31"/>
      <c r="AQ45" s="11" t="s">
        <v>209</v>
      </c>
      <c r="AR45" s="11" t="s">
        <v>210</v>
      </c>
      <c r="AS45" s="11" t="s">
        <v>415</v>
      </c>
      <c r="AT45" s="11" t="s">
        <v>212</v>
      </c>
      <c r="AU45" s="11" t="s">
        <v>302</v>
      </c>
      <c r="AV45" s="11"/>
      <c r="AW45" s="11" t="s">
        <v>215</v>
      </c>
      <c r="AX45" s="11" t="s">
        <v>216</v>
      </c>
      <c r="AY45" s="11"/>
      <c r="AZ45" s="11" t="s">
        <v>218</v>
      </c>
      <c r="BA45" s="11" t="s">
        <v>219</v>
      </c>
      <c r="BB45" s="11"/>
      <c r="BC45" s="11"/>
      <c r="BD45" s="11"/>
      <c r="BE45" s="11" t="s">
        <v>221</v>
      </c>
      <c r="BF45" s="13">
        <v>9</v>
      </c>
      <c r="BG45" s="13">
        <v>11</v>
      </c>
      <c r="BH45" s="11"/>
      <c r="BI45" s="11" t="s">
        <v>184</v>
      </c>
      <c r="BJ45" s="11" t="s">
        <v>221</v>
      </c>
      <c r="BK45" s="11" t="s">
        <v>184</v>
      </c>
      <c r="BL45" s="11" t="s">
        <v>801</v>
      </c>
      <c r="BM45" s="11" t="s">
        <v>802</v>
      </c>
      <c r="BN45" s="11" t="s">
        <v>244</v>
      </c>
      <c r="BO45" s="11" t="s">
        <v>803</v>
      </c>
      <c r="BP45" s="11" t="s">
        <v>804</v>
      </c>
      <c r="BQ45" s="11" t="s">
        <v>225</v>
      </c>
      <c r="BR45" s="11" t="s">
        <v>805</v>
      </c>
      <c r="BS45" s="11" t="s">
        <v>806</v>
      </c>
      <c r="BT45" s="11" t="s">
        <v>225</v>
      </c>
      <c r="BU45" s="11" t="s">
        <v>807</v>
      </c>
      <c r="BV45" s="11" t="s">
        <v>808</v>
      </c>
      <c r="BW45" s="11" t="s">
        <v>225</v>
      </c>
      <c r="BX45" s="11"/>
      <c r="BY45" s="11"/>
      <c r="BZ45" s="11"/>
      <c r="CA45" s="11"/>
      <c r="CB45" s="11"/>
      <c r="CC45" s="11"/>
      <c r="CD45" s="28" t="s">
        <v>601</v>
      </c>
      <c r="CE45" s="32"/>
      <c r="CF45" s="33"/>
      <c r="CG45" s="33"/>
      <c r="CH45" s="33"/>
      <c r="CI45" s="33"/>
      <c r="CJ45" s="33"/>
      <c r="CK45" s="33"/>
      <c r="CL45" s="33"/>
      <c r="CM45" s="33"/>
      <c r="CN45" s="33"/>
      <c r="CO45" s="33"/>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c r="EJ45" s="34"/>
      <c r="EK45" s="34"/>
      <c r="EL45" s="34"/>
      <c r="EM45" s="34"/>
      <c r="EN45" s="34"/>
      <c r="EO45" s="34"/>
      <c r="EP45" s="34"/>
      <c r="EQ45" s="34"/>
      <c r="ER45" s="34"/>
      <c r="ES45" s="34"/>
      <c r="ET45" s="34"/>
      <c r="EU45" s="34"/>
      <c r="EV45" s="34"/>
      <c r="EW45" s="34"/>
      <c r="EX45" s="34"/>
      <c r="EY45" s="34"/>
      <c r="EZ45" s="34"/>
      <c r="FA45" s="34"/>
      <c r="FB45" s="34"/>
      <c r="FC45" s="34"/>
      <c r="FD45" s="34"/>
      <c r="FE45" s="34"/>
      <c r="FF45" s="34"/>
      <c r="FG45" s="34"/>
      <c r="FH45" s="34"/>
      <c r="FI45" s="34"/>
      <c r="FJ45" s="34"/>
      <c r="FK45" s="34"/>
      <c r="FL45" s="34"/>
      <c r="FM45" s="34"/>
      <c r="FN45" s="34"/>
      <c r="FO45" s="34"/>
      <c r="FP45" s="34"/>
      <c r="FQ45" s="34"/>
      <c r="FR45" s="34"/>
      <c r="FS45" s="34"/>
      <c r="FT45" s="34"/>
      <c r="FU45" s="34"/>
      <c r="FV45" s="34"/>
      <c r="FW45" s="34"/>
      <c r="FX45" s="34"/>
      <c r="FY45" s="34"/>
      <c r="FZ45" s="34"/>
      <c r="GA45" s="34"/>
      <c r="GB45" s="34"/>
      <c r="GC45" s="34"/>
      <c r="GD45" s="34"/>
      <c r="GE45" s="34"/>
      <c r="GF45" s="34"/>
      <c r="GG45" s="34"/>
      <c r="GH45" s="34"/>
      <c r="GI45" s="34"/>
      <c r="GJ45" s="34"/>
      <c r="GK45" s="34"/>
      <c r="GL45" s="34"/>
      <c r="GM45" s="34"/>
      <c r="GN45" s="34"/>
      <c r="GO45" s="34"/>
      <c r="GP45" s="34"/>
      <c r="GQ45" s="34"/>
      <c r="GR45" s="34"/>
      <c r="GS45" s="34"/>
      <c r="GT45" s="34"/>
      <c r="GU45" s="34"/>
      <c r="GV45" s="34"/>
      <c r="GW45" s="34"/>
      <c r="GX45" s="34"/>
      <c r="GY45" s="34"/>
      <c r="GZ45" s="34"/>
      <c r="HA45" s="34"/>
      <c r="HB45" s="34"/>
    </row>
    <row r="46" spans="1:210" ht="75" customHeight="1">
      <c r="A46" s="11" t="s">
        <v>809</v>
      </c>
      <c r="B46" s="11" t="s">
        <v>772</v>
      </c>
      <c r="C46" s="11">
        <v>6251</v>
      </c>
      <c r="D46" s="11" t="s">
        <v>442</v>
      </c>
      <c r="E46" s="11" t="s">
        <v>810</v>
      </c>
      <c r="F46" s="11" t="s">
        <v>184</v>
      </c>
      <c r="G46" s="12" t="s">
        <v>811</v>
      </c>
      <c r="H46" s="11" t="s">
        <v>186</v>
      </c>
      <c r="I46" s="11" t="s">
        <v>187</v>
      </c>
      <c r="J46" s="11">
        <v>39315434</v>
      </c>
      <c r="K46" s="11" t="s">
        <v>812</v>
      </c>
      <c r="L46" s="11">
        <v>2024</v>
      </c>
      <c r="M46" s="11" t="s">
        <v>189</v>
      </c>
      <c r="N46" s="11"/>
      <c r="O46" s="11"/>
      <c r="P46" s="11" t="s">
        <v>796</v>
      </c>
      <c r="Q46" s="11" t="s">
        <v>777</v>
      </c>
      <c r="R46" s="11" t="s">
        <v>776</v>
      </c>
      <c r="S46" s="11"/>
      <c r="T46" s="11" t="s">
        <v>813</v>
      </c>
      <c r="U46" s="11" t="s">
        <v>193</v>
      </c>
      <c r="V46" s="11" t="s">
        <v>194</v>
      </c>
      <c r="W46" s="11" t="s">
        <v>195</v>
      </c>
      <c r="X46" s="11" t="s">
        <v>196</v>
      </c>
      <c r="Y46" s="11"/>
      <c r="Z46" s="11"/>
      <c r="AA46" s="11" t="s">
        <v>661</v>
      </c>
      <c r="AB46" s="11" t="s">
        <v>230</v>
      </c>
      <c r="AC46" s="11" t="s">
        <v>199</v>
      </c>
      <c r="AD46" s="11" t="s">
        <v>762</v>
      </c>
      <c r="AE46" s="11" t="s">
        <v>201</v>
      </c>
      <c r="AF46" s="11" t="s">
        <v>202</v>
      </c>
      <c r="AG46" s="11"/>
      <c r="AH46" s="11" t="s">
        <v>736</v>
      </c>
      <c r="AI46" s="11" t="s">
        <v>204</v>
      </c>
      <c r="AJ46" s="11" t="s">
        <v>184</v>
      </c>
      <c r="AK46" s="11" t="s">
        <v>184</v>
      </c>
      <c r="AL46" s="11" t="s">
        <v>814</v>
      </c>
      <c r="AM46" s="11">
        <v>2</v>
      </c>
      <c r="AN46" s="11" t="s">
        <v>815</v>
      </c>
      <c r="AO46" s="11" t="s">
        <v>686</v>
      </c>
      <c r="AP46" s="31"/>
      <c r="AQ46" s="11" t="s">
        <v>209</v>
      </c>
      <c r="AR46" s="11" t="s">
        <v>210</v>
      </c>
      <c r="AS46" s="11" t="s">
        <v>211</v>
      </c>
      <c r="AT46" s="11" t="s">
        <v>212</v>
      </c>
      <c r="AU46" s="11" t="s">
        <v>302</v>
      </c>
      <c r="AV46" s="11" t="s">
        <v>816</v>
      </c>
      <c r="AW46" s="11" t="s">
        <v>215</v>
      </c>
      <c r="AX46" s="11" t="s">
        <v>216</v>
      </c>
      <c r="AY46" s="11" t="s">
        <v>817</v>
      </c>
      <c r="AZ46" s="11" t="s">
        <v>218</v>
      </c>
      <c r="BA46" s="11" t="s">
        <v>219</v>
      </c>
      <c r="BB46" s="11"/>
      <c r="BC46" s="11"/>
      <c r="BD46" s="11" t="s">
        <v>220</v>
      </c>
      <c r="BE46" s="11" t="s">
        <v>221</v>
      </c>
      <c r="BF46" s="13">
        <v>998</v>
      </c>
      <c r="BG46" s="13">
        <v>1076</v>
      </c>
      <c r="BH46" s="11" t="s">
        <v>333</v>
      </c>
      <c r="BI46" s="11" t="s">
        <v>184</v>
      </c>
      <c r="BJ46" s="11" t="s">
        <v>221</v>
      </c>
      <c r="BK46" s="11" t="s">
        <v>184</v>
      </c>
      <c r="BL46" s="11" t="s">
        <v>244</v>
      </c>
      <c r="BM46" s="11" t="s">
        <v>818</v>
      </c>
      <c r="BN46" s="11" t="s">
        <v>244</v>
      </c>
      <c r="BO46" s="11" t="s">
        <v>819</v>
      </c>
      <c r="BP46" s="11" t="s">
        <v>820</v>
      </c>
      <c r="BQ46" s="11" t="s">
        <v>225</v>
      </c>
      <c r="BR46" s="11"/>
      <c r="BS46" s="11"/>
      <c r="BT46" s="11"/>
      <c r="BU46" s="11"/>
      <c r="BV46" s="11"/>
      <c r="BW46" s="11"/>
      <c r="BX46" s="11"/>
      <c r="BY46" s="11"/>
      <c r="BZ46" s="11"/>
      <c r="CA46" s="11"/>
      <c r="CB46" s="11"/>
      <c r="CC46" s="11"/>
      <c r="CD46" s="11"/>
      <c r="CE46" s="14"/>
      <c r="CF46" s="15"/>
      <c r="CG46" s="15"/>
      <c r="CH46" s="15"/>
      <c r="CI46" s="15"/>
      <c r="CJ46" s="15"/>
      <c r="CK46" s="15"/>
      <c r="CL46" s="15"/>
      <c r="CM46" s="15"/>
      <c r="CN46" s="15"/>
      <c r="CO46" s="15"/>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row>
    <row r="47" spans="1:210" ht="75" customHeight="1">
      <c r="A47" s="11" t="s">
        <v>37</v>
      </c>
      <c r="B47" s="11" t="s">
        <v>821</v>
      </c>
      <c r="C47" s="11">
        <v>6298</v>
      </c>
      <c r="D47" s="11" t="s">
        <v>182</v>
      </c>
      <c r="E47" s="11" t="s">
        <v>822</v>
      </c>
      <c r="F47" s="11" t="s">
        <v>184</v>
      </c>
      <c r="G47" s="12" t="s">
        <v>823</v>
      </c>
      <c r="H47" s="11" t="s">
        <v>342</v>
      </c>
      <c r="I47" s="11" t="s">
        <v>187</v>
      </c>
      <c r="J47" s="11">
        <v>35760561</v>
      </c>
      <c r="K47" s="11" t="s">
        <v>824</v>
      </c>
      <c r="L47" s="11">
        <v>2022</v>
      </c>
      <c r="M47" s="11" t="s">
        <v>189</v>
      </c>
      <c r="N47" s="11"/>
      <c r="O47" s="11"/>
      <c r="P47" s="11" t="s">
        <v>825</v>
      </c>
      <c r="Q47" s="11" t="s">
        <v>826</v>
      </c>
      <c r="R47" s="11" t="s">
        <v>825</v>
      </c>
      <c r="S47" s="11"/>
      <c r="T47" s="11" t="s">
        <v>827</v>
      </c>
      <c r="U47" s="11" t="s">
        <v>348</v>
      </c>
      <c r="V47" s="11" t="s">
        <v>349</v>
      </c>
      <c r="W47" s="11" t="s">
        <v>195</v>
      </c>
      <c r="X47" s="11" t="s">
        <v>828</v>
      </c>
      <c r="Y47" s="11"/>
      <c r="Z47" s="11"/>
      <c r="AA47" s="11"/>
      <c r="AB47" s="11" t="s">
        <v>230</v>
      </c>
      <c r="AC47" s="11" t="s">
        <v>781</v>
      </c>
      <c r="AD47" s="11" t="s">
        <v>782</v>
      </c>
      <c r="AE47" s="11" t="s">
        <v>783</v>
      </c>
      <c r="AF47" s="11" t="s">
        <v>202</v>
      </c>
      <c r="AG47" s="11"/>
      <c r="AH47" s="11" t="s">
        <v>752</v>
      </c>
      <c r="AI47" s="11" t="s">
        <v>683</v>
      </c>
      <c r="AJ47" s="11" t="s">
        <v>184</v>
      </c>
      <c r="AK47" s="11" t="s">
        <v>184</v>
      </c>
      <c r="AL47" s="11" t="s">
        <v>829</v>
      </c>
      <c r="AM47" s="11">
        <v>3</v>
      </c>
      <c r="AN47" s="11" t="s">
        <v>830</v>
      </c>
      <c r="AO47" s="11" t="s">
        <v>686</v>
      </c>
      <c r="AP47" s="31"/>
      <c r="AQ47" s="11" t="s">
        <v>209</v>
      </c>
      <c r="AR47" s="11" t="s">
        <v>210</v>
      </c>
      <c r="AS47" s="11" t="s">
        <v>211</v>
      </c>
      <c r="AT47" s="11" t="s">
        <v>212</v>
      </c>
      <c r="AU47" s="11" t="s">
        <v>302</v>
      </c>
      <c r="AV47" s="11" t="s">
        <v>831</v>
      </c>
      <c r="AW47" s="11" t="s">
        <v>355</v>
      </c>
      <c r="AX47" s="11" t="s">
        <v>216</v>
      </c>
      <c r="AY47" s="11" t="s">
        <v>562</v>
      </c>
      <c r="AZ47" s="11" t="s">
        <v>218</v>
      </c>
      <c r="BA47" s="11" t="s">
        <v>265</v>
      </c>
      <c r="BB47" s="11"/>
      <c r="BC47" s="11"/>
      <c r="BD47" s="11" t="s">
        <v>220</v>
      </c>
      <c r="BE47" s="11" t="s">
        <v>221</v>
      </c>
      <c r="BF47" s="13">
        <v>29</v>
      </c>
      <c r="BG47" s="13">
        <v>0</v>
      </c>
      <c r="BH47" s="11" t="s">
        <v>832</v>
      </c>
      <c r="BI47" s="11" t="s">
        <v>184</v>
      </c>
      <c r="BJ47" s="11" t="s">
        <v>221</v>
      </c>
      <c r="BK47" s="11" t="s">
        <v>184</v>
      </c>
      <c r="BL47" s="11" t="s">
        <v>833</v>
      </c>
      <c r="BM47" s="11" t="s">
        <v>834</v>
      </c>
      <c r="BN47" s="11" t="s">
        <v>225</v>
      </c>
      <c r="BO47" s="11" t="s">
        <v>835</v>
      </c>
      <c r="BP47" s="11" t="s">
        <v>836</v>
      </c>
      <c r="BQ47" s="11" t="s">
        <v>244</v>
      </c>
      <c r="BR47" s="11" t="s">
        <v>837</v>
      </c>
      <c r="BS47" s="11" t="s">
        <v>838</v>
      </c>
      <c r="BT47" s="11" t="s">
        <v>310</v>
      </c>
      <c r="BU47" s="11"/>
      <c r="BV47" s="11"/>
      <c r="BW47" s="11"/>
      <c r="BX47" s="11"/>
      <c r="BY47" s="11"/>
      <c r="BZ47" s="11"/>
      <c r="CA47" s="11"/>
      <c r="CB47" s="11"/>
      <c r="CC47" s="11"/>
      <c r="CD47" s="11"/>
      <c r="CE47" s="14"/>
      <c r="CF47" s="15"/>
      <c r="CG47" s="15"/>
      <c r="CH47" s="15"/>
      <c r="CI47" s="15"/>
      <c r="CJ47" s="15"/>
      <c r="CK47" s="15"/>
      <c r="CL47" s="15"/>
      <c r="CM47" s="15"/>
      <c r="CN47" s="15"/>
      <c r="CO47" s="15"/>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row>
    <row r="48" spans="1:210" ht="75" customHeight="1">
      <c r="A48" s="11" t="s">
        <v>45</v>
      </c>
      <c r="B48" s="11" t="s">
        <v>821</v>
      </c>
      <c r="C48" s="11">
        <v>6298</v>
      </c>
      <c r="D48" s="11" t="s">
        <v>182</v>
      </c>
      <c r="E48" s="11" t="s">
        <v>839</v>
      </c>
      <c r="F48" s="11" t="s">
        <v>184</v>
      </c>
      <c r="G48" s="12" t="s">
        <v>840</v>
      </c>
      <c r="H48" s="11" t="s">
        <v>342</v>
      </c>
      <c r="I48" s="11" t="s">
        <v>187</v>
      </c>
      <c r="J48" s="11">
        <v>35760561</v>
      </c>
      <c r="K48" s="11" t="s">
        <v>824</v>
      </c>
      <c r="L48" s="11">
        <v>2022</v>
      </c>
      <c r="M48" s="11" t="s">
        <v>189</v>
      </c>
      <c r="N48" s="11"/>
      <c r="O48" s="11"/>
      <c r="P48" s="11" t="s">
        <v>825</v>
      </c>
      <c r="Q48" s="11" t="s">
        <v>826</v>
      </c>
      <c r="R48" s="11" t="s">
        <v>825</v>
      </c>
      <c r="S48" s="11"/>
      <c r="T48" s="11" t="s">
        <v>841</v>
      </c>
      <c r="U48" s="11" t="s">
        <v>348</v>
      </c>
      <c r="V48" s="11" t="s">
        <v>349</v>
      </c>
      <c r="W48" s="11" t="s">
        <v>195</v>
      </c>
      <c r="X48" s="11" t="s">
        <v>828</v>
      </c>
      <c r="Y48" s="11"/>
      <c r="Z48" s="11"/>
      <c r="AA48" s="11"/>
      <c r="AB48" s="11" t="s">
        <v>230</v>
      </c>
      <c r="AC48" s="11" t="s">
        <v>781</v>
      </c>
      <c r="AD48" s="11" t="s">
        <v>782</v>
      </c>
      <c r="AE48" s="11" t="s">
        <v>842</v>
      </c>
      <c r="AF48" s="11" t="s">
        <v>202</v>
      </c>
      <c r="AG48" s="11"/>
      <c r="AH48" s="11" t="s">
        <v>752</v>
      </c>
      <c r="AI48" s="11" t="s">
        <v>683</v>
      </c>
      <c r="AJ48" s="11" t="s">
        <v>184</v>
      </c>
      <c r="AK48" s="11" t="s">
        <v>184</v>
      </c>
      <c r="AL48" s="11" t="s">
        <v>843</v>
      </c>
      <c r="AM48" s="11">
        <v>3</v>
      </c>
      <c r="AN48" s="11" t="s">
        <v>830</v>
      </c>
      <c r="AO48" s="11" t="s">
        <v>686</v>
      </c>
      <c r="AP48" s="31"/>
      <c r="AQ48" s="11" t="s">
        <v>209</v>
      </c>
      <c r="AR48" s="11" t="s">
        <v>210</v>
      </c>
      <c r="AS48" s="11" t="s">
        <v>211</v>
      </c>
      <c r="AT48" s="11" t="s">
        <v>212</v>
      </c>
      <c r="AU48" s="11" t="s">
        <v>302</v>
      </c>
      <c r="AV48" s="11" t="s">
        <v>831</v>
      </c>
      <c r="AW48" s="11" t="s">
        <v>355</v>
      </c>
      <c r="AX48" s="11" t="s">
        <v>216</v>
      </c>
      <c r="AY48" s="11" t="s">
        <v>562</v>
      </c>
      <c r="AZ48" s="11" t="s">
        <v>218</v>
      </c>
      <c r="BA48" s="11" t="s">
        <v>265</v>
      </c>
      <c r="BB48" s="11"/>
      <c r="BC48" s="11"/>
      <c r="BD48" s="11" t="s">
        <v>220</v>
      </c>
      <c r="BE48" s="11" t="s">
        <v>221</v>
      </c>
      <c r="BF48" s="13">
        <v>29</v>
      </c>
      <c r="BG48" s="13">
        <v>0</v>
      </c>
      <c r="BH48" s="11" t="s">
        <v>832</v>
      </c>
      <c r="BI48" s="11" t="s">
        <v>184</v>
      </c>
      <c r="BJ48" s="11" t="s">
        <v>221</v>
      </c>
      <c r="BK48" s="11" t="s">
        <v>184</v>
      </c>
      <c r="BL48" s="11" t="s">
        <v>844</v>
      </c>
      <c r="BM48" s="11" t="s">
        <v>845</v>
      </c>
      <c r="BN48" s="11" t="s">
        <v>225</v>
      </c>
      <c r="BO48" s="11" t="s">
        <v>846</v>
      </c>
      <c r="BP48" s="11" t="s">
        <v>847</v>
      </c>
      <c r="BQ48" s="11" t="s">
        <v>244</v>
      </c>
      <c r="BR48" s="11" t="s">
        <v>848</v>
      </c>
      <c r="BS48" s="11" t="s">
        <v>849</v>
      </c>
      <c r="BT48" s="11" t="s">
        <v>310</v>
      </c>
      <c r="BU48" s="11"/>
      <c r="BV48" s="11"/>
      <c r="BW48" s="11"/>
      <c r="BX48" s="11"/>
      <c r="BY48" s="11"/>
      <c r="BZ48" s="11"/>
      <c r="CA48" s="11"/>
      <c r="CB48" s="11"/>
      <c r="CC48" s="11"/>
      <c r="CD48" s="11"/>
      <c r="CE48" s="14"/>
      <c r="CF48" s="15"/>
      <c r="CG48" s="15"/>
      <c r="CH48" s="15"/>
      <c r="CI48" s="15"/>
      <c r="CJ48" s="15"/>
      <c r="CK48" s="15"/>
      <c r="CL48" s="15"/>
      <c r="CM48" s="15"/>
      <c r="CN48" s="15"/>
      <c r="CO48" s="15"/>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row>
    <row r="49" spans="1:210" ht="75" customHeight="1">
      <c r="A49" s="11" t="s">
        <v>850</v>
      </c>
      <c r="B49" s="11" t="s">
        <v>851</v>
      </c>
      <c r="C49" s="11">
        <v>6511</v>
      </c>
      <c r="D49" s="11" t="s">
        <v>182</v>
      </c>
      <c r="E49" s="11" t="s">
        <v>852</v>
      </c>
      <c r="F49" s="11" t="s">
        <v>184</v>
      </c>
      <c r="G49" s="12" t="s">
        <v>853</v>
      </c>
      <c r="H49" s="11" t="s">
        <v>186</v>
      </c>
      <c r="I49" s="11" t="s">
        <v>187</v>
      </c>
      <c r="J49" s="11">
        <v>39326416</v>
      </c>
      <c r="K49" s="11" t="s">
        <v>632</v>
      </c>
      <c r="L49" s="11">
        <v>2024</v>
      </c>
      <c r="M49" s="11" t="s">
        <v>189</v>
      </c>
      <c r="N49" s="11"/>
      <c r="O49" s="11"/>
      <c r="P49" s="11"/>
      <c r="Q49" s="11" t="s">
        <v>854</v>
      </c>
      <c r="R49" s="11" t="s">
        <v>855</v>
      </c>
      <c r="S49" s="11"/>
      <c r="T49" s="11" t="s">
        <v>856</v>
      </c>
      <c r="U49" s="11" t="s">
        <v>193</v>
      </c>
      <c r="V49" s="11" t="s">
        <v>194</v>
      </c>
      <c r="W49" s="11" t="s">
        <v>195</v>
      </c>
      <c r="X49" s="11" t="s">
        <v>253</v>
      </c>
      <c r="Y49" s="11"/>
      <c r="Z49" s="11"/>
      <c r="AA49" s="11" t="s">
        <v>857</v>
      </c>
      <c r="AB49" s="11" t="s">
        <v>230</v>
      </c>
      <c r="AC49" s="11" t="s">
        <v>199</v>
      </c>
      <c r="AD49" s="11" t="s">
        <v>594</v>
      </c>
      <c r="AE49" s="11" t="s">
        <v>201</v>
      </c>
      <c r="AF49" s="11" t="s">
        <v>202</v>
      </c>
      <c r="AG49" s="11"/>
      <c r="AH49" s="11" t="s">
        <v>637</v>
      </c>
      <c r="AI49" s="11" t="s">
        <v>204</v>
      </c>
      <c r="AJ49" s="11" t="s">
        <v>184</v>
      </c>
      <c r="AK49" s="11" t="s">
        <v>184</v>
      </c>
      <c r="AL49" s="11" t="s">
        <v>858</v>
      </c>
      <c r="AM49" s="11">
        <v>3</v>
      </c>
      <c r="AN49" s="11" t="s">
        <v>639</v>
      </c>
      <c r="AO49" s="11" t="s">
        <v>859</v>
      </c>
      <c r="AP49" s="31"/>
      <c r="AQ49" s="11" t="s">
        <v>209</v>
      </c>
      <c r="AR49" s="11" t="s">
        <v>210</v>
      </c>
      <c r="AS49" s="11" t="s">
        <v>211</v>
      </c>
      <c r="AT49" s="11" t="s">
        <v>212</v>
      </c>
      <c r="AU49" s="11" t="s">
        <v>641</v>
      </c>
      <c r="AV49" s="11" t="s">
        <v>642</v>
      </c>
      <c r="AW49" s="11" t="s">
        <v>643</v>
      </c>
      <c r="AX49" s="11" t="s">
        <v>644</v>
      </c>
      <c r="AY49" s="11"/>
      <c r="AZ49" s="11" t="s">
        <v>218</v>
      </c>
      <c r="BA49" s="11" t="s">
        <v>265</v>
      </c>
      <c r="BB49" s="11"/>
      <c r="BC49" s="11"/>
      <c r="BD49" s="11" t="s">
        <v>220</v>
      </c>
      <c r="BE49" s="11" t="s">
        <v>221</v>
      </c>
      <c r="BF49" s="13">
        <v>1530</v>
      </c>
      <c r="BG49" s="13">
        <v>272</v>
      </c>
      <c r="BH49" s="11" t="s">
        <v>645</v>
      </c>
      <c r="BI49" s="11" t="s">
        <v>207</v>
      </c>
      <c r="BJ49" s="11" t="s">
        <v>221</v>
      </c>
      <c r="BK49" s="11" t="s">
        <v>184</v>
      </c>
      <c r="BL49" s="11" t="s">
        <v>646</v>
      </c>
      <c r="BM49" s="11" t="s">
        <v>860</v>
      </c>
      <c r="BN49" s="11" t="s">
        <v>244</v>
      </c>
      <c r="BO49" s="11" t="s">
        <v>861</v>
      </c>
      <c r="BP49" s="11" t="s">
        <v>862</v>
      </c>
      <c r="BQ49" s="11" t="s">
        <v>225</v>
      </c>
      <c r="BR49" s="11"/>
      <c r="BS49" s="11"/>
      <c r="BT49" s="11"/>
      <c r="BU49" s="11"/>
      <c r="BV49" s="11"/>
      <c r="BW49" s="11"/>
      <c r="BX49" s="11"/>
      <c r="BY49" s="11"/>
      <c r="BZ49" s="11"/>
      <c r="CA49" s="11"/>
      <c r="CB49" s="11"/>
      <c r="CC49" s="11"/>
      <c r="CD49" s="11" t="s">
        <v>863</v>
      </c>
      <c r="CE49" s="36"/>
      <c r="CF49" s="37"/>
      <c r="CG49" s="37"/>
      <c r="CH49" s="37"/>
      <c r="CI49" s="37"/>
      <c r="CJ49" s="37"/>
      <c r="CK49" s="37"/>
      <c r="CL49" s="37"/>
      <c r="CM49" s="37"/>
      <c r="CN49" s="37"/>
      <c r="CO49" s="37"/>
      <c r="CP49" s="38"/>
      <c r="CQ49" s="38"/>
      <c r="CR49" s="38"/>
      <c r="CS49" s="38"/>
      <c r="CT49" s="38"/>
      <c r="CU49" s="38"/>
      <c r="CV49" s="38"/>
      <c r="CW49" s="38"/>
      <c r="CX49" s="38"/>
      <c r="CY49" s="38"/>
      <c r="CZ49" s="38"/>
      <c r="DA49" s="38"/>
      <c r="DB49" s="38"/>
      <c r="DC49" s="38"/>
      <c r="DD49" s="38"/>
      <c r="DE49" s="38"/>
      <c r="DF49" s="38"/>
      <c r="DG49" s="38"/>
      <c r="DH49" s="38"/>
      <c r="DI49" s="38"/>
      <c r="DJ49" s="38"/>
      <c r="DK49" s="38"/>
      <c r="DL49" s="38"/>
      <c r="DM49" s="38"/>
      <c r="DN49" s="38"/>
      <c r="DO49" s="38"/>
      <c r="DP49" s="38"/>
      <c r="DQ49" s="38"/>
      <c r="DR49" s="38"/>
      <c r="DS49" s="38"/>
      <c r="DT49" s="38"/>
      <c r="DU49" s="38"/>
      <c r="DV49" s="38"/>
      <c r="DW49" s="38"/>
      <c r="DX49" s="38"/>
      <c r="DY49" s="38"/>
      <c r="DZ49" s="38"/>
      <c r="EA49" s="38"/>
      <c r="EB49" s="38"/>
      <c r="EC49" s="38"/>
      <c r="ED49" s="38"/>
      <c r="EE49" s="38"/>
      <c r="EF49" s="38"/>
      <c r="EG49" s="38"/>
      <c r="EH49" s="38"/>
      <c r="EI49" s="38"/>
      <c r="EJ49" s="38"/>
      <c r="EK49" s="38"/>
      <c r="EL49" s="38"/>
      <c r="EM49" s="38"/>
      <c r="EN49" s="38"/>
      <c r="EO49" s="38"/>
      <c r="EP49" s="38"/>
      <c r="EQ49" s="38"/>
      <c r="ER49" s="38"/>
      <c r="ES49" s="38"/>
      <c r="ET49" s="38"/>
      <c r="EU49" s="38"/>
      <c r="EV49" s="38"/>
      <c r="EW49" s="38"/>
      <c r="EX49" s="38"/>
      <c r="EY49" s="38"/>
      <c r="EZ49" s="38"/>
      <c r="FA49" s="38"/>
      <c r="FB49" s="38"/>
      <c r="FC49" s="38"/>
      <c r="FD49" s="38"/>
      <c r="FE49" s="38"/>
      <c r="FF49" s="38"/>
      <c r="FG49" s="38"/>
      <c r="FH49" s="38"/>
      <c r="FI49" s="38"/>
      <c r="FJ49" s="38"/>
      <c r="FK49" s="38"/>
      <c r="FL49" s="38"/>
      <c r="FM49" s="38"/>
      <c r="FN49" s="38"/>
      <c r="FO49" s="38"/>
      <c r="FP49" s="38"/>
      <c r="FQ49" s="38"/>
      <c r="FR49" s="38"/>
      <c r="FS49" s="38"/>
      <c r="FT49" s="38"/>
      <c r="FU49" s="38"/>
      <c r="FV49" s="38"/>
      <c r="FW49" s="38"/>
      <c r="FX49" s="38"/>
      <c r="FY49" s="38"/>
      <c r="FZ49" s="38"/>
      <c r="GA49" s="38"/>
      <c r="GB49" s="38"/>
      <c r="GC49" s="38"/>
      <c r="GD49" s="38"/>
      <c r="GE49" s="38"/>
      <c r="GF49" s="38"/>
      <c r="GG49" s="38"/>
      <c r="GH49" s="38"/>
      <c r="GI49" s="38"/>
      <c r="GJ49" s="38"/>
      <c r="GK49" s="38"/>
      <c r="GL49" s="38"/>
      <c r="GM49" s="38"/>
      <c r="GN49" s="38"/>
      <c r="GO49" s="38"/>
      <c r="GP49" s="38"/>
      <c r="GQ49" s="38"/>
      <c r="GR49" s="38"/>
      <c r="GS49" s="38"/>
      <c r="GT49" s="38"/>
      <c r="GU49" s="38"/>
      <c r="GV49" s="38"/>
      <c r="GW49" s="38"/>
      <c r="GX49" s="38"/>
      <c r="GY49" s="38"/>
      <c r="GZ49" s="38"/>
      <c r="HA49" s="38"/>
      <c r="HB49" s="38"/>
    </row>
    <row r="50" spans="1:210" ht="75" customHeight="1">
      <c r="A50" s="11" t="s">
        <v>864</v>
      </c>
      <c r="B50" s="11" t="s">
        <v>865</v>
      </c>
      <c r="C50" s="11">
        <v>6547</v>
      </c>
      <c r="D50" s="11" t="s">
        <v>489</v>
      </c>
      <c r="E50" s="11" t="s">
        <v>866</v>
      </c>
      <c r="F50" s="11" t="s">
        <v>184</v>
      </c>
      <c r="G50" s="12" t="s">
        <v>867</v>
      </c>
      <c r="H50" s="11" t="s">
        <v>186</v>
      </c>
      <c r="I50" s="11" t="s">
        <v>365</v>
      </c>
      <c r="J50" s="11">
        <v>41166440</v>
      </c>
      <c r="K50" s="11" t="s">
        <v>868</v>
      </c>
      <c r="L50" s="11">
        <v>2025</v>
      </c>
      <c r="M50" s="28" t="s">
        <v>189</v>
      </c>
      <c r="N50" s="11"/>
      <c r="O50" s="11"/>
      <c r="P50" s="11" t="s">
        <v>869</v>
      </c>
      <c r="Q50" s="11" t="s">
        <v>870</v>
      </c>
      <c r="R50" s="31" t="s">
        <v>871</v>
      </c>
      <c r="S50" s="11"/>
      <c r="T50" s="28" t="s">
        <v>872</v>
      </c>
      <c r="U50" s="28" t="s">
        <v>193</v>
      </c>
      <c r="V50" s="39" t="s">
        <v>194</v>
      </c>
      <c r="W50" s="28" t="s">
        <v>195</v>
      </c>
      <c r="X50" s="11" t="s">
        <v>293</v>
      </c>
      <c r="Y50" s="11"/>
      <c r="Z50" s="11"/>
      <c r="AA50" s="11" t="s">
        <v>873</v>
      </c>
      <c r="AB50" s="11" t="s">
        <v>198</v>
      </c>
      <c r="AC50" s="11" t="s">
        <v>199</v>
      </c>
      <c r="AD50" s="11" t="s">
        <v>200</v>
      </c>
      <c r="AE50" s="11" t="s">
        <v>201</v>
      </c>
      <c r="AF50" s="11" t="s">
        <v>202</v>
      </c>
      <c r="AG50" s="11"/>
      <c r="AH50" s="11" t="s">
        <v>203</v>
      </c>
      <c r="AI50" s="28" t="s">
        <v>204</v>
      </c>
      <c r="AJ50" s="11" t="s">
        <v>184</v>
      </c>
      <c r="AK50" s="11" t="s">
        <v>184</v>
      </c>
      <c r="AL50" s="11" t="s">
        <v>874</v>
      </c>
      <c r="AM50" s="11">
        <v>4</v>
      </c>
      <c r="AN50" s="11" t="s">
        <v>875</v>
      </c>
      <c r="AO50" s="11" t="s">
        <v>184</v>
      </c>
      <c r="AP50" s="11" t="s">
        <v>876</v>
      </c>
      <c r="AQ50" s="11" t="s">
        <v>209</v>
      </c>
      <c r="AR50" s="11" t="s">
        <v>210</v>
      </c>
      <c r="AS50" s="11" t="s">
        <v>211</v>
      </c>
      <c r="AT50" s="11" t="s">
        <v>212</v>
      </c>
      <c r="AU50" s="11" t="s">
        <v>302</v>
      </c>
      <c r="AV50" s="11" t="s">
        <v>877</v>
      </c>
      <c r="AW50" s="11" t="s">
        <v>215</v>
      </c>
      <c r="AX50" s="11" t="s">
        <v>476</v>
      </c>
      <c r="AY50" s="11"/>
      <c r="AZ50" s="11" t="s">
        <v>218</v>
      </c>
      <c r="BA50" s="11" t="s">
        <v>219</v>
      </c>
      <c r="BB50" s="11"/>
      <c r="BC50" s="11"/>
      <c r="BD50" s="28" t="s">
        <v>220</v>
      </c>
      <c r="BE50" s="30" t="s">
        <v>221</v>
      </c>
      <c r="BF50" s="30"/>
      <c r="BG50" s="30"/>
      <c r="BH50" s="40" t="s">
        <v>268</v>
      </c>
      <c r="BI50" s="11" t="s">
        <v>184</v>
      </c>
      <c r="BJ50" s="11" t="s">
        <v>184</v>
      </c>
      <c r="BK50" s="11"/>
      <c r="BL50" s="11"/>
      <c r="BM50" s="11"/>
      <c r="BN50" s="11"/>
      <c r="BO50" s="11"/>
      <c r="BP50" s="30"/>
      <c r="BQ50" s="11"/>
      <c r="BR50" s="30"/>
      <c r="BS50" s="11"/>
      <c r="BT50" s="11"/>
      <c r="BU50" s="30"/>
      <c r="BV50" s="30"/>
      <c r="BW50" s="11"/>
      <c r="BX50" s="11"/>
      <c r="BY50" s="11"/>
      <c r="BZ50" s="11"/>
      <c r="CA50" s="11"/>
      <c r="CB50" s="11"/>
      <c r="CC50" s="11"/>
      <c r="CD50" s="11"/>
      <c r="CE50" s="14"/>
      <c r="CF50" s="15"/>
      <c r="CG50" s="15"/>
      <c r="CH50" s="15"/>
      <c r="CI50" s="15"/>
      <c r="CJ50" s="15"/>
      <c r="CK50" s="15"/>
      <c r="CL50" s="15"/>
      <c r="CM50" s="15"/>
      <c r="CN50" s="15"/>
      <c r="CO50" s="15"/>
      <c r="CP50" s="11"/>
      <c r="CQ50" s="30"/>
      <c r="CR50" s="11"/>
      <c r="CS50" s="30"/>
      <c r="CT50" s="11"/>
      <c r="CU50" s="11"/>
      <c r="CV50" s="30"/>
      <c r="CW50" s="30"/>
      <c r="CX50" s="11"/>
      <c r="CY50" s="11"/>
      <c r="CZ50" s="11"/>
      <c r="DA50" s="11"/>
      <c r="DB50" s="11"/>
      <c r="DC50" s="11"/>
      <c r="DD50" s="30"/>
      <c r="DE50" s="11"/>
      <c r="DF50" s="11"/>
      <c r="DG50" s="11"/>
      <c r="DH50" s="11"/>
      <c r="DI50" s="11"/>
      <c r="DJ50" s="11"/>
      <c r="DK50" s="11"/>
      <c r="DL50" s="11"/>
      <c r="DM50" s="11"/>
      <c r="DN50" s="11"/>
      <c r="DO50" s="11"/>
      <c r="DP50" s="11"/>
      <c r="DQ50" s="11"/>
      <c r="DR50" s="11"/>
      <c r="DS50" s="11"/>
      <c r="DT50" s="11"/>
      <c r="DU50" s="11"/>
      <c r="DV50" s="11"/>
      <c r="DW50" s="11"/>
      <c r="DX50" s="30"/>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30"/>
      <c r="EW50" s="11"/>
      <c r="EX50" s="11"/>
      <c r="EY50" s="11"/>
      <c r="EZ50" s="11"/>
      <c r="FA50" s="11"/>
      <c r="FB50" s="11"/>
      <c r="FC50" s="30"/>
      <c r="FD50" s="30"/>
      <c r="FE50" s="11"/>
      <c r="FF50" s="30"/>
      <c r="FG50" s="30"/>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row>
    <row r="51" spans="1:210" ht="75" customHeight="1">
      <c r="A51" s="11" t="s">
        <v>878</v>
      </c>
      <c r="B51" s="11" t="s">
        <v>865</v>
      </c>
      <c r="C51" s="11">
        <v>6547</v>
      </c>
      <c r="D51" s="11" t="s">
        <v>489</v>
      </c>
      <c r="E51" s="11" t="s">
        <v>879</v>
      </c>
      <c r="F51" s="11" t="s">
        <v>184</v>
      </c>
      <c r="G51" s="12" t="s">
        <v>880</v>
      </c>
      <c r="H51" s="11" t="s">
        <v>186</v>
      </c>
      <c r="I51" s="11" t="s">
        <v>365</v>
      </c>
      <c r="J51" s="11">
        <v>41166440</v>
      </c>
      <c r="K51" s="11" t="s">
        <v>868</v>
      </c>
      <c r="L51" s="11">
        <v>2025</v>
      </c>
      <c r="M51" s="28" t="s">
        <v>189</v>
      </c>
      <c r="N51" s="11"/>
      <c r="O51" s="11"/>
      <c r="P51" s="11" t="s">
        <v>869</v>
      </c>
      <c r="Q51" s="11" t="s">
        <v>870</v>
      </c>
      <c r="R51" s="31" t="s">
        <v>871</v>
      </c>
      <c r="S51" s="11"/>
      <c r="T51" s="11" t="s">
        <v>881</v>
      </c>
      <c r="U51" s="28" t="s">
        <v>193</v>
      </c>
      <c r="V51" s="39" t="s">
        <v>194</v>
      </c>
      <c r="W51" s="28" t="s">
        <v>195</v>
      </c>
      <c r="X51" s="11" t="s">
        <v>293</v>
      </c>
      <c r="Y51" s="11"/>
      <c r="Z51" s="11"/>
      <c r="AA51" s="11" t="s">
        <v>873</v>
      </c>
      <c r="AB51" s="11" t="s">
        <v>230</v>
      </c>
      <c r="AC51" s="11" t="s">
        <v>781</v>
      </c>
      <c r="AD51" s="28" t="s">
        <v>371</v>
      </c>
      <c r="AE51" s="11" t="s">
        <v>201</v>
      </c>
      <c r="AF51" s="11" t="s">
        <v>202</v>
      </c>
      <c r="AG51" s="11"/>
      <c r="AH51" s="11" t="s">
        <v>256</v>
      </c>
      <c r="AI51" s="28" t="s">
        <v>204</v>
      </c>
      <c r="AJ51" s="11" t="s">
        <v>184</v>
      </c>
      <c r="AK51" s="11" t="s">
        <v>184</v>
      </c>
      <c r="AL51" s="11" t="s">
        <v>874</v>
      </c>
      <c r="AM51" s="11">
        <v>4</v>
      </c>
      <c r="AN51" s="11" t="s">
        <v>875</v>
      </c>
      <c r="AO51" s="11" t="s">
        <v>184</v>
      </c>
      <c r="AP51" s="11" t="s">
        <v>876</v>
      </c>
      <c r="AQ51" s="11" t="s">
        <v>209</v>
      </c>
      <c r="AR51" s="11" t="s">
        <v>210</v>
      </c>
      <c r="AS51" s="11" t="s">
        <v>211</v>
      </c>
      <c r="AT51" s="11" t="s">
        <v>212</v>
      </c>
      <c r="AU51" s="11" t="s">
        <v>302</v>
      </c>
      <c r="AV51" s="11" t="s">
        <v>877</v>
      </c>
      <c r="AW51" s="11" t="s">
        <v>215</v>
      </c>
      <c r="AX51" s="11" t="s">
        <v>476</v>
      </c>
      <c r="AY51" s="11"/>
      <c r="AZ51" s="11" t="s">
        <v>218</v>
      </c>
      <c r="BA51" s="11" t="s">
        <v>219</v>
      </c>
      <c r="BB51" s="11"/>
      <c r="BC51" s="11"/>
      <c r="BD51" s="28" t="s">
        <v>220</v>
      </c>
      <c r="BE51" s="30" t="s">
        <v>221</v>
      </c>
      <c r="BF51" s="30"/>
      <c r="BG51" s="30"/>
      <c r="BH51" s="40" t="s">
        <v>268</v>
      </c>
      <c r="BI51" s="11" t="s">
        <v>184</v>
      </c>
      <c r="BJ51" s="11" t="s">
        <v>184</v>
      </c>
      <c r="BK51" s="11"/>
      <c r="BL51" s="11"/>
      <c r="BM51" s="11"/>
      <c r="BN51" s="11"/>
      <c r="BO51" s="11"/>
      <c r="BP51" s="30"/>
      <c r="BQ51" s="11"/>
      <c r="BR51" s="30"/>
      <c r="BS51" s="11"/>
      <c r="BT51" s="11"/>
      <c r="BU51" s="30"/>
      <c r="BV51" s="30"/>
      <c r="BW51" s="11"/>
      <c r="BX51" s="11"/>
      <c r="BY51" s="11"/>
      <c r="BZ51" s="11"/>
      <c r="CA51" s="11"/>
      <c r="CB51" s="11"/>
      <c r="CC51" s="11"/>
      <c r="CD51" s="11"/>
      <c r="CE51" s="14"/>
      <c r="CF51" s="15"/>
      <c r="CG51" s="15"/>
      <c r="CH51" s="15"/>
      <c r="CI51" s="15"/>
      <c r="CJ51" s="15"/>
      <c r="CK51" s="15"/>
      <c r="CL51" s="15"/>
      <c r="CM51" s="15"/>
      <c r="CN51" s="15"/>
      <c r="CO51" s="15"/>
      <c r="CP51" s="11"/>
      <c r="CQ51" s="30"/>
      <c r="CR51" s="11"/>
      <c r="CS51" s="30"/>
      <c r="CT51" s="11"/>
      <c r="CU51" s="11"/>
      <c r="CV51" s="30"/>
      <c r="CW51" s="30"/>
      <c r="CX51" s="11"/>
      <c r="CY51" s="11"/>
      <c r="CZ51" s="11"/>
      <c r="DA51" s="11"/>
      <c r="DB51" s="11"/>
      <c r="DC51" s="11"/>
      <c r="DD51" s="30"/>
      <c r="DE51" s="11"/>
      <c r="DF51" s="11"/>
      <c r="DG51" s="11"/>
      <c r="DH51" s="11"/>
      <c r="DI51" s="11"/>
      <c r="DJ51" s="11"/>
      <c r="DK51" s="11"/>
      <c r="DL51" s="11"/>
      <c r="DM51" s="11"/>
      <c r="DN51" s="11"/>
      <c r="DO51" s="11"/>
      <c r="DP51" s="11"/>
      <c r="DQ51" s="11"/>
      <c r="DR51" s="11"/>
      <c r="DS51" s="11"/>
      <c r="DT51" s="11"/>
      <c r="DU51" s="11"/>
      <c r="DV51" s="11"/>
      <c r="DW51" s="11"/>
      <c r="DX51" s="30"/>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30"/>
      <c r="EW51" s="11"/>
      <c r="EX51" s="11"/>
      <c r="EY51" s="11"/>
      <c r="EZ51" s="11"/>
      <c r="FA51" s="11"/>
      <c r="FB51" s="11"/>
      <c r="FC51" s="30"/>
      <c r="FD51" s="30"/>
      <c r="FE51" s="11"/>
      <c r="FF51" s="30"/>
      <c r="FG51" s="30"/>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row>
    <row r="52" spans="1:210" ht="75" customHeight="1">
      <c r="A52" s="11" t="s">
        <v>882</v>
      </c>
      <c r="B52" s="11" t="s">
        <v>883</v>
      </c>
      <c r="C52" s="11">
        <v>7325</v>
      </c>
      <c r="D52" s="11" t="s">
        <v>246</v>
      </c>
      <c r="E52" s="11" t="s">
        <v>884</v>
      </c>
      <c r="F52" s="11" t="s">
        <v>184</v>
      </c>
      <c r="G52" s="12" t="s">
        <v>885</v>
      </c>
      <c r="H52" s="11" t="s">
        <v>186</v>
      </c>
      <c r="I52" s="11" t="s">
        <v>187</v>
      </c>
      <c r="J52" s="11">
        <v>33357406</v>
      </c>
      <c r="K52" s="11" t="s">
        <v>886</v>
      </c>
      <c r="L52" s="11">
        <v>2021</v>
      </c>
      <c r="M52" s="11" t="s">
        <v>189</v>
      </c>
      <c r="N52" s="11"/>
      <c r="O52" s="11"/>
      <c r="P52" s="11" t="s">
        <v>887</v>
      </c>
      <c r="Q52" s="11" t="s">
        <v>888</v>
      </c>
      <c r="R52" s="11" t="s">
        <v>887</v>
      </c>
      <c r="S52" s="11"/>
      <c r="T52" s="11" t="s">
        <v>889</v>
      </c>
      <c r="U52" s="11" t="s">
        <v>193</v>
      </c>
      <c r="V52" s="11" t="s">
        <v>194</v>
      </c>
      <c r="W52" s="11" t="s">
        <v>195</v>
      </c>
      <c r="X52" s="11" t="s">
        <v>253</v>
      </c>
      <c r="Y52" s="11"/>
      <c r="Z52" s="11"/>
      <c r="AA52" s="11" t="s">
        <v>890</v>
      </c>
      <c r="AB52" s="11" t="s">
        <v>230</v>
      </c>
      <c r="AC52" s="11" t="s">
        <v>231</v>
      </c>
      <c r="AD52" s="11" t="s">
        <v>454</v>
      </c>
      <c r="AE52" s="11" t="s">
        <v>233</v>
      </c>
      <c r="AF52" s="11" t="s">
        <v>295</v>
      </c>
      <c r="AG52" s="11" t="s">
        <v>891</v>
      </c>
      <c r="AH52" s="11" t="s">
        <v>892</v>
      </c>
      <c r="AI52" s="11" t="s">
        <v>204</v>
      </c>
      <c r="AJ52" s="11" t="s">
        <v>184</v>
      </c>
      <c r="AK52" s="11" t="s">
        <v>184</v>
      </c>
      <c r="AL52" s="11" t="s">
        <v>893</v>
      </c>
      <c r="AM52" s="11">
        <v>3</v>
      </c>
      <c r="AN52" s="11" t="s">
        <v>894</v>
      </c>
      <c r="AO52" s="11" t="s">
        <v>895</v>
      </c>
      <c r="AP52" s="31"/>
      <c r="AQ52" s="11" t="s">
        <v>209</v>
      </c>
      <c r="AR52" s="11" t="s">
        <v>210</v>
      </c>
      <c r="AS52" s="11" t="s">
        <v>211</v>
      </c>
      <c r="AT52" s="11" t="s">
        <v>212</v>
      </c>
      <c r="AU52" s="11" t="s">
        <v>302</v>
      </c>
      <c r="AV52" s="11"/>
      <c r="AW52" s="11" t="s">
        <v>643</v>
      </c>
      <c r="AX52" s="11" t="s">
        <v>644</v>
      </c>
      <c r="AY52" s="11"/>
      <c r="AZ52" s="11" t="s">
        <v>218</v>
      </c>
      <c r="BA52" s="11" t="s">
        <v>219</v>
      </c>
      <c r="BB52" s="11"/>
      <c r="BC52" s="11"/>
      <c r="BD52" s="11" t="s">
        <v>220</v>
      </c>
      <c r="BE52" s="11" t="s">
        <v>221</v>
      </c>
      <c r="BF52" s="13">
        <v>0</v>
      </c>
      <c r="BG52" s="13">
        <v>0</v>
      </c>
      <c r="BH52" s="11" t="s">
        <v>757</v>
      </c>
      <c r="BI52" s="11" t="s">
        <v>184</v>
      </c>
      <c r="BJ52" s="11" t="s">
        <v>221</v>
      </c>
      <c r="BK52" s="11" t="s">
        <v>184</v>
      </c>
      <c r="BL52" s="11" t="s">
        <v>819</v>
      </c>
      <c r="BM52" s="11" t="s">
        <v>896</v>
      </c>
      <c r="BN52" s="11" t="s">
        <v>225</v>
      </c>
      <c r="BO52" s="11" t="s">
        <v>801</v>
      </c>
      <c r="BP52" s="11" t="s">
        <v>897</v>
      </c>
      <c r="BQ52" s="11" t="s">
        <v>244</v>
      </c>
      <c r="BR52" s="11"/>
      <c r="BS52" s="11"/>
      <c r="BT52" s="11"/>
      <c r="BU52" s="11"/>
      <c r="BV52" s="11"/>
      <c r="BW52" s="11"/>
      <c r="BX52" s="11"/>
      <c r="BY52" s="11"/>
      <c r="BZ52" s="11"/>
      <c r="CA52" s="11"/>
      <c r="CB52" s="11"/>
      <c r="CC52" s="11"/>
      <c r="CD52" s="11"/>
      <c r="CE52" s="14"/>
      <c r="CF52" s="15"/>
      <c r="CG52" s="15"/>
      <c r="CH52" s="15"/>
      <c r="CI52" s="15"/>
      <c r="CJ52" s="15"/>
      <c r="CK52" s="15"/>
      <c r="CL52" s="15"/>
      <c r="CM52" s="15"/>
      <c r="CN52" s="15"/>
      <c r="CO52" s="15"/>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row>
    <row r="53" spans="1:210" ht="75" customHeight="1">
      <c r="A53" s="11" t="s">
        <v>898</v>
      </c>
      <c r="B53" s="11" t="s">
        <v>899</v>
      </c>
      <c r="C53" s="11">
        <v>28625</v>
      </c>
      <c r="D53" s="11" t="s">
        <v>489</v>
      </c>
      <c r="E53" s="11" t="s">
        <v>900</v>
      </c>
      <c r="F53" s="11" t="s">
        <v>184</v>
      </c>
      <c r="G53" s="12" t="s">
        <v>901</v>
      </c>
      <c r="H53" s="11" t="s">
        <v>186</v>
      </c>
      <c r="I53" s="11" t="s">
        <v>187</v>
      </c>
      <c r="J53" s="11">
        <v>38720117</v>
      </c>
      <c r="K53" s="11" t="s">
        <v>902</v>
      </c>
      <c r="L53" s="11">
        <v>2024</v>
      </c>
      <c r="M53" s="11" t="s">
        <v>189</v>
      </c>
      <c r="N53" s="11"/>
      <c r="O53" s="11"/>
      <c r="P53" s="11"/>
      <c r="Q53" s="11" t="s">
        <v>903</v>
      </c>
      <c r="R53" s="11" t="s">
        <v>904</v>
      </c>
      <c r="S53" s="11"/>
      <c r="T53" s="11" t="s">
        <v>905</v>
      </c>
      <c r="U53" s="11" t="s">
        <v>193</v>
      </c>
      <c r="V53" s="11" t="s">
        <v>194</v>
      </c>
      <c r="W53" s="11" t="s">
        <v>195</v>
      </c>
      <c r="X53" s="11" t="s">
        <v>196</v>
      </c>
      <c r="Y53" s="11"/>
      <c r="Z53" s="11"/>
      <c r="AA53" s="11" t="s">
        <v>906</v>
      </c>
      <c r="AB53" s="11" t="s">
        <v>230</v>
      </c>
      <c r="AC53" s="11" t="s">
        <v>231</v>
      </c>
      <c r="AD53" s="11" t="s">
        <v>454</v>
      </c>
      <c r="AE53" s="11" t="s">
        <v>233</v>
      </c>
      <c r="AF53" s="11" t="s">
        <v>680</v>
      </c>
      <c r="AG53" s="11" t="s">
        <v>907</v>
      </c>
      <c r="AH53" s="11" t="s">
        <v>908</v>
      </c>
      <c r="AI53" s="11" t="s">
        <v>204</v>
      </c>
      <c r="AJ53" s="11" t="s">
        <v>184</v>
      </c>
      <c r="AK53" s="11" t="s">
        <v>184</v>
      </c>
      <c r="AL53" s="11" t="s">
        <v>909</v>
      </c>
      <c r="AM53" s="11" t="s">
        <v>910</v>
      </c>
      <c r="AN53" s="11" t="s">
        <v>911</v>
      </c>
      <c r="AO53" s="11" t="s">
        <v>912</v>
      </c>
      <c r="AP53" s="31"/>
      <c r="AQ53" s="11" t="s">
        <v>209</v>
      </c>
      <c r="AR53" s="11" t="s">
        <v>210</v>
      </c>
      <c r="AS53" s="11" t="s">
        <v>415</v>
      </c>
      <c r="AT53" s="11" t="s">
        <v>212</v>
      </c>
      <c r="AU53" s="11" t="s">
        <v>213</v>
      </c>
      <c r="AV53" s="11" t="s">
        <v>913</v>
      </c>
      <c r="AW53" s="11" t="s">
        <v>643</v>
      </c>
      <c r="AX53" s="11" t="s">
        <v>644</v>
      </c>
      <c r="AY53" s="11"/>
      <c r="AZ53" s="11" t="s">
        <v>218</v>
      </c>
      <c r="BA53" s="11" t="s">
        <v>265</v>
      </c>
      <c r="BB53" s="11"/>
      <c r="BC53" s="11"/>
      <c r="BD53" s="11" t="s">
        <v>220</v>
      </c>
      <c r="BE53" s="11" t="s">
        <v>221</v>
      </c>
      <c r="BF53" s="13">
        <v>0</v>
      </c>
      <c r="BG53" s="13">
        <v>284</v>
      </c>
      <c r="BH53" s="11" t="s">
        <v>542</v>
      </c>
      <c r="BI53" s="11" t="s">
        <v>207</v>
      </c>
      <c r="BJ53" s="11" t="s">
        <v>914</v>
      </c>
      <c r="BK53" s="11" t="s">
        <v>184</v>
      </c>
      <c r="BL53" s="11"/>
      <c r="BM53" s="11"/>
      <c r="BN53" s="11"/>
      <c r="BO53" s="11"/>
      <c r="BP53" s="11"/>
      <c r="BQ53" s="11"/>
      <c r="BR53" s="11"/>
      <c r="BS53" s="11"/>
      <c r="BT53" s="11"/>
      <c r="BU53" s="11"/>
      <c r="BV53" s="11"/>
      <c r="BW53" s="11"/>
      <c r="BX53" s="11"/>
      <c r="BY53" s="11"/>
      <c r="BZ53" s="11"/>
      <c r="CA53" s="11"/>
      <c r="CB53" s="11"/>
      <c r="CC53" s="11"/>
      <c r="CD53" s="11"/>
      <c r="CE53" s="14"/>
      <c r="CF53" s="15"/>
      <c r="CG53" s="15"/>
      <c r="CH53" s="15"/>
      <c r="CI53" s="15"/>
      <c r="CJ53" s="15"/>
      <c r="CK53" s="15"/>
      <c r="CL53" s="15"/>
      <c r="CM53" s="15"/>
      <c r="CN53" s="15"/>
      <c r="CO53" s="15"/>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row>
    <row r="54" spans="1:210" ht="75" customHeight="1">
      <c r="A54" s="11" t="s">
        <v>26</v>
      </c>
      <c r="B54" s="11" t="s">
        <v>915</v>
      </c>
      <c r="C54" s="11">
        <v>8512</v>
      </c>
      <c r="D54" s="11" t="s">
        <v>489</v>
      </c>
      <c r="E54" s="11" t="s">
        <v>916</v>
      </c>
      <c r="F54" s="11" t="s">
        <v>184</v>
      </c>
      <c r="G54" s="12" t="s">
        <v>917</v>
      </c>
      <c r="H54" s="11" t="s">
        <v>342</v>
      </c>
      <c r="I54" s="11" t="s">
        <v>187</v>
      </c>
      <c r="J54" s="11">
        <v>37146589</v>
      </c>
      <c r="K54" s="11" t="s">
        <v>918</v>
      </c>
      <c r="L54" s="11">
        <v>2023</v>
      </c>
      <c r="M54" s="11" t="s">
        <v>189</v>
      </c>
      <c r="N54" s="11"/>
      <c r="O54" s="11"/>
      <c r="P54" s="11" t="s">
        <v>919</v>
      </c>
      <c r="Q54" s="11" t="s">
        <v>920</v>
      </c>
      <c r="R54" s="11" t="s">
        <v>921</v>
      </c>
      <c r="S54" s="11" t="s">
        <v>922</v>
      </c>
      <c r="T54" s="11" t="s">
        <v>923</v>
      </c>
      <c r="U54" s="11" t="s">
        <v>449</v>
      </c>
      <c r="V54" s="11" t="s">
        <v>450</v>
      </c>
      <c r="W54" s="11" t="s">
        <v>451</v>
      </c>
      <c r="X54" s="11"/>
      <c r="Y54" s="11" t="s">
        <v>924</v>
      </c>
      <c r="Z54" s="11" t="s">
        <v>925</v>
      </c>
      <c r="AA54" s="11" t="s">
        <v>926</v>
      </c>
      <c r="AB54" s="11" t="s">
        <v>230</v>
      </c>
      <c r="AC54" s="11" t="s">
        <v>231</v>
      </c>
      <c r="AD54" s="11" t="s">
        <v>454</v>
      </c>
      <c r="AE54" s="11" t="s">
        <v>927</v>
      </c>
      <c r="AF54" s="11" t="s">
        <v>499</v>
      </c>
      <c r="AG54" s="11"/>
      <c r="AH54" s="11" t="s">
        <v>928</v>
      </c>
      <c r="AI54" s="11" t="s">
        <v>204</v>
      </c>
      <c r="AJ54" s="11" t="s">
        <v>184</v>
      </c>
      <c r="AK54" s="11" t="s">
        <v>184</v>
      </c>
      <c r="AL54" s="11" t="s">
        <v>929</v>
      </c>
      <c r="AM54" s="11">
        <v>3</v>
      </c>
      <c r="AN54" s="11" t="s">
        <v>930</v>
      </c>
      <c r="AO54" s="11" t="s">
        <v>931</v>
      </c>
      <c r="AP54" s="31"/>
      <c r="AQ54" s="11" t="s">
        <v>209</v>
      </c>
      <c r="AR54" s="11" t="s">
        <v>210</v>
      </c>
      <c r="AS54" s="11" t="s">
        <v>211</v>
      </c>
      <c r="AT54" s="11" t="s">
        <v>212</v>
      </c>
      <c r="AU54" s="11" t="s">
        <v>302</v>
      </c>
      <c r="AV54" s="11" t="s">
        <v>932</v>
      </c>
      <c r="AW54" s="11" t="s">
        <v>355</v>
      </c>
      <c r="AX54" s="11" t="s">
        <v>505</v>
      </c>
      <c r="AY54" s="11" t="s">
        <v>933</v>
      </c>
      <c r="AZ54" s="11" t="s">
        <v>739</v>
      </c>
      <c r="BA54" s="11" t="s">
        <v>265</v>
      </c>
      <c r="BB54" s="11"/>
      <c r="BC54" s="11"/>
      <c r="BD54" s="11" t="s">
        <v>220</v>
      </c>
      <c r="BE54" s="11" t="s">
        <v>221</v>
      </c>
      <c r="BF54" s="13">
        <v>0</v>
      </c>
      <c r="BG54" s="13">
        <v>0</v>
      </c>
      <c r="BH54" s="11" t="s">
        <v>934</v>
      </c>
      <c r="BI54" s="11" t="s">
        <v>207</v>
      </c>
      <c r="BJ54" s="11" t="s">
        <v>221</v>
      </c>
      <c r="BK54" s="11" t="s">
        <v>184</v>
      </c>
      <c r="BL54" s="11" t="s">
        <v>935</v>
      </c>
      <c r="BM54" s="11" t="s">
        <v>936</v>
      </c>
      <c r="BN54" s="11" t="s">
        <v>225</v>
      </c>
      <c r="BO54" s="11" t="s">
        <v>937</v>
      </c>
      <c r="BP54" s="11" t="s">
        <v>938</v>
      </c>
      <c r="BQ54" s="11" t="s">
        <v>310</v>
      </c>
      <c r="BR54" s="11" t="s">
        <v>939</v>
      </c>
      <c r="BS54" s="11" t="s">
        <v>940</v>
      </c>
      <c r="BT54" s="11" t="s">
        <v>244</v>
      </c>
      <c r="BU54" s="11"/>
      <c r="BV54" s="11"/>
      <c r="BW54" s="11"/>
      <c r="BX54" s="11"/>
      <c r="BY54" s="11"/>
      <c r="BZ54" s="11"/>
      <c r="CA54" s="11"/>
      <c r="CB54" s="11"/>
      <c r="CC54" s="11"/>
      <c r="CD54" s="11" t="s">
        <v>941</v>
      </c>
      <c r="CE54" s="36"/>
      <c r="CF54" s="37"/>
      <c r="CG54" s="37"/>
      <c r="CH54" s="37"/>
      <c r="CI54" s="37"/>
      <c r="CJ54" s="37"/>
      <c r="CK54" s="37"/>
      <c r="CL54" s="37"/>
      <c r="CM54" s="37"/>
      <c r="CN54" s="37"/>
      <c r="CO54" s="37"/>
      <c r="CP54" s="38"/>
      <c r="CQ54" s="38"/>
      <c r="CR54" s="38"/>
      <c r="CS54" s="38"/>
      <c r="CT54" s="38"/>
      <c r="CU54" s="38"/>
      <c r="CV54" s="38"/>
      <c r="CW54" s="38"/>
      <c r="CX54" s="38"/>
      <c r="CY54" s="38"/>
      <c r="CZ54" s="38"/>
      <c r="DA54" s="38"/>
      <c r="DB54" s="38"/>
      <c r="DC54" s="38"/>
      <c r="DD54" s="38"/>
      <c r="DE54" s="38"/>
      <c r="DF54" s="38"/>
      <c r="DG54" s="38"/>
      <c r="DH54" s="38"/>
      <c r="DI54" s="38"/>
      <c r="DJ54" s="38"/>
      <c r="DK54" s="38"/>
      <c r="DL54" s="38"/>
      <c r="DM54" s="38"/>
      <c r="DN54" s="38"/>
      <c r="DO54" s="38"/>
      <c r="DP54" s="38"/>
      <c r="DQ54" s="38"/>
      <c r="DR54" s="38"/>
      <c r="DS54" s="38"/>
      <c r="DT54" s="38"/>
      <c r="DU54" s="38"/>
      <c r="DV54" s="38"/>
      <c r="DW54" s="38"/>
      <c r="DX54" s="38"/>
      <c r="DY54" s="38"/>
      <c r="DZ54" s="38"/>
      <c r="EA54" s="38"/>
      <c r="EB54" s="38"/>
      <c r="EC54" s="38"/>
      <c r="ED54" s="38"/>
      <c r="EE54" s="38"/>
      <c r="EF54" s="38"/>
      <c r="EG54" s="38"/>
      <c r="EH54" s="38"/>
      <c r="EI54" s="38"/>
      <c r="EJ54" s="38"/>
      <c r="EK54" s="38"/>
      <c r="EL54" s="38"/>
      <c r="EM54" s="38"/>
      <c r="EN54" s="38"/>
      <c r="EO54" s="38"/>
      <c r="EP54" s="38"/>
      <c r="EQ54" s="38"/>
      <c r="ER54" s="38"/>
      <c r="ES54" s="38"/>
      <c r="ET54" s="38"/>
      <c r="EU54" s="38"/>
      <c r="EV54" s="38"/>
      <c r="EW54" s="38"/>
      <c r="EX54" s="38"/>
      <c r="EY54" s="38"/>
      <c r="EZ54" s="38"/>
      <c r="FA54" s="38"/>
      <c r="FB54" s="38"/>
      <c r="FC54" s="38"/>
      <c r="FD54" s="38"/>
      <c r="FE54" s="38"/>
      <c r="FF54" s="38"/>
      <c r="FG54" s="38"/>
      <c r="FH54" s="38"/>
      <c r="FI54" s="38"/>
      <c r="FJ54" s="38"/>
      <c r="FK54" s="38"/>
      <c r="FL54" s="38"/>
      <c r="FM54" s="38"/>
      <c r="FN54" s="38"/>
      <c r="FO54" s="38"/>
      <c r="FP54" s="38"/>
      <c r="FQ54" s="38"/>
      <c r="FR54" s="38"/>
      <c r="FS54" s="38"/>
      <c r="FT54" s="38"/>
      <c r="FU54" s="38"/>
      <c r="FV54" s="38"/>
      <c r="FW54" s="38"/>
      <c r="FX54" s="38"/>
      <c r="FY54" s="38"/>
      <c r="FZ54" s="38"/>
      <c r="GA54" s="38"/>
      <c r="GB54" s="38"/>
      <c r="GC54" s="38"/>
      <c r="GD54" s="38"/>
      <c r="GE54" s="38"/>
      <c r="GF54" s="38"/>
      <c r="GG54" s="38"/>
      <c r="GH54" s="38"/>
      <c r="GI54" s="38"/>
      <c r="GJ54" s="38"/>
      <c r="GK54" s="38"/>
      <c r="GL54" s="38"/>
      <c r="GM54" s="38"/>
      <c r="GN54" s="38"/>
      <c r="GO54" s="38"/>
      <c r="GP54" s="38"/>
      <c r="GQ54" s="38"/>
      <c r="GR54" s="38"/>
      <c r="GS54" s="38"/>
      <c r="GT54" s="38"/>
      <c r="GU54" s="38"/>
      <c r="GV54" s="38"/>
      <c r="GW54" s="38"/>
      <c r="GX54" s="38"/>
      <c r="GY54" s="38"/>
      <c r="GZ54" s="38"/>
      <c r="HA54" s="38"/>
      <c r="HB54" s="38"/>
    </row>
    <row r="55" spans="1:210" ht="75" customHeight="1">
      <c r="A55" s="11" t="s">
        <v>942</v>
      </c>
      <c r="B55" s="11" t="s">
        <v>943</v>
      </c>
      <c r="C55" s="11">
        <v>26144</v>
      </c>
      <c r="D55" s="11" t="s">
        <v>246</v>
      </c>
      <c r="E55" s="11" t="s">
        <v>944</v>
      </c>
      <c r="F55" s="11" t="s">
        <v>184</v>
      </c>
      <c r="G55" s="11" t="s">
        <v>969</v>
      </c>
      <c r="H55" s="11" t="s">
        <v>186</v>
      </c>
      <c r="I55" s="11" t="s">
        <v>365</v>
      </c>
      <c r="J55" s="11">
        <v>41554690</v>
      </c>
      <c r="K55" s="11" t="s">
        <v>946</v>
      </c>
      <c r="L55" s="11">
        <v>2026</v>
      </c>
      <c r="M55" s="11" t="s">
        <v>189</v>
      </c>
      <c r="N55" s="11"/>
      <c r="O55" s="11"/>
      <c r="P55" s="11" t="s">
        <v>947</v>
      </c>
      <c r="Q55" s="11" t="s">
        <v>948</v>
      </c>
      <c r="R55" s="11" t="s">
        <v>947</v>
      </c>
      <c r="S55" s="11"/>
      <c r="T55" s="11" t="s">
        <v>949</v>
      </c>
      <c r="U55" s="11" t="s">
        <v>950</v>
      </c>
      <c r="V55" s="11" t="s">
        <v>392</v>
      </c>
      <c r="W55" s="11" t="s">
        <v>951</v>
      </c>
      <c r="X55" s="11" t="s">
        <v>394</v>
      </c>
      <c r="Y55" s="11"/>
      <c r="Z55" s="11"/>
      <c r="AA55" s="11" t="s">
        <v>952</v>
      </c>
      <c r="AB55" s="11" t="s">
        <v>230</v>
      </c>
      <c r="AC55" s="11" t="s">
        <v>231</v>
      </c>
      <c r="AD55" s="11" t="s">
        <v>232</v>
      </c>
      <c r="AE55" s="11" t="s">
        <v>233</v>
      </c>
      <c r="AF55" s="11" t="s">
        <v>295</v>
      </c>
      <c r="AG55" s="11" t="s">
        <v>953</v>
      </c>
      <c r="AH55" s="11" t="s">
        <v>954</v>
      </c>
      <c r="AI55" s="11" t="s">
        <v>204</v>
      </c>
      <c r="AJ55" s="11" t="s">
        <v>184</v>
      </c>
      <c r="AK55" s="11" t="s">
        <v>184</v>
      </c>
      <c r="AL55" s="11" t="s">
        <v>955</v>
      </c>
      <c r="AM55" s="11" t="s">
        <v>956</v>
      </c>
      <c r="AN55" s="11" t="s">
        <v>957</v>
      </c>
      <c r="AO55" s="11" t="s">
        <v>207</v>
      </c>
      <c r="AP55" s="11" t="s">
        <v>958</v>
      </c>
      <c r="AQ55" s="11" t="s">
        <v>209</v>
      </c>
      <c r="AR55" s="11" t="s">
        <v>210</v>
      </c>
      <c r="AS55" s="11" t="s">
        <v>415</v>
      </c>
      <c r="AT55" s="11" t="s">
        <v>212</v>
      </c>
      <c r="AU55" s="11" t="s">
        <v>302</v>
      </c>
      <c r="AV55" s="11" t="s">
        <v>959</v>
      </c>
      <c r="AW55" s="11" t="s">
        <v>215</v>
      </c>
      <c r="AX55" s="11" t="s">
        <v>216</v>
      </c>
      <c r="AY55" s="11" t="s">
        <v>960</v>
      </c>
      <c r="AZ55" s="11" t="s">
        <v>218</v>
      </c>
      <c r="BA55" s="11" t="s">
        <v>265</v>
      </c>
      <c r="BB55" s="11"/>
      <c r="BC55" s="11"/>
      <c r="BD55" s="11" t="s">
        <v>220</v>
      </c>
      <c r="BE55" s="11" t="s">
        <v>221</v>
      </c>
      <c r="BF55" s="11">
        <v>49</v>
      </c>
      <c r="BG55" s="11">
        <v>339</v>
      </c>
      <c r="BH55" s="11" t="s">
        <v>961</v>
      </c>
      <c r="BI55" s="11" t="s">
        <v>207</v>
      </c>
      <c r="BJ55" s="11" t="s">
        <v>221</v>
      </c>
      <c r="BK55" s="11" t="s">
        <v>184</v>
      </c>
      <c r="BL55" s="11" t="s">
        <v>646</v>
      </c>
      <c r="BM55" s="11" t="s">
        <v>962</v>
      </c>
      <c r="BN55" s="11" t="s">
        <v>244</v>
      </c>
      <c r="BO55" s="11" t="s">
        <v>963</v>
      </c>
      <c r="BP55" s="11" t="s">
        <v>964</v>
      </c>
      <c r="BQ55" s="11" t="s">
        <v>963</v>
      </c>
      <c r="BR55" s="11" t="s">
        <v>861</v>
      </c>
      <c r="BS55" s="11" t="s">
        <v>965</v>
      </c>
      <c r="BT55" s="11" t="s">
        <v>966</v>
      </c>
      <c r="BU55" s="11"/>
      <c r="BV55" s="11"/>
      <c r="BW55" s="11"/>
      <c r="BX55" s="11"/>
      <c r="BY55" s="11"/>
      <c r="BZ55" s="11"/>
      <c r="CA55" s="11"/>
      <c r="CB55" s="11"/>
      <c r="CC55" s="11"/>
      <c r="CD55" s="11"/>
      <c r="CE55" s="14"/>
      <c r="CF55" s="15"/>
      <c r="CG55" s="15"/>
      <c r="CH55" s="15"/>
      <c r="CI55" s="15"/>
      <c r="CJ55" s="15"/>
      <c r="CK55" s="15"/>
      <c r="CL55" s="15"/>
      <c r="CM55" s="15"/>
      <c r="CN55" s="15"/>
      <c r="CO55" s="15"/>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row>
    <row r="56" spans="1:210" ht="75" customHeight="1">
      <c r="A56" s="11" t="s">
        <v>967</v>
      </c>
      <c r="B56" s="11" t="s">
        <v>943</v>
      </c>
      <c r="C56" s="11">
        <v>26144</v>
      </c>
      <c r="D56" s="11" t="s">
        <v>246</v>
      </c>
      <c r="E56" s="11" t="s">
        <v>968</v>
      </c>
      <c r="F56" s="11" t="s">
        <v>184</v>
      </c>
      <c r="G56" s="11" t="s">
        <v>945</v>
      </c>
      <c r="H56" s="11" t="s">
        <v>186</v>
      </c>
      <c r="I56" s="11" t="s">
        <v>365</v>
      </c>
      <c r="J56" s="11">
        <v>41554690</v>
      </c>
      <c r="K56" s="11" t="s">
        <v>946</v>
      </c>
      <c r="L56" s="11">
        <v>2026</v>
      </c>
      <c r="M56" s="11" t="s">
        <v>189</v>
      </c>
      <c r="N56" s="11"/>
      <c r="O56" s="11"/>
      <c r="P56" s="11" t="s">
        <v>947</v>
      </c>
      <c r="Q56" s="11" t="s">
        <v>948</v>
      </c>
      <c r="R56" s="11" t="s">
        <v>947</v>
      </c>
      <c r="S56" s="11"/>
      <c r="T56" s="11" t="s">
        <v>970</v>
      </c>
      <c r="U56" s="11" t="s">
        <v>193</v>
      </c>
      <c r="V56" s="11" t="s">
        <v>194</v>
      </c>
      <c r="W56" s="11" t="s">
        <v>195</v>
      </c>
      <c r="X56" s="11" t="s">
        <v>253</v>
      </c>
      <c r="Y56" s="11"/>
      <c r="Z56" s="11"/>
      <c r="AA56" s="11" t="s">
        <v>369</v>
      </c>
      <c r="AB56" s="11" t="s">
        <v>255</v>
      </c>
      <c r="AC56" s="11" t="s">
        <v>231</v>
      </c>
      <c r="AD56" s="11" t="s">
        <v>232</v>
      </c>
      <c r="AE56" s="11" t="s">
        <v>233</v>
      </c>
      <c r="AF56" s="11" t="s">
        <v>234</v>
      </c>
      <c r="AG56" s="11"/>
      <c r="AH56" s="11" t="s">
        <v>256</v>
      </c>
      <c r="AI56" s="11" t="s">
        <v>204</v>
      </c>
      <c r="AJ56" s="11" t="s">
        <v>207</v>
      </c>
      <c r="AK56" s="11" t="s">
        <v>207</v>
      </c>
      <c r="AL56" s="11" t="s">
        <v>971</v>
      </c>
      <c r="AM56" s="11">
        <v>2</v>
      </c>
      <c r="AN56" s="11" t="s">
        <v>972</v>
      </c>
      <c r="AO56" s="11" t="s">
        <v>184</v>
      </c>
      <c r="AP56" s="11"/>
      <c r="AQ56" s="11" t="s">
        <v>260</v>
      </c>
      <c r="AR56" s="11" t="s">
        <v>373</v>
      </c>
      <c r="AS56" s="11" t="s">
        <v>973</v>
      </c>
      <c r="AT56" s="11" t="s">
        <v>263</v>
      </c>
      <c r="AU56" s="11" t="s">
        <v>302</v>
      </c>
      <c r="AV56" s="11" t="s">
        <v>974</v>
      </c>
      <c r="AW56" s="11"/>
      <c r="AX56" s="11" t="s">
        <v>216</v>
      </c>
      <c r="AY56" s="11" t="s">
        <v>975</v>
      </c>
      <c r="AZ56" s="11" t="s">
        <v>218</v>
      </c>
      <c r="BA56" s="11" t="s">
        <v>265</v>
      </c>
      <c r="BB56" s="11" t="s">
        <v>266</v>
      </c>
      <c r="BC56" s="11" t="s">
        <v>267</v>
      </c>
      <c r="BD56" s="11" t="s">
        <v>220</v>
      </c>
      <c r="BE56" s="11" t="s">
        <v>221</v>
      </c>
      <c r="BF56" s="11">
        <v>68</v>
      </c>
      <c r="BG56" s="11">
        <v>9</v>
      </c>
      <c r="BH56" s="11" t="s">
        <v>976</v>
      </c>
      <c r="BI56" s="11" t="s">
        <v>184</v>
      </c>
      <c r="BJ56" s="11" t="s">
        <v>269</v>
      </c>
      <c r="BK56" s="11"/>
      <c r="BL56" s="11"/>
      <c r="BM56" s="11"/>
      <c r="BN56" s="11"/>
      <c r="BO56" s="11"/>
      <c r="BP56" s="11"/>
      <c r="BQ56" s="11"/>
      <c r="BR56" s="11"/>
      <c r="BS56" s="11"/>
      <c r="BT56" s="11"/>
      <c r="BU56" s="11"/>
      <c r="BV56" s="11"/>
      <c r="BW56" s="11"/>
      <c r="BX56" s="11"/>
      <c r="BY56" s="11"/>
      <c r="BZ56" s="11"/>
      <c r="CA56" s="11"/>
      <c r="CB56" s="11"/>
      <c r="CC56" s="11"/>
      <c r="CD56" s="11" t="s">
        <v>977</v>
      </c>
      <c r="CE56" s="14"/>
      <c r="CF56" s="15"/>
      <c r="CG56" s="15"/>
      <c r="CH56" s="15"/>
      <c r="CI56" s="15"/>
      <c r="CJ56" s="15"/>
      <c r="CK56" s="15"/>
      <c r="CL56" s="15"/>
      <c r="CM56" s="15"/>
      <c r="CN56" s="15"/>
      <c r="CO56" s="15"/>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row>
    <row r="57" spans="1:210" ht="75" customHeight="1">
      <c r="A57" s="11" t="s">
        <v>978</v>
      </c>
      <c r="B57" s="11" t="s">
        <v>943</v>
      </c>
      <c r="C57" s="11">
        <v>26144</v>
      </c>
      <c r="D57" s="11" t="s">
        <v>246</v>
      </c>
      <c r="E57" s="11" t="s">
        <v>979</v>
      </c>
      <c r="F57" s="11" t="s">
        <v>207</v>
      </c>
      <c r="G57" s="12" t="s">
        <v>980</v>
      </c>
      <c r="H57" s="11" t="s">
        <v>186</v>
      </c>
      <c r="I57" s="11" t="s">
        <v>187</v>
      </c>
      <c r="J57" s="11"/>
      <c r="K57" s="11" t="s">
        <v>383</v>
      </c>
      <c r="L57" s="11"/>
      <c r="M57" s="11" t="s">
        <v>189</v>
      </c>
      <c r="N57" s="11"/>
      <c r="O57" s="11"/>
      <c r="P57" s="11"/>
      <c r="Q57" s="11" t="s">
        <v>948</v>
      </c>
      <c r="R57" s="11" t="s">
        <v>947</v>
      </c>
      <c r="S57" s="11"/>
      <c r="T57" s="11" t="s">
        <v>981</v>
      </c>
      <c r="U57" s="11" t="s">
        <v>193</v>
      </c>
      <c r="V57" s="11" t="s">
        <v>194</v>
      </c>
      <c r="W57" s="11" t="s">
        <v>195</v>
      </c>
      <c r="X57" s="11" t="s">
        <v>253</v>
      </c>
      <c r="Y57" s="11"/>
      <c r="Z57" s="11"/>
      <c r="AA57" s="11" t="s">
        <v>278</v>
      </c>
      <c r="AB57" s="11" t="s">
        <v>255</v>
      </c>
      <c r="AC57" s="11" t="s">
        <v>231</v>
      </c>
      <c r="AD57" s="11" t="s">
        <v>232</v>
      </c>
      <c r="AE57" s="11" t="s">
        <v>233</v>
      </c>
      <c r="AF57" s="11" t="s">
        <v>234</v>
      </c>
      <c r="AG57" s="11"/>
      <c r="AH57" s="11" t="s">
        <v>256</v>
      </c>
      <c r="AI57" s="11" t="s">
        <v>204</v>
      </c>
      <c r="AJ57" s="11" t="s">
        <v>207</v>
      </c>
      <c r="AK57" s="11"/>
      <c r="AL57" s="11" t="s">
        <v>279</v>
      </c>
      <c r="AM57" s="11">
        <v>3</v>
      </c>
      <c r="AN57" s="11" t="s">
        <v>280</v>
      </c>
      <c r="AO57" s="11" t="s">
        <v>207</v>
      </c>
      <c r="AP57" s="11" t="s">
        <v>281</v>
      </c>
      <c r="AQ57" s="11" t="s">
        <v>260</v>
      </c>
      <c r="AR57" s="11" t="s">
        <v>261</v>
      </c>
      <c r="AS57" s="11" t="s">
        <v>982</v>
      </c>
      <c r="AT57" s="11" t="s">
        <v>983</v>
      </c>
      <c r="AU57" s="11" t="s">
        <v>213</v>
      </c>
      <c r="AV57" s="11" t="s">
        <v>282</v>
      </c>
      <c r="AW57" s="11"/>
      <c r="AX57" s="11" t="s">
        <v>216</v>
      </c>
      <c r="AY57" s="11" t="s">
        <v>283</v>
      </c>
      <c r="AZ57" s="11" t="s">
        <v>218</v>
      </c>
      <c r="BA57" s="11" t="s">
        <v>265</v>
      </c>
      <c r="BB57" s="11" t="s">
        <v>266</v>
      </c>
      <c r="BC57" s="11" t="s">
        <v>267</v>
      </c>
      <c r="BD57" s="11" t="s">
        <v>220</v>
      </c>
      <c r="BE57" s="11" t="s">
        <v>221</v>
      </c>
      <c r="BF57" s="13">
        <v>1509</v>
      </c>
      <c r="BG57" s="13">
        <v>349</v>
      </c>
      <c r="BH57" s="11" t="s">
        <v>268</v>
      </c>
      <c r="BI57" s="11" t="s">
        <v>207</v>
      </c>
      <c r="BJ57" s="11" t="s">
        <v>269</v>
      </c>
      <c r="BK57" s="11" t="s">
        <v>184</v>
      </c>
      <c r="BL57" s="11"/>
      <c r="BM57" s="11"/>
      <c r="BN57" s="11"/>
      <c r="BO57" s="11"/>
      <c r="BP57" s="11"/>
      <c r="BQ57" s="11"/>
      <c r="BR57" s="11"/>
      <c r="BS57" s="11"/>
      <c r="BT57" s="11"/>
      <c r="BU57" s="11"/>
      <c r="BV57" s="11"/>
      <c r="BW57" s="11"/>
      <c r="BX57" s="11"/>
      <c r="BY57" s="11"/>
      <c r="BZ57" s="11"/>
      <c r="CA57" s="11"/>
      <c r="CB57" s="11"/>
      <c r="CC57" s="11"/>
      <c r="CD57" s="11"/>
      <c r="CE57" s="14"/>
      <c r="CF57" s="15"/>
      <c r="CG57" s="15"/>
      <c r="CH57" s="15"/>
      <c r="CI57" s="15"/>
      <c r="CJ57" s="15"/>
      <c r="CK57" s="15"/>
      <c r="CL57" s="15"/>
      <c r="CM57" s="15"/>
      <c r="CN57" s="15"/>
      <c r="CO57" s="15"/>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row>
    <row r="58" spans="1:210" ht="75" customHeight="1">
      <c r="A58" s="11" t="s">
        <v>984</v>
      </c>
      <c r="B58" s="11" t="s">
        <v>985</v>
      </c>
      <c r="C58" s="11">
        <v>8620</v>
      </c>
      <c r="D58" s="11" t="s">
        <v>182</v>
      </c>
      <c r="E58" s="11" t="s">
        <v>986</v>
      </c>
      <c r="F58" s="11" t="s">
        <v>184</v>
      </c>
      <c r="G58" s="12" t="s">
        <v>987</v>
      </c>
      <c r="H58" s="11" t="s">
        <v>186</v>
      </c>
      <c r="I58" s="11" t="s">
        <v>187</v>
      </c>
      <c r="J58" s="11">
        <v>38849565</v>
      </c>
      <c r="K58" s="11" t="s">
        <v>988</v>
      </c>
      <c r="L58" s="11">
        <v>2024</v>
      </c>
      <c r="M58" s="11" t="s">
        <v>189</v>
      </c>
      <c r="N58" s="11"/>
      <c r="O58" s="11"/>
      <c r="P58" s="11"/>
      <c r="Q58" s="11" t="s">
        <v>989</v>
      </c>
      <c r="R58" s="11" t="s">
        <v>990</v>
      </c>
      <c r="S58" s="11"/>
      <c r="T58" s="11" t="s">
        <v>991</v>
      </c>
      <c r="U58" s="11" t="s">
        <v>449</v>
      </c>
      <c r="V58" s="11" t="s">
        <v>450</v>
      </c>
      <c r="W58" s="11" t="s">
        <v>451</v>
      </c>
      <c r="X58" s="11"/>
      <c r="Y58" s="11" t="s">
        <v>992</v>
      </c>
      <c r="Z58" s="11" t="s">
        <v>993</v>
      </c>
      <c r="AA58" s="11" t="s">
        <v>994</v>
      </c>
      <c r="AB58" s="11" t="s">
        <v>230</v>
      </c>
      <c r="AC58" s="11" t="s">
        <v>231</v>
      </c>
      <c r="AD58" s="11" t="s">
        <v>232</v>
      </c>
      <c r="AE58" s="11" t="s">
        <v>233</v>
      </c>
      <c r="AF58" s="11" t="s">
        <v>995</v>
      </c>
      <c r="AG58" s="11"/>
      <c r="AH58" s="11" t="s">
        <v>557</v>
      </c>
      <c r="AI58" s="11" t="s">
        <v>683</v>
      </c>
      <c r="AJ58" s="11" t="s">
        <v>184</v>
      </c>
      <c r="AK58" s="11" t="s">
        <v>184</v>
      </c>
      <c r="AL58" s="11" t="s">
        <v>996</v>
      </c>
      <c r="AM58" s="11">
        <v>1</v>
      </c>
      <c r="AN58" s="11" t="s">
        <v>997</v>
      </c>
      <c r="AO58" s="11" t="s">
        <v>998</v>
      </c>
      <c r="AP58" s="31"/>
      <c r="AQ58" s="11" t="s">
        <v>209</v>
      </c>
      <c r="AR58" s="11" t="s">
        <v>210</v>
      </c>
      <c r="AS58" s="11" t="s">
        <v>415</v>
      </c>
      <c r="AT58" s="11" t="s">
        <v>212</v>
      </c>
      <c r="AU58" s="11" t="s">
        <v>999</v>
      </c>
      <c r="AV58" s="11" t="s">
        <v>1000</v>
      </c>
      <c r="AW58" s="11" t="s">
        <v>355</v>
      </c>
      <c r="AX58" s="11" t="s">
        <v>505</v>
      </c>
      <c r="AY58" s="11" t="s">
        <v>1001</v>
      </c>
      <c r="AZ58" s="11" t="s">
        <v>218</v>
      </c>
      <c r="BA58" s="11" t="s">
        <v>219</v>
      </c>
      <c r="BB58" s="11"/>
      <c r="BC58" s="11"/>
      <c r="BD58" s="11" t="s">
        <v>220</v>
      </c>
      <c r="BE58" s="11" t="s">
        <v>221</v>
      </c>
      <c r="BF58" s="13">
        <v>0</v>
      </c>
      <c r="BG58" s="13">
        <v>143</v>
      </c>
      <c r="BH58" s="11" t="s">
        <v>333</v>
      </c>
      <c r="BI58" s="11" t="s">
        <v>184</v>
      </c>
      <c r="BJ58" s="11" t="s">
        <v>269</v>
      </c>
      <c r="BK58" s="11" t="s">
        <v>184</v>
      </c>
      <c r="BL58" s="11"/>
      <c r="BM58" s="11"/>
      <c r="BN58" s="11"/>
      <c r="BO58" s="11"/>
      <c r="BP58" s="11"/>
      <c r="BQ58" s="11"/>
      <c r="BR58" s="11"/>
      <c r="BS58" s="11"/>
      <c r="BT58" s="11"/>
      <c r="BU58" s="11"/>
      <c r="BV58" s="11"/>
      <c r="BW58" s="11"/>
      <c r="BX58" s="11"/>
      <c r="BY58" s="11"/>
      <c r="BZ58" s="11"/>
      <c r="CA58" s="11"/>
      <c r="CB58" s="11"/>
      <c r="CC58" s="11"/>
      <c r="CD58" s="11"/>
      <c r="CE58" s="14"/>
      <c r="CF58" s="15"/>
      <c r="CG58" s="15"/>
      <c r="CH58" s="15"/>
      <c r="CI58" s="15"/>
      <c r="CJ58" s="15"/>
      <c r="CK58" s="15"/>
      <c r="CL58" s="15"/>
      <c r="CM58" s="15"/>
      <c r="CN58" s="15"/>
      <c r="CO58" s="15"/>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row>
    <row r="59" spans="1:210" ht="75" customHeight="1">
      <c r="A59" s="11" t="s">
        <v>1002</v>
      </c>
      <c r="B59" s="11" t="s">
        <v>985</v>
      </c>
      <c r="C59" s="11">
        <v>8620</v>
      </c>
      <c r="D59" s="11" t="s">
        <v>182</v>
      </c>
      <c r="E59" s="11" t="s">
        <v>1003</v>
      </c>
      <c r="F59" s="11" t="s">
        <v>184</v>
      </c>
      <c r="G59" s="12" t="s">
        <v>1004</v>
      </c>
      <c r="H59" s="11" t="s">
        <v>186</v>
      </c>
      <c r="I59" s="11" t="s">
        <v>187</v>
      </c>
      <c r="J59" s="11">
        <v>38849565</v>
      </c>
      <c r="K59" s="11" t="s">
        <v>988</v>
      </c>
      <c r="L59" s="11">
        <v>2024</v>
      </c>
      <c r="M59" s="11" t="s">
        <v>189</v>
      </c>
      <c r="N59" s="11"/>
      <c r="O59" s="11"/>
      <c r="P59" s="11"/>
      <c r="Q59" s="11" t="s">
        <v>989</v>
      </c>
      <c r="R59" s="11" t="s">
        <v>990</v>
      </c>
      <c r="S59" s="11"/>
      <c r="T59" s="11" t="s">
        <v>1005</v>
      </c>
      <c r="U59" s="11" t="s">
        <v>449</v>
      </c>
      <c r="V59" s="11" t="s">
        <v>450</v>
      </c>
      <c r="W59" s="11" t="s">
        <v>451</v>
      </c>
      <c r="X59" s="11"/>
      <c r="Y59" s="11" t="s">
        <v>992</v>
      </c>
      <c r="Z59" s="11" t="s">
        <v>993</v>
      </c>
      <c r="AA59" s="11" t="s">
        <v>994</v>
      </c>
      <c r="AB59" s="11" t="s">
        <v>230</v>
      </c>
      <c r="AC59" s="11" t="s">
        <v>231</v>
      </c>
      <c r="AD59" s="11" t="s">
        <v>232</v>
      </c>
      <c r="AE59" s="11" t="s">
        <v>233</v>
      </c>
      <c r="AF59" s="11" t="s">
        <v>234</v>
      </c>
      <c r="AG59" s="11"/>
      <c r="AH59" s="11" t="s">
        <v>557</v>
      </c>
      <c r="AI59" s="11" t="s">
        <v>683</v>
      </c>
      <c r="AJ59" s="11" t="s">
        <v>184</v>
      </c>
      <c r="AK59" s="11" t="s">
        <v>184</v>
      </c>
      <c r="AL59" s="11" t="s">
        <v>1006</v>
      </c>
      <c r="AM59" s="11">
        <v>1</v>
      </c>
      <c r="AN59" s="11" t="s">
        <v>997</v>
      </c>
      <c r="AO59" s="11" t="s">
        <v>1007</v>
      </c>
      <c r="AP59" s="31"/>
      <c r="AQ59" s="11" t="s">
        <v>209</v>
      </c>
      <c r="AR59" s="11" t="s">
        <v>210</v>
      </c>
      <c r="AS59" s="11" t="s">
        <v>415</v>
      </c>
      <c r="AT59" s="11" t="s">
        <v>212</v>
      </c>
      <c r="AU59" s="11" t="s">
        <v>999</v>
      </c>
      <c r="AV59" s="11" t="s">
        <v>1000</v>
      </c>
      <c r="AW59" s="11" t="s">
        <v>355</v>
      </c>
      <c r="AX59" s="11" t="s">
        <v>505</v>
      </c>
      <c r="AY59" s="11" t="s">
        <v>1001</v>
      </c>
      <c r="AZ59" s="11" t="s">
        <v>218</v>
      </c>
      <c r="BA59" s="11" t="s">
        <v>219</v>
      </c>
      <c r="BB59" s="11"/>
      <c r="BC59" s="11"/>
      <c r="BD59" s="11" t="s">
        <v>220</v>
      </c>
      <c r="BE59" s="11" t="s">
        <v>221</v>
      </c>
      <c r="BF59" s="13">
        <v>0</v>
      </c>
      <c r="BG59" s="13">
        <v>144</v>
      </c>
      <c r="BH59" s="11" t="s">
        <v>333</v>
      </c>
      <c r="BI59" s="11" t="s">
        <v>184</v>
      </c>
      <c r="BJ59" s="11" t="s">
        <v>269</v>
      </c>
      <c r="BK59" s="11" t="s">
        <v>184</v>
      </c>
      <c r="BL59" s="11"/>
      <c r="BM59" s="11"/>
      <c r="BN59" s="11"/>
      <c r="BO59" s="11"/>
      <c r="BP59" s="11"/>
      <c r="BQ59" s="11"/>
      <c r="BR59" s="11"/>
      <c r="BS59" s="11"/>
      <c r="BT59" s="11"/>
      <c r="BU59" s="11"/>
      <c r="BV59" s="11"/>
      <c r="BW59" s="11"/>
      <c r="BX59" s="11"/>
      <c r="BY59" s="11"/>
      <c r="BZ59" s="11"/>
      <c r="CA59" s="11"/>
      <c r="CB59" s="11"/>
      <c r="CC59" s="11"/>
      <c r="CD59" s="11"/>
      <c r="CE59" s="14"/>
      <c r="CF59" s="15"/>
      <c r="CG59" s="15"/>
      <c r="CH59" s="15"/>
      <c r="CI59" s="15"/>
      <c r="CJ59" s="15"/>
      <c r="CK59" s="15"/>
      <c r="CL59" s="15"/>
      <c r="CM59" s="15"/>
      <c r="CN59" s="15"/>
      <c r="CO59" s="15"/>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row>
    <row r="60" spans="1:210" ht="75" customHeight="1">
      <c r="A60" s="11" t="s">
        <v>1008</v>
      </c>
      <c r="B60" s="11" t="s">
        <v>985</v>
      </c>
      <c r="C60" s="11">
        <v>8620</v>
      </c>
      <c r="D60" s="11" t="s">
        <v>182</v>
      </c>
      <c r="E60" s="11" t="s">
        <v>1009</v>
      </c>
      <c r="F60" s="11" t="s">
        <v>184</v>
      </c>
      <c r="G60" s="12" t="s">
        <v>1010</v>
      </c>
      <c r="H60" s="11" t="s">
        <v>186</v>
      </c>
      <c r="I60" s="11" t="s">
        <v>187</v>
      </c>
      <c r="J60" s="11">
        <v>38849565</v>
      </c>
      <c r="K60" s="11" t="s">
        <v>988</v>
      </c>
      <c r="L60" s="11">
        <v>2024</v>
      </c>
      <c r="M60" s="11" t="s">
        <v>189</v>
      </c>
      <c r="N60" s="11"/>
      <c r="O60" s="11"/>
      <c r="P60" s="11"/>
      <c r="Q60" s="11" t="s">
        <v>989</v>
      </c>
      <c r="R60" s="11" t="s">
        <v>990</v>
      </c>
      <c r="S60" s="11"/>
      <c r="T60" s="11" t="s">
        <v>1011</v>
      </c>
      <c r="U60" s="11" t="s">
        <v>449</v>
      </c>
      <c r="V60" s="11" t="s">
        <v>450</v>
      </c>
      <c r="W60" s="11" t="s">
        <v>451</v>
      </c>
      <c r="X60" s="11"/>
      <c r="Y60" s="11" t="s">
        <v>992</v>
      </c>
      <c r="Z60" s="11" t="s">
        <v>993</v>
      </c>
      <c r="AA60" s="11" t="s">
        <v>1012</v>
      </c>
      <c r="AB60" s="11" t="s">
        <v>230</v>
      </c>
      <c r="AC60" s="11" t="s">
        <v>231</v>
      </c>
      <c r="AD60" s="11" t="s">
        <v>232</v>
      </c>
      <c r="AE60" s="11" t="s">
        <v>233</v>
      </c>
      <c r="AF60" s="11" t="s">
        <v>995</v>
      </c>
      <c r="AG60" s="11"/>
      <c r="AH60" s="11" t="s">
        <v>557</v>
      </c>
      <c r="AI60" s="11" t="s">
        <v>683</v>
      </c>
      <c r="AJ60" s="11" t="s">
        <v>184</v>
      </c>
      <c r="AK60" s="11" t="s">
        <v>184</v>
      </c>
      <c r="AL60" s="11" t="s">
        <v>1013</v>
      </c>
      <c r="AM60" s="11">
        <v>1</v>
      </c>
      <c r="AN60" s="11" t="s">
        <v>997</v>
      </c>
      <c r="AO60" s="11" t="s">
        <v>1014</v>
      </c>
      <c r="AP60" s="31"/>
      <c r="AQ60" s="11" t="s">
        <v>209</v>
      </c>
      <c r="AR60" s="11" t="s">
        <v>210</v>
      </c>
      <c r="AS60" s="11" t="s">
        <v>415</v>
      </c>
      <c r="AT60" s="11" t="s">
        <v>212</v>
      </c>
      <c r="AU60" s="11" t="s">
        <v>999</v>
      </c>
      <c r="AV60" s="11" t="s">
        <v>1000</v>
      </c>
      <c r="AW60" s="11" t="s">
        <v>355</v>
      </c>
      <c r="AX60" s="11" t="s">
        <v>505</v>
      </c>
      <c r="AY60" s="11" t="s">
        <v>1001</v>
      </c>
      <c r="AZ60" s="11" t="s">
        <v>218</v>
      </c>
      <c r="BA60" s="11" t="s">
        <v>219</v>
      </c>
      <c r="BB60" s="11"/>
      <c r="BC60" s="11"/>
      <c r="BD60" s="11" t="s">
        <v>220</v>
      </c>
      <c r="BE60" s="11" t="s">
        <v>221</v>
      </c>
      <c r="BF60" s="13">
        <v>0</v>
      </c>
      <c r="BG60" s="13">
        <v>145</v>
      </c>
      <c r="BH60" s="11" t="s">
        <v>333</v>
      </c>
      <c r="BI60" s="11" t="s">
        <v>184</v>
      </c>
      <c r="BJ60" s="11" t="s">
        <v>269</v>
      </c>
      <c r="BK60" s="11" t="s">
        <v>184</v>
      </c>
      <c r="BL60" s="11"/>
      <c r="BM60" s="11"/>
      <c r="BN60" s="11"/>
      <c r="BO60" s="11"/>
      <c r="BP60" s="11"/>
      <c r="BQ60" s="11"/>
      <c r="BR60" s="11"/>
      <c r="BS60" s="11"/>
      <c r="BT60" s="11"/>
      <c r="BU60" s="11"/>
      <c r="BV60" s="11"/>
      <c r="BW60" s="11"/>
      <c r="BX60" s="11"/>
      <c r="BY60" s="11"/>
      <c r="BZ60" s="11"/>
      <c r="CA60" s="11"/>
      <c r="CB60" s="11"/>
      <c r="CC60" s="11"/>
      <c r="CD60" s="11"/>
      <c r="CE60" s="14"/>
      <c r="CF60" s="15"/>
      <c r="CG60" s="15"/>
      <c r="CH60" s="15"/>
      <c r="CI60" s="15"/>
      <c r="CJ60" s="15"/>
      <c r="CK60" s="15"/>
      <c r="CL60" s="15"/>
      <c r="CM60" s="15"/>
      <c r="CN60" s="15"/>
      <c r="CO60" s="15"/>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row>
    <row r="61" spans="1:210" ht="75" customHeight="1">
      <c r="A61" s="11" t="s">
        <v>1015</v>
      </c>
      <c r="B61" s="11" t="s">
        <v>985</v>
      </c>
      <c r="C61" s="11">
        <v>8620</v>
      </c>
      <c r="D61" s="11" t="s">
        <v>182</v>
      </c>
      <c r="E61" s="11" t="s">
        <v>1016</v>
      </c>
      <c r="F61" s="11" t="s">
        <v>184</v>
      </c>
      <c r="G61" s="12" t="s">
        <v>1017</v>
      </c>
      <c r="H61" s="11" t="s">
        <v>186</v>
      </c>
      <c r="I61" s="11" t="s">
        <v>187</v>
      </c>
      <c r="J61" s="11">
        <v>38849565</v>
      </c>
      <c r="K61" s="11" t="s">
        <v>988</v>
      </c>
      <c r="L61" s="11">
        <v>2024</v>
      </c>
      <c r="M61" s="11" t="s">
        <v>189</v>
      </c>
      <c r="N61" s="11"/>
      <c r="O61" s="11"/>
      <c r="P61" s="11"/>
      <c r="Q61" s="11" t="s">
        <v>989</v>
      </c>
      <c r="R61" s="11" t="s">
        <v>990</v>
      </c>
      <c r="S61" s="11"/>
      <c r="T61" s="11" t="s">
        <v>1018</v>
      </c>
      <c r="U61" s="11" t="s">
        <v>449</v>
      </c>
      <c r="V61" s="11" t="s">
        <v>450</v>
      </c>
      <c r="W61" s="11" t="s">
        <v>451</v>
      </c>
      <c r="X61" s="11"/>
      <c r="Y61" s="11" t="s">
        <v>992</v>
      </c>
      <c r="Z61" s="11" t="s">
        <v>993</v>
      </c>
      <c r="AA61" s="11" t="s">
        <v>1012</v>
      </c>
      <c r="AB61" s="11" t="s">
        <v>230</v>
      </c>
      <c r="AC61" s="11" t="s">
        <v>231</v>
      </c>
      <c r="AD61" s="11" t="s">
        <v>232</v>
      </c>
      <c r="AE61" s="11" t="s">
        <v>233</v>
      </c>
      <c r="AF61" s="11" t="s">
        <v>234</v>
      </c>
      <c r="AG61" s="11"/>
      <c r="AH61" s="11" t="s">
        <v>557</v>
      </c>
      <c r="AI61" s="11" t="s">
        <v>683</v>
      </c>
      <c r="AJ61" s="11" t="s">
        <v>184</v>
      </c>
      <c r="AK61" s="11" t="s">
        <v>184</v>
      </c>
      <c r="AL61" s="11" t="s">
        <v>1019</v>
      </c>
      <c r="AM61" s="11">
        <v>1</v>
      </c>
      <c r="AN61" s="11" t="s">
        <v>997</v>
      </c>
      <c r="AO61" s="11" t="s">
        <v>1007</v>
      </c>
      <c r="AP61" s="31"/>
      <c r="AQ61" s="11" t="s">
        <v>209</v>
      </c>
      <c r="AR61" s="11" t="s">
        <v>210</v>
      </c>
      <c r="AS61" s="11" t="s">
        <v>415</v>
      </c>
      <c r="AT61" s="11" t="s">
        <v>212</v>
      </c>
      <c r="AU61" s="11" t="s">
        <v>999</v>
      </c>
      <c r="AV61" s="11" t="s">
        <v>1000</v>
      </c>
      <c r="AW61" s="11" t="s">
        <v>355</v>
      </c>
      <c r="AX61" s="11" t="s">
        <v>505</v>
      </c>
      <c r="AY61" s="11" t="s">
        <v>1001</v>
      </c>
      <c r="AZ61" s="11" t="s">
        <v>218</v>
      </c>
      <c r="BA61" s="11" t="s">
        <v>219</v>
      </c>
      <c r="BB61" s="11"/>
      <c r="BC61" s="11"/>
      <c r="BD61" s="11" t="s">
        <v>220</v>
      </c>
      <c r="BE61" s="11" t="s">
        <v>221</v>
      </c>
      <c r="BF61" s="13">
        <v>0</v>
      </c>
      <c r="BG61" s="13">
        <v>146</v>
      </c>
      <c r="BH61" s="11" t="s">
        <v>333</v>
      </c>
      <c r="BI61" s="11" t="s">
        <v>184</v>
      </c>
      <c r="BJ61" s="11" t="s">
        <v>269</v>
      </c>
      <c r="BK61" s="11" t="s">
        <v>184</v>
      </c>
      <c r="BL61" s="11"/>
      <c r="BM61" s="11"/>
      <c r="BN61" s="11"/>
      <c r="BO61" s="11"/>
      <c r="BP61" s="11"/>
      <c r="BQ61" s="11"/>
      <c r="BR61" s="11"/>
      <c r="BS61" s="11"/>
      <c r="BT61" s="11"/>
      <c r="BU61" s="11"/>
      <c r="BV61" s="11"/>
      <c r="BW61" s="11"/>
      <c r="BX61" s="11"/>
      <c r="BY61" s="11"/>
      <c r="BZ61" s="11"/>
      <c r="CA61" s="11"/>
      <c r="CB61" s="11"/>
      <c r="CC61" s="11"/>
      <c r="CD61" s="11"/>
      <c r="CE61" s="14"/>
      <c r="CF61" s="15"/>
      <c r="CG61" s="15"/>
      <c r="CH61" s="15"/>
      <c r="CI61" s="15"/>
      <c r="CJ61" s="15"/>
      <c r="CK61" s="15"/>
      <c r="CL61" s="15"/>
      <c r="CM61" s="15"/>
      <c r="CN61" s="15"/>
      <c r="CO61" s="15"/>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row>
    <row r="62" spans="1:210" ht="75" customHeight="1">
      <c r="A62" s="11" t="s">
        <v>1020</v>
      </c>
      <c r="B62" s="11" t="s">
        <v>1021</v>
      </c>
      <c r="C62" s="11">
        <v>9588</v>
      </c>
      <c r="D62" s="11" t="s">
        <v>246</v>
      </c>
      <c r="E62" s="11" t="s">
        <v>1022</v>
      </c>
      <c r="F62" s="11" t="s">
        <v>184</v>
      </c>
      <c r="G62" s="12" t="s">
        <v>1023</v>
      </c>
      <c r="H62" s="11" t="s">
        <v>186</v>
      </c>
      <c r="I62" s="11" t="s">
        <v>187</v>
      </c>
      <c r="J62" s="11">
        <v>29785012</v>
      </c>
      <c r="K62" s="11" t="s">
        <v>1024</v>
      </c>
      <c r="L62" s="11">
        <v>2018</v>
      </c>
      <c r="M62" s="11" t="s">
        <v>189</v>
      </c>
      <c r="N62" s="11"/>
      <c r="O62" s="11"/>
      <c r="P62" s="11"/>
      <c r="Q62" s="11" t="s">
        <v>1025</v>
      </c>
      <c r="R62" s="11" t="s">
        <v>1026</v>
      </c>
      <c r="S62" s="11"/>
      <c r="T62" s="11" t="s">
        <v>1027</v>
      </c>
      <c r="U62" s="11" t="s">
        <v>193</v>
      </c>
      <c r="V62" s="11" t="s">
        <v>194</v>
      </c>
      <c r="W62" s="11" t="s">
        <v>195</v>
      </c>
      <c r="X62" s="11" t="s">
        <v>196</v>
      </c>
      <c r="Y62" s="11"/>
      <c r="Z62" s="11"/>
      <c r="AA62" s="11" t="s">
        <v>661</v>
      </c>
      <c r="AB62" s="11" t="s">
        <v>198</v>
      </c>
      <c r="AC62" s="11" t="s">
        <v>199</v>
      </c>
      <c r="AD62" s="11" t="s">
        <v>200</v>
      </c>
      <c r="AE62" s="11" t="s">
        <v>201</v>
      </c>
      <c r="AF62" s="11" t="s">
        <v>202</v>
      </c>
      <c r="AG62" s="11"/>
      <c r="AH62" s="11" t="s">
        <v>203</v>
      </c>
      <c r="AI62" s="11" t="s">
        <v>204</v>
      </c>
      <c r="AJ62" s="11" t="s">
        <v>184</v>
      </c>
      <c r="AK62" s="11" t="s">
        <v>184</v>
      </c>
      <c r="AL62" s="11" t="s">
        <v>1028</v>
      </c>
      <c r="AM62" s="11">
        <v>8</v>
      </c>
      <c r="AN62" s="11" t="s">
        <v>1029</v>
      </c>
      <c r="AO62" s="11" t="s">
        <v>1030</v>
      </c>
      <c r="AP62" s="31"/>
      <c r="AQ62" s="11" t="s">
        <v>209</v>
      </c>
      <c r="AR62" s="11" t="s">
        <v>210</v>
      </c>
      <c r="AS62" s="11" t="s">
        <v>211</v>
      </c>
      <c r="AT62" s="11" t="s">
        <v>212</v>
      </c>
      <c r="AU62" s="11" t="s">
        <v>302</v>
      </c>
      <c r="AV62" s="11"/>
      <c r="AW62" s="11" t="s">
        <v>215</v>
      </c>
      <c r="AX62" s="11" t="s">
        <v>216</v>
      </c>
      <c r="AY62" s="11"/>
      <c r="AZ62" s="11" t="s">
        <v>218</v>
      </c>
      <c r="BA62" s="11" t="s">
        <v>219</v>
      </c>
      <c r="BB62" s="11"/>
      <c r="BC62" s="11"/>
      <c r="BD62" s="11" t="s">
        <v>220</v>
      </c>
      <c r="BE62" s="11" t="s">
        <v>221</v>
      </c>
      <c r="BF62" s="13">
        <v>150</v>
      </c>
      <c r="BG62" s="13">
        <v>139</v>
      </c>
      <c r="BH62" s="11" t="s">
        <v>542</v>
      </c>
      <c r="BI62" s="11" t="s">
        <v>207</v>
      </c>
      <c r="BJ62" s="11" t="s">
        <v>269</v>
      </c>
      <c r="BK62" s="11" t="s">
        <v>207</v>
      </c>
      <c r="BL62" s="11"/>
      <c r="BM62" s="11"/>
      <c r="BN62" s="11"/>
      <c r="BO62" s="11"/>
      <c r="BP62" s="11"/>
      <c r="BQ62" s="11"/>
      <c r="BR62" s="11"/>
      <c r="BS62" s="11"/>
      <c r="BT62" s="11"/>
      <c r="BU62" s="11"/>
      <c r="BV62" s="11"/>
      <c r="BW62" s="11"/>
      <c r="BX62" s="11"/>
      <c r="BY62" s="11"/>
      <c r="BZ62" s="11"/>
      <c r="CA62" s="11"/>
      <c r="CB62" s="11"/>
      <c r="CC62" s="11"/>
      <c r="CD62" s="11"/>
      <c r="CE62" s="14"/>
      <c r="CF62" s="15"/>
      <c r="CG62" s="15"/>
      <c r="CH62" s="15"/>
      <c r="CI62" s="15"/>
      <c r="CJ62" s="15"/>
      <c r="CK62" s="15"/>
      <c r="CL62" s="15"/>
      <c r="CM62" s="15"/>
      <c r="CN62" s="15"/>
      <c r="CO62" s="15"/>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row>
    <row r="63" spans="1:210" ht="75" customHeight="1">
      <c r="A63" s="11" t="s">
        <v>1031</v>
      </c>
      <c r="B63" s="11" t="s">
        <v>1021</v>
      </c>
      <c r="C63" s="11">
        <v>9588</v>
      </c>
      <c r="D63" s="11" t="s">
        <v>246</v>
      </c>
      <c r="E63" s="11" t="s">
        <v>1032</v>
      </c>
      <c r="F63" s="11" t="s">
        <v>184</v>
      </c>
      <c r="G63" s="12" t="s">
        <v>1033</v>
      </c>
      <c r="H63" s="11" t="s">
        <v>186</v>
      </c>
      <c r="I63" s="11" t="s">
        <v>187</v>
      </c>
      <c r="J63" s="11">
        <v>29706350</v>
      </c>
      <c r="K63" s="11" t="s">
        <v>1034</v>
      </c>
      <c r="L63" s="11">
        <v>2018</v>
      </c>
      <c r="M63" s="11" t="s">
        <v>189</v>
      </c>
      <c r="N63" s="11"/>
      <c r="O63" s="11"/>
      <c r="P63" s="11" t="s">
        <v>1035</v>
      </c>
      <c r="Q63" s="11" t="s">
        <v>1025</v>
      </c>
      <c r="R63" s="11" t="s">
        <v>1035</v>
      </c>
      <c r="S63" s="11"/>
      <c r="T63" s="11" t="s">
        <v>1036</v>
      </c>
      <c r="U63" s="11" t="s">
        <v>449</v>
      </c>
      <c r="V63" s="11" t="s">
        <v>450</v>
      </c>
      <c r="W63" s="11" t="s">
        <v>451</v>
      </c>
      <c r="X63" s="11"/>
      <c r="Y63" s="11" t="s">
        <v>1037</v>
      </c>
      <c r="Z63" s="11" t="s">
        <v>1038</v>
      </c>
      <c r="AA63" s="11" t="s">
        <v>1039</v>
      </c>
      <c r="AB63" s="11" t="s">
        <v>230</v>
      </c>
      <c r="AC63" s="11" t="s">
        <v>231</v>
      </c>
      <c r="AD63" s="11" t="s">
        <v>232</v>
      </c>
      <c r="AE63" s="11" t="s">
        <v>233</v>
      </c>
      <c r="AF63" s="11" t="s">
        <v>1040</v>
      </c>
      <c r="AG63" s="11"/>
      <c r="AH63" s="11" t="s">
        <v>1041</v>
      </c>
      <c r="AI63" s="11" t="s">
        <v>204</v>
      </c>
      <c r="AJ63" s="11" t="s">
        <v>184</v>
      </c>
      <c r="AK63" s="11" t="s">
        <v>184</v>
      </c>
      <c r="AL63" s="11" t="s">
        <v>1042</v>
      </c>
      <c r="AM63" s="11">
        <v>2</v>
      </c>
      <c r="AN63" s="11" t="s">
        <v>1043</v>
      </c>
      <c r="AO63" s="11" t="s">
        <v>1044</v>
      </c>
      <c r="AP63" s="31"/>
      <c r="AQ63" s="11" t="s">
        <v>209</v>
      </c>
      <c r="AR63" s="11" t="s">
        <v>210</v>
      </c>
      <c r="AS63" s="11" t="s">
        <v>211</v>
      </c>
      <c r="AT63" s="11" t="s">
        <v>212</v>
      </c>
      <c r="AU63" s="11" t="s">
        <v>264</v>
      </c>
      <c r="AV63" s="11" t="s">
        <v>1045</v>
      </c>
      <c r="AW63" s="11" t="s">
        <v>355</v>
      </c>
      <c r="AX63" s="11" t="s">
        <v>505</v>
      </c>
      <c r="AY63" s="11"/>
      <c r="AZ63" s="11" t="s">
        <v>218</v>
      </c>
      <c r="BA63" s="11" t="s">
        <v>265</v>
      </c>
      <c r="BB63" s="11"/>
      <c r="BC63" s="11"/>
      <c r="BD63" s="11" t="s">
        <v>220</v>
      </c>
      <c r="BE63" s="11" t="s">
        <v>221</v>
      </c>
      <c r="BF63" s="13">
        <v>0</v>
      </c>
      <c r="BG63" s="13">
        <v>370</v>
      </c>
      <c r="BH63" s="11"/>
      <c r="BI63" s="11" t="s">
        <v>184</v>
      </c>
      <c r="BJ63" s="11" t="s">
        <v>221</v>
      </c>
      <c r="BK63" s="11" t="s">
        <v>184</v>
      </c>
      <c r="BL63" s="11" t="s">
        <v>1046</v>
      </c>
      <c r="BM63" s="11" t="s">
        <v>1047</v>
      </c>
      <c r="BN63" s="11" t="s">
        <v>225</v>
      </c>
      <c r="BO63" s="11" t="s">
        <v>1048</v>
      </c>
      <c r="BP63" s="11" t="s">
        <v>1049</v>
      </c>
      <c r="BQ63" s="11" t="s">
        <v>225</v>
      </c>
      <c r="BR63" s="11" t="s">
        <v>937</v>
      </c>
      <c r="BS63" s="11" t="s">
        <v>1050</v>
      </c>
      <c r="BT63" s="11" t="s">
        <v>310</v>
      </c>
      <c r="BU63" s="11" t="s">
        <v>801</v>
      </c>
      <c r="BV63" s="11" t="s">
        <v>1051</v>
      </c>
      <c r="BW63" s="11" t="s">
        <v>244</v>
      </c>
      <c r="BX63" s="11" t="s">
        <v>1052</v>
      </c>
      <c r="BY63" s="11" t="s">
        <v>1053</v>
      </c>
      <c r="BZ63" s="11" t="s">
        <v>310</v>
      </c>
      <c r="CA63" s="11"/>
      <c r="CB63" s="11"/>
      <c r="CC63" s="11"/>
      <c r="CD63" s="11"/>
      <c r="CE63" s="14"/>
      <c r="CF63" s="15"/>
      <c r="CG63" s="15"/>
      <c r="CH63" s="15"/>
      <c r="CI63" s="15"/>
      <c r="CJ63" s="15"/>
      <c r="CK63" s="15"/>
      <c r="CL63" s="15"/>
      <c r="CM63" s="15"/>
      <c r="CN63" s="15"/>
      <c r="CO63" s="15"/>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row>
    <row r="64" spans="1:210" ht="75" customHeight="1">
      <c r="A64" s="11" t="s">
        <v>32</v>
      </c>
      <c r="B64" s="11" t="s">
        <v>1054</v>
      </c>
      <c r="C64" s="11">
        <v>9820</v>
      </c>
      <c r="D64" s="11" t="s">
        <v>246</v>
      </c>
      <c r="E64" s="11" t="s">
        <v>1055</v>
      </c>
      <c r="F64" s="11" t="s">
        <v>184</v>
      </c>
      <c r="G64" s="12" t="s">
        <v>1056</v>
      </c>
      <c r="H64" s="11" t="s">
        <v>186</v>
      </c>
      <c r="I64" s="11" t="s">
        <v>187</v>
      </c>
      <c r="J64" s="11">
        <v>39299233</v>
      </c>
      <c r="K64" s="11" t="s">
        <v>1057</v>
      </c>
      <c r="L64" s="11">
        <v>2024</v>
      </c>
      <c r="M64" s="11" t="s">
        <v>189</v>
      </c>
      <c r="N64" s="11"/>
      <c r="O64" s="11"/>
      <c r="P64" s="11" t="s">
        <v>1058</v>
      </c>
      <c r="Q64" s="11" t="s">
        <v>1058</v>
      </c>
      <c r="R64" s="11" t="s">
        <v>1059</v>
      </c>
      <c r="S64" s="11"/>
      <c r="T64" s="11" t="s">
        <v>1060</v>
      </c>
      <c r="U64" s="11" t="s">
        <v>193</v>
      </c>
      <c r="V64" s="11" t="s">
        <v>194</v>
      </c>
      <c r="W64" s="11" t="s">
        <v>195</v>
      </c>
      <c r="X64" s="11" t="s">
        <v>253</v>
      </c>
      <c r="Y64" s="11"/>
      <c r="Z64" s="11"/>
      <c r="AA64" s="11" t="s">
        <v>1061</v>
      </c>
      <c r="AB64" s="11" t="s">
        <v>255</v>
      </c>
      <c r="AC64" s="11" t="s">
        <v>231</v>
      </c>
      <c r="AD64" s="11" t="s">
        <v>232</v>
      </c>
      <c r="AE64" s="11" t="s">
        <v>233</v>
      </c>
      <c r="AF64" s="11" t="s">
        <v>234</v>
      </c>
      <c r="AG64" s="11"/>
      <c r="AH64" s="11" t="s">
        <v>256</v>
      </c>
      <c r="AI64" s="11" t="s">
        <v>204</v>
      </c>
      <c r="AJ64" s="11" t="s">
        <v>207</v>
      </c>
      <c r="AK64" s="11" t="s">
        <v>207</v>
      </c>
      <c r="AL64" s="11" t="s">
        <v>1062</v>
      </c>
      <c r="AM64" s="11">
        <v>3</v>
      </c>
      <c r="AN64" s="11" t="s">
        <v>1063</v>
      </c>
      <c r="AO64" s="11" t="s">
        <v>686</v>
      </c>
      <c r="AP64" s="31"/>
      <c r="AQ64" s="11" t="s">
        <v>260</v>
      </c>
      <c r="AR64" s="11" t="s">
        <v>1064</v>
      </c>
      <c r="AS64" s="11" t="s">
        <v>262</v>
      </c>
      <c r="AT64" s="11" t="s">
        <v>263</v>
      </c>
      <c r="AU64" s="11" t="s">
        <v>264</v>
      </c>
      <c r="AV64" s="11" t="s">
        <v>1065</v>
      </c>
      <c r="AW64" s="11" t="s">
        <v>1066</v>
      </c>
      <c r="AX64" s="11" t="s">
        <v>216</v>
      </c>
      <c r="AY64" s="11" t="s">
        <v>1067</v>
      </c>
      <c r="AZ64" s="11" t="s">
        <v>218</v>
      </c>
      <c r="BA64" s="11" t="s">
        <v>265</v>
      </c>
      <c r="BB64" s="11" t="s">
        <v>266</v>
      </c>
      <c r="BC64" s="11" t="s">
        <v>267</v>
      </c>
      <c r="BD64" s="11" t="s">
        <v>220</v>
      </c>
      <c r="BE64" s="11" t="s">
        <v>221</v>
      </c>
      <c r="BF64" s="13">
        <v>716</v>
      </c>
      <c r="BG64" s="13">
        <v>462</v>
      </c>
      <c r="BH64" s="11" t="s">
        <v>268</v>
      </c>
      <c r="BI64" s="11" t="s">
        <v>207</v>
      </c>
      <c r="BJ64" s="11" t="s">
        <v>269</v>
      </c>
      <c r="BK64" s="11" t="s">
        <v>184</v>
      </c>
      <c r="BL64" s="11"/>
      <c r="BM64" s="11"/>
      <c r="BN64" s="11"/>
      <c r="BO64" s="11"/>
      <c r="BP64" s="11"/>
      <c r="BQ64" s="11"/>
      <c r="BR64" s="11"/>
      <c r="BS64" s="11"/>
      <c r="BT64" s="11"/>
      <c r="BU64" s="11"/>
      <c r="BV64" s="11"/>
      <c r="BW64" s="11"/>
      <c r="BX64" s="11"/>
      <c r="BY64" s="11"/>
      <c r="BZ64" s="11"/>
      <c r="CA64" s="11"/>
      <c r="CB64" s="11"/>
      <c r="CC64" s="11"/>
      <c r="CD64" s="28" t="s">
        <v>15</v>
      </c>
      <c r="CE64" s="32"/>
      <c r="CF64" s="33"/>
      <c r="CG64" s="33"/>
      <c r="CH64" s="33"/>
      <c r="CI64" s="33"/>
      <c r="CJ64" s="33"/>
      <c r="CK64" s="33"/>
      <c r="CL64" s="33"/>
      <c r="CM64" s="33"/>
      <c r="CN64" s="33"/>
      <c r="CO64" s="33"/>
      <c r="CP64" s="34"/>
      <c r="CQ64" s="34"/>
      <c r="CR64" s="34"/>
      <c r="CS64" s="34"/>
      <c r="CT64" s="34"/>
      <c r="CU64" s="34"/>
      <c r="CV64" s="34"/>
      <c r="CW64" s="34"/>
      <c r="CX64" s="34"/>
      <c r="CY64" s="34"/>
      <c r="CZ64" s="34"/>
      <c r="DA64" s="34"/>
      <c r="DB64" s="34"/>
      <c r="DC64" s="34"/>
      <c r="DD64" s="34"/>
      <c r="DE64" s="34"/>
      <c r="DF64" s="34"/>
      <c r="DG64" s="34"/>
      <c r="DH64" s="34"/>
      <c r="DI64" s="34"/>
      <c r="DJ64" s="34"/>
      <c r="DK64" s="34"/>
      <c r="DL64" s="34"/>
      <c r="DM64" s="34"/>
      <c r="DN64" s="34"/>
      <c r="DO64" s="34"/>
      <c r="DP64" s="34"/>
      <c r="DQ64" s="34"/>
      <c r="DR64" s="34"/>
      <c r="DS64" s="34"/>
      <c r="DT64" s="34"/>
      <c r="DU64" s="34"/>
      <c r="DV64" s="34"/>
      <c r="DW64" s="34"/>
      <c r="DX64" s="34"/>
      <c r="DY64" s="34"/>
      <c r="DZ64" s="34"/>
      <c r="EA64" s="34"/>
      <c r="EB64" s="34"/>
      <c r="EC64" s="34"/>
      <c r="ED64" s="34"/>
      <c r="EE64" s="34"/>
      <c r="EF64" s="34"/>
      <c r="EG64" s="34"/>
      <c r="EH64" s="34"/>
      <c r="EI64" s="34"/>
      <c r="EJ64" s="34"/>
      <c r="EK64" s="34"/>
      <c r="EL64" s="34"/>
      <c r="EM64" s="34"/>
      <c r="EN64" s="34"/>
      <c r="EO64" s="34"/>
      <c r="EP64" s="34"/>
      <c r="EQ64" s="34"/>
      <c r="ER64" s="34"/>
      <c r="ES64" s="34"/>
      <c r="ET64" s="34"/>
      <c r="EU64" s="34"/>
      <c r="EV64" s="34"/>
      <c r="EW64" s="34"/>
      <c r="EX64" s="34"/>
      <c r="EY64" s="34"/>
      <c r="EZ64" s="34"/>
      <c r="FA64" s="34"/>
      <c r="FB64" s="34"/>
      <c r="FC64" s="34"/>
      <c r="FD64" s="34"/>
      <c r="FE64" s="34"/>
      <c r="FF64" s="34"/>
      <c r="FG64" s="34"/>
      <c r="FH64" s="34"/>
      <c r="FI64" s="34"/>
      <c r="FJ64" s="34"/>
      <c r="FK64" s="34"/>
      <c r="FL64" s="34"/>
      <c r="FM64" s="34"/>
      <c r="FN64" s="34"/>
      <c r="FO64" s="34"/>
      <c r="FP64" s="34"/>
      <c r="FQ64" s="34"/>
      <c r="FR64" s="34"/>
      <c r="FS64" s="34"/>
      <c r="FT64" s="34"/>
      <c r="FU64" s="34"/>
      <c r="FV64" s="34"/>
      <c r="FW64" s="34"/>
      <c r="FX64" s="34"/>
      <c r="FY64" s="34"/>
      <c r="FZ64" s="34"/>
      <c r="GA64" s="34"/>
      <c r="GB64" s="34"/>
      <c r="GC64" s="34"/>
      <c r="GD64" s="34"/>
      <c r="GE64" s="34"/>
      <c r="GF64" s="34"/>
      <c r="GG64" s="34"/>
      <c r="GH64" s="34"/>
      <c r="GI64" s="34"/>
      <c r="GJ64" s="34"/>
      <c r="GK64" s="34"/>
      <c r="GL64" s="34"/>
      <c r="GM64" s="34"/>
      <c r="GN64" s="34"/>
      <c r="GO64" s="34"/>
      <c r="GP64" s="34"/>
      <c r="GQ64" s="34"/>
      <c r="GR64" s="34"/>
      <c r="GS64" s="34"/>
      <c r="GT64" s="34"/>
      <c r="GU64" s="34"/>
      <c r="GV64" s="34"/>
      <c r="GW64" s="34"/>
      <c r="GX64" s="34"/>
      <c r="GY64" s="34"/>
      <c r="GZ64" s="34"/>
      <c r="HA64" s="34"/>
      <c r="HB64" s="34"/>
    </row>
    <row r="65" spans="1:210" ht="75" customHeight="1">
      <c r="A65" s="11" t="s">
        <v>1068</v>
      </c>
      <c r="B65" s="11" t="s">
        <v>1069</v>
      </c>
      <c r="C65" s="11">
        <v>9823</v>
      </c>
      <c r="D65" s="11" t="s">
        <v>246</v>
      </c>
      <c r="E65" s="11" t="s">
        <v>1070</v>
      </c>
      <c r="F65" s="11" t="s">
        <v>207</v>
      </c>
      <c r="G65" s="12" t="s">
        <v>1071</v>
      </c>
      <c r="H65" s="11" t="s">
        <v>186</v>
      </c>
      <c r="I65" s="11" t="s">
        <v>187</v>
      </c>
      <c r="J65" s="11"/>
      <c r="K65" s="11" t="s">
        <v>383</v>
      </c>
      <c r="L65" s="11"/>
      <c r="M65" s="11" t="s">
        <v>189</v>
      </c>
      <c r="N65" s="11"/>
      <c r="O65" s="11"/>
      <c r="P65" s="11"/>
      <c r="Q65" s="11" t="s">
        <v>1072</v>
      </c>
      <c r="R65" s="11" t="s">
        <v>1073</v>
      </c>
      <c r="S65" s="11"/>
      <c r="T65" s="11" t="s">
        <v>1074</v>
      </c>
      <c r="U65" s="11" t="s">
        <v>193</v>
      </c>
      <c r="V65" s="11" t="s">
        <v>194</v>
      </c>
      <c r="W65" s="11" t="s">
        <v>195</v>
      </c>
      <c r="X65" s="11" t="s">
        <v>253</v>
      </c>
      <c r="Y65" s="11"/>
      <c r="Z65" s="11"/>
      <c r="AA65" s="11" t="s">
        <v>278</v>
      </c>
      <c r="AB65" s="11" t="s">
        <v>255</v>
      </c>
      <c r="AC65" s="11" t="s">
        <v>231</v>
      </c>
      <c r="AD65" s="11" t="s">
        <v>232</v>
      </c>
      <c r="AE65" s="11" t="s">
        <v>233</v>
      </c>
      <c r="AF65" s="11" t="s">
        <v>234</v>
      </c>
      <c r="AG65" s="11"/>
      <c r="AH65" s="11" t="s">
        <v>256</v>
      </c>
      <c r="AI65" s="11" t="s">
        <v>204</v>
      </c>
      <c r="AJ65" s="11" t="s">
        <v>207</v>
      </c>
      <c r="AK65" s="11"/>
      <c r="AL65" s="11" t="s">
        <v>1075</v>
      </c>
      <c r="AM65" s="11">
        <v>3</v>
      </c>
      <c r="AN65" s="11" t="s">
        <v>280</v>
      </c>
      <c r="AO65" s="11" t="s">
        <v>207</v>
      </c>
      <c r="AP65" s="11" t="s">
        <v>281</v>
      </c>
      <c r="AQ65" s="11" t="s">
        <v>260</v>
      </c>
      <c r="AR65" s="11" t="s">
        <v>261</v>
      </c>
      <c r="AS65" s="11" t="s">
        <v>262</v>
      </c>
      <c r="AT65" s="11" t="s">
        <v>263</v>
      </c>
      <c r="AU65" s="11" t="s">
        <v>213</v>
      </c>
      <c r="AV65" s="11" t="s">
        <v>282</v>
      </c>
      <c r="AW65" s="11"/>
      <c r="AX65" s="11" t="s">
        <v>216</v>
      </c>
      <c r="AY65" s="11" t="s">
        <v>283</v>
      </c>
      <c r="AZ65" s="11" t="s">
        <v>218</v>
      </c>
      <c r="BA65" s="11" t="s">
        <v>265</v>
      </c>
      <c r="BB65" s="11" t="s">
        <v>266</v>
      </c>
      <c r="BC65" s="11" t="s">
        <v>267</v>
      </c>
      <c r="BD65" s="11" t="s">
        <v>220</v>
      </c>
      <c r="BE65" s="11" t="s">
        <v>221</v>
      </c>
      <c r="BF65" s="13">
        <v>639</v>
      </c>
      <c r="BG65" s="13">
        <v>87</v>
      </c>
      <c r="BH65" s="11" t="s">
        <v>268</v>
      </c>
      <c r="BI65" s="11" t="s">
        <v>207</v>
      </c>
      <c r="BJ65" s="11" t="s">
        <v>269</v>
      </c>
      <c r="BK65" s="11" t="s">
        <v>184</v>
      </c>
      <c r="BL65" s="11"/>
      <c r="BM65" s="11"/>
      <c r="BN65" s="11"/>
      <c r="BO65" s="11"/>
      <c r="BP65" s="11"/>
      <c r="BQ65" s="11"/>
      <c r="BR65" s="11"/>
      <c r="BS65" s="11"/>
      <c r="BT65" s="11"/>
      <c r="BU65" s="11"/>
      <c r="BV65" s="11"/>
      <c r="BW65" s="11"/>
      <c r="BX65" s="11"/>
      <c r="BY65" s="11"/>
      <c r="BZ65" s="11"/>
      <c r="CA65" s="11"/>
      <c r="CB65" s="11"/>
      <c r="CC65" s="11"/>
      <c r="CD65" s="11"/>
      <c r="CE65" s="14"/>
      <c r="CF65" s="15"/>
      <c r="CG65" s="15"/>
      <c r="CH65" s="15"/>
      <c r="CI65" s="15"/>
      <c r="CJ65" s="15"/>
      <c r="CK65" s="15"/>
      <c r="CL65" s="15"/>
      <c r="CM65" s="15"/>
      <c r="CN65" s="15"/>
      <c r="CO65" s="15"/>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row>
    <row r="66" spans="1:210" ht="75" customHeight="1">
      <c r="A66" s="11" t="s">
        <v>1076</v>
      </c>
      <c r="B66" s="11" t="s">
        <v>1077</v>
      </c>
      <c r="C66" s="11">
        <v>10012</v>
      </c>
      <c r="D66" s="11" t="s">
        <v>182</v>
      </c>
      <c r="E66" s="11" t="s">
        <v>1078</v>
      </c>
      <c r="F66" s="11" t="s">
        <v>184</v>
      </c>
      <c r="G66" s="12" t="s">
        <v>1079</v>
      </c>
      <c r="H66" s="11" t="s">
        <v>186</v>
      </c>
      <c r="I66" s="11" t="s">
        <v>343</v>
      </c>
      <c r="J66" s="11">
        <v>30977563</v>
      </c>
      <c r="K66" s="11" t="s">
        <v>1080</v>
      </c>
      <c r="L66" s="11">
        <v>2019</v>
      </c>
      <c r="M66" s="11" t="s">
        <v>189</v>
      </c>
      <c r="N66" s="11"/>
      <c r="O66" s="11"/>
      <c r="P66" s="11" t="s">
        <v>1081</v>
      </c>
      <c r="Q66" s="11" t="s">
        <v>1082</v>
      </c>
      <c r="R66" s="11" t="s">
        <v>1083</v>
      </c>
      <c r="S66" s="11"/>
      <c r="T66" s="11" t="s">
        <v>1084</v>
      </c>
      <c r="U66" s="11" t="s">
        <v>193</v>
      </c>
      <c r="V66" s="11" t="s">
        <v>194</v>
      </c>
      <c r="W66" s="11" t="s">
        <v>195</v>
      </c>
      <c r="X66" s="11" t="s">
        <v>779</v>
      </c>
      <c r="Y66" s="11"/>
      <c r="Z66" s="11"/>
      <c r="AA66" s="11"/>
      <c r="AB66" s="11" t="s">
        <v>230</v>
      </c>
      <c r="AC66" s="11" t="s">
        <v>199</v>
      </c>
      <c r="AD66" s="11" t="s">
        <v>762</v>
      </c>
      <c r="AE66" s="11" t="s">
        <v>201</v>
      </c>
      <c r="AF66" s="11" t="s">
        <v>202</v>
      </c>
      <c r="AG66" s="11"/>
      <c r="AH66" s="11" t="s">
        <v>736</v>
      </c>
      <c r="AI66" s="11" t="s">
        <v>204</v>
      </c>
      <c r="AJ66" s="11" t="s">
        <v>184</v>
      </c>
      <c r="AK66" s="11" t="s">
        <v>184</v>
      </c>
      <c r="AL66" s="11" t="s">
        <v>1085</v>
      </c>
      <c r="AM66" s="11">
        <v>3</v>
      </c>
      <c r="AN66" s="11" t="s">
        <v>1086</v>
      </c>
      <c r="AO66" s="11" t="s">
        <v>1087</v>
      </c>
      <c r="AP66" s="31"/>
      <c r="AQ66" s="11" t="s">
        <v>209</v>
      </c>
      <c r="AR66" s="11" t="s">
        <v>210</v>
      </c>
      <c r="AS66" s="11" t="s">
        <v>301</v>
      </c>
      <c r="AT66" s="11" t="s">
        <v>212</v>
      </c>
      <c r="AU66" s="11" t="s">
        <v>302</v>
      </c>
      <c r="AV66" s="11" t="s">
        <v>1088</v>
      </c>
      <c r="AW66" s="11" t="s">
        <v>355</v>
      </c>
      <c r="AX66" s="11" t="s">
        <v>216</v>
      </c>
      <c r="AY66" s="11"/>
      <c r="AZ66" s="11" t="s">
        <v>218</v>
      </c>
      <c r="BA66" s="11" t="s">
        <v>265</v>
      </c>
      <c r="BB66" s="11"/>
      <c r="BC66" s="11"/>
      <c r="BD66" s="11" t="s">
        <v>220</v>
      </c>
      <c r="BE66" s="11" t="s">
        <v>221</v>
      </c>
      <c r="BF66" s="13">
        <v>12</v>
      </c>
      <c r="BG66" s="13">
        <v>9</v>
      </c>
      <c r="BH66" s="11" t="s">
        <v>222</v>
      </c>
      <c r="BI66" s="11" t="s">
        <v>207</v>
      </c>
      <c r="BJ66" s="11" t="s">
        <v>269</v>
      </c>
      <c r="BK66" s="11" t="s">
        <v>184</v>
      </c>
      <c r="BL66" s="11"/>
      <c r="BM66" s="11"/>
      <c r="BN66" s="11"/>
      <c r="BO66" s="11"/>
      <c r="BP66" s="11"/>
      <c r="BQ66" s="11"/>
      <c r="BR66" s="11"/>
      <c r="BS66" s="11"/>
      <c r="BT66" s="11"/>
      <c r="BU66" s="11"/>
      <c r="BV66" s="11"/>
      <c r="BW66" s="11"/>
      <c r="BX66" s="11"/>
      <c r="BY66" s="11"/>
      <c r="BZ66" s="11"/>
      <c r="CA66" s="11"/>
      <c r="CB66" s="11"/>
      <c r="CC66" s="11"/>
      <c r="CD66" s="11" t="s">
        <v>1089</v>
      </c>
      <c r="CE66" s="36"/>
      <c r="CF66" s="37"/>
      <c r="CG66" s="37"/>
      <c r="CH66" s="37"/>
      <c r="CI66" s="37"/>
      <c r="CJ66" s="37"/>
      <c r="CK66" s="37"/>
      <c r="CL66" s="37"/>
      <c r="CM66" s="37"/>
      <c r="CN66" s="37"/>
      <c r="CO66" s="37"/>
      <c r="CP66" s="38"/>
      <c r="CQ66" s="38"/>
      <c r="CR66" s="38"/>
      <c r="CS66" s="38"/>
      <c r="CT66" s="38"/>
      <c r="CU66" s="38"/>
      <c r="CV66" s="38"/>
      <c r="CW66" s="38"/>
      <c r="CX66" s="38"/>
      <c r="CY66" s="38"/>
      <c r="CZ66" s="38"/>
      <c r="DA66" s="38"/>
      <c r="DB66" s="38"/>
      <c r="DC66" s="38"/>
      <c r="DD66" s="38"/>
      <c r="DE66" s="38"/>
      <c r="DF66" s="38"/>
      <c r="DG66" s="38"/>
      <c r="DH66" s="38"/>
      <c r="DI66" s="38"/>
      <c r="DJ66" s="38"/>
      <c r="DK66" s="38"/>
      <c r="DL66" s="38"/>
      <c r="DM66" s="38"/>
      <c r="DN66" s="38"/>
      <c r="DO66" s="38"/>
      <c r="DP66" s="38"/>
      <c r="DQ66" s="38"/>
      <c r="DR66" s="38"/>
      <c r="DS66" s="38"/>
      <c r="DT66" s="38"/>
      <c r="DU66" s="38"/>
      <c r="DV66" s="38"/>
      <c r="DW66" s="38"/>
      <c r="DX66" s="38"/>
      <c r="DY66" s="38"/>
      <c r="DZ66" s="38"/>
      <c r="EA66" s="38"/>
      <c r="EB66" s="38"/>
      <c r="EC66" s="38"/>
      <c r="ED66" s="38"/>
      <c r="EE66" s="38"/>
      <c r="EF66" s="38"/>
      <c r="EG66" s="38"/>
      <c r="EH66" s="38"/>
      <c r="EI66" s="38"/>
      <c r="EJ66" s="38"/>
      <c r="EK66" s="38"/>
      <c r="EL66" s="38"/>
      <c r="EM66" s="38"/>
      <c r="EN66" s="38"/>
      <c r="EO66" s="38"/>
      <c r="EP66" s="38"/>
      <c r="EQ66" s="38"/>
      <c r="ER66" s="38"/>
      <c r="ES66" s="38"/>
      <c r="ET66" s="38"/>
      <c r="EU66" s="38"/>
      <c r="EV66" s="38"/>
      <c r="EW66" s="38"/>
      <c r="EX66" s="38"/>
      <c r="EY66" s="38"/>
      <c r="EZ66" s="38"/>
      <c r="FA66" s="38"/>
      <c r="FB66" s="38"/>
      <c r="FC66" s="38"/>
      <c r="FD66" s="38"/>
      <c r="FE66" s="38"/>
      <c r="FF66" s="38"/>
      <c r="FG66" s="38"/>
      <c r="FH66" s="38"/>
      <c r="FI66" s="38"/>
      <c r="FJ66" s="38"/>
      <c r="FK66" s="38"/>
      <c r="FL66" s="38"/>
      <c r="FM66" s="38"/>
      <c r="FN66" s="38"/>
      <c r="FO66" s="38"/>
      <c r="FP66" s="38"/>
      <c r="FQ66" s="38"/>
      <c r="FR66" s="38"/>
      <c r="FS66" s="38"/>
      <c r="FT66" s="38"/>
      <c r="FU66" s="38"/>
      <c r="FV66" s="38"/>
      <c r="FW66" s="38"/>
      <c r="FX66" s="38"/>
      <c r="FY66" s="38"/>
      <c r="FZ66" s="38"/>
      <c r="GA66" s="38"/>
      <c r="GB66" s="38"/>
      <c r="GC66" s="38"/>
      <c r="GD66" s="38"/>
      <c r="GE66" s="38"/>
      <c r="GF66" s="38"/>
      <c r="GG66" s="38"/>
      <c r="GH66" s="38"/>
      <c r="GI66" s="38"/>
      <c r="GJ66" s="38"/>
      <c r="GK66" s="38"/>
      <c r="GL66" s="38"/>
      <c r="GM66" s="38"/>
      <c r="GN66" s="38"/>
      <c r="GO66" s="38"/>
      <c r="GP66" s="38"/>
      <c r="GQ66" s="38"/>
      <c r="GR66" s="38"/>
      <c r="GS66" s="38"/>
      <c r="GT66" s="38"/>
      <c r="GU66" s="38"/>
      <c r="GV66" s="38"/>
      <c r="GW66" s="38"/>
      <c r="GX66" s="38"/>
      <c r="GY66" s="38"/>
      <c r="GZ66" s="38"/>
      <c r="HA66" s="38"/>
      <c r="HB66" s="38"/>
    </row>
    <row r="67" spans="1:210" ht="75" customHeight="1">
      <c r="A67" s="11" t="s">
        <v>1090</v>
      </c>
      <c r="B67" s="11" t="s">
        <v>1091</v>
      </c>
      <c r="C67" s="11">
        <v>10593</v>
      </c>
      <c r="D67" s="11" t="s">
        <v>442</v>
      </c>
      <c r="E67" s="11" t="s">
        <v>1092</v>
      </c>
      <c r="F67" s="11" t="s">
        <v>184</v>
      </c>
      <c r="G67" s="12" t="s">
        <v>1093</v>
      </c>
      <c r="H67" s="11" t="s">
        <v>186</v>
      </c>
      <c r="I67" s="11" t="s">
        <v>187</v>
      </c>
      <c r="J67" s="11">
        <v>31928070</v>
      </c>
      <c r="K67" s="11" t="s">
        <v>1094</v>
      </c>
      <c r="L67" s="11">
        <v>2020</v>
      </c>
      <c r="M67" s="11" t="s">
        <v>189</v>
      </c>
      <c r="N67" s="11"/>
      <c r="O67" s="11"/>
      <c r="P67" s="11" t="s">
        <v>1095</v>
      </c>
      <c r="Q67" s="11" t="s">
        <v>1096</v>
      </c>
      <c r="R67" s="11" t="s">
        <v>1097</v>
      </c>
      <c r="S67" s="11"/>
      <c r="T67" s="11" t="s">
        <v>1098</v>
      </c>
      <c r="U67" s="11" t="s">
        <v>193</v>
      </c>
      <c r="V67" s="11" t="s">
        <v>194</v>
      </c>
      <c r="W67" s="11" t="s">
        <v>195</v>
      </c>
      <c r="X67" s="11" t="s">
        <v>196</v>
      </c>
      <c r="Y67" s="11"/>
      <c r="Z67" s="11"/>
      <c r="AA67" s="11" t="s">
        <v>661</v>
      </c>
      <c r="AB67" s="11" t="s">
        <v>230</v>
      </c>
      <c r="AC67" s="11" t="s">
        <v>231</v>
      </c>
      <c r="AD67" s="11" t="s">
        <v>232</v>
      </c>
      <c r="AE67" s="11" t="s">
        <v>233</v>
      </c>
      <c r="AF67" s="11" t="s">
        <v>1099</v>
      </c>
      <c r="AG67" s="11"/>
      <c r="AH67" s="11" t="s">
        <v>1100</v>
      </c>
      <c r="AI67" s="11" t="s">
        <v>683</v>
      </c>
      <c r="AJ67" s="11" t="s">
        <v>184</v>
      </c>
      <c r="AK67" s="11" t="s">
        <v>184</v>
      </c>
      <c r="AL67" s="11" t="s">
        <v>1101</v>
      </c>
      <c r="AM67" s="11">
        <v>6</v>
      </c>
      <c r="AN67" s="11" t="s">
        <v>1102</v>
      </c>
      <c r="AO67" s="11" t="s">
        <v>1103</v>
      </c>
      <c r="AP67" s="31"/>
      <c r="AQ67" s="11" t="s">
        <v>209</v>
      </c>
      <c r="AR67" s="11" t="s">
        <v>210</v>
      </c>
      <c r="AS67" s="11" t="s">
        <v>211</v>
      </c>
      <c r="AT67" s="11" t="s">
        <v>212</v>
      </c>
      <c r="AU67" s="11" t="s">
        <v>302</v>
      </c>
      <c r="AV67" s="11"/>
      <c r="AW67" s="11" t="s">
        <v>215</v>
      </c>
      <c r="AX67" s="11" t="s">
        <v>216</v>
      </c>
      <c r="AY67" s="11"/>
      <c r="AZ67" s="11" t="s">
        <v>218</v>
      </c>
      <c r="BA67" s="11" t="s">
        <v>219</v>
      </c>
      <c r="BB67" s="11"/>
      <c r="BC67" s="11"/>
      <c r="BD67" s="11" t="s">
        <v>220</v>
      </c>
      <c r="BE67" s="11"/>
      <c r="BF67" s="13">
        <v>12</v>
      </c>
      <c r="BG67" s="13">
        <v>12</v>
      </c>
      <c r="BH67" s="11"/>
      <c r="BI67" s="11" t="s">
        <v>207</v>
      </c>
      <c r="BJ67" s="11" t="s">
        <v>269</v>
      </c>
      <c r="BK67" s="11" t="s">
        <v>184</v>
      </c>
      <c r="BL67" s="11"/>
      <c r="BM67" s="11"/>
      <c r="BN67" s="11"/>
      <c r="BO67" s="11"/>
      <c r="BP67" s="11"/>
      <c r="BQ67" s="11"/>
      <c r="BR67" s="11"/>
      <c r="BS67" s="11"/>
      <c r="BT67" s="11"/>
      <c r="BU67" s="11"/>
      <c r="BV67" s="11"/>
      <c r="BW67" s="11"/>
      <c r="BX67" s="11"/>
      <c r="BY67" s="11"/>
      <c r="BZ67" s="11"/>
      <c r="CA67" s="11"/>
      <c r="CB67" s="11"/>
      <c r="CC67" s="11"/>
      <c r="CD67" s="28" t="s">
        <v>601</v>
      </c>
      <c r="CE67" s="32"/>
      <c r="CF67" s="33"/>
      <c r="CG67" s="33"/>
      <c r="CH67" s="33"/>
      <c r="CI67" s="33"/>
      <c r="CJ67" s="33"/>
      <c r="CK67" s="33"/>
      <c r="CL67" s="33"/>
      <c r="CM67" s="33"/>
      <c r="CN67" s="33"/>
      <c r="CO67" s="33"/>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34"/>
      <c r="DO67" s="34"/>
      <c r="DP67" s="34"/>
      <c r="DQ67" s="34"/>
      <c r="DR67" s="34"/>
      <c r="DS67" s="34"/>
      <c r="DT67" s="34"/>
      <c r="DU67" s="34"/>
      <c r="DV67" s="34"/>
      <c r="DW67" s="34"/>
      <c r="DX67" s="34"/>
      <c r="DY67" s="34"/>
      <c r="DZ67" s="34"/>
      <c r="EA67" s="34"/>
      <c r="EB67" s="34"/>
      <c r="EC67" s="34"/>
      <c r="ED67" s="34"/>
      <c r="EE67" s="34"/>
      <c r="EF67" s="34"/>
      <c r="EG67" s="34"/>
      <c r="EH67" s="34"/>
      <c r="EI67" s="34"/>
      <c r="EJ67" s="34"/>
      <c r="EK67" s="34"/>
      <c r="EL67" s="34"/>
      <c r="EM67" s="34"/>
      <c r="EN67" s="34"/>
      <c r="EO67" s="34"/>
      <c r="EP67" s="34"/>
      <c r="EQ67" s="34"/>
      <c r="ER67" s="34"/>
      <c r="ES67" s="34"/>
      <c r="ET67" s="34"/>
      <c r="EU67" s="34"/>
      <c r="EV67" s="34"/>
      <c r="EW67" s="34"/>
      <c r="EX67" s="34"/>
      <c r="EY67" s="34"/>
      <c r="EZ67" s="34"/>
      <c r="FA67" s="34"/>
      <c r="FB67" s="34"/>
      <c r="FC67" s="34"/>
      <c r="FD67" s="34"/>
      <c r="FE67" s="34"/>
      <c r="FF67" s="34"/>
      <c r="FG67" s="34"/>
      <c r="FH67" s="34"/>
      <c r="FI67" s="34"/>
      <c r="FJ67" s="34"/>
      <c r="FK67" s="34"/>
      <c r="FL67" s="34"/>
      <c r="FM67" s="34"/>
      <c r="FN67" s="34"/>
      <c r="FO67" s="34"/>
      <c r="FP67" s="34"/>
      <c r="FQ67" s="34"/>
      <c r="FR67" s="34"/>
      <c r="FS67" s="34"/>
      <c r="FT67" s="34"/>
      <c r="FU67" s="34"/>
      <c r="FV67" s="34"/>
      <c r="FW67" s="34"/>
      <c r="FX67" s="34"/>
      <c r="FY67" s="34"/>
      <c r="FZ67" s="34"/>
      <c r="GA67" s="34"/>
      <c r="GB67" s="34"/>
      <c r="GC67" s="34"/>
      <c r="GD67" s="34"/>
      <c r="GE67" s="34"/>
      <c r="GF67" s="34"/>
      <c r="GG67" s="34"/>
      <c r="GH67" s="34"/>
      <c r="GI67" s="34"/>
      <c r="GJ67" s="34"/>
      <c r="GK67" s="34"/>
      <c r="GL67" s="34"/>
      <c r="GM67" s="34"/>
      <c r="GN67" s="34"/>
      <c r="GO67" s="34"/>
      <c r="GP67" s="34"/>
      <c r="GQ67" s="34"/>
      <c r="GR67" s="34"/>
      <c r="GS67" s="34"/>
      <c r="GT67" s="34"/>
      <c r="GU67" s="34"/>
      <c r="GV67" s="34"/>
      <c r="GW67" s="34"/>
      <c r="GX67" s="34"/>
      <c r="GY67" s="34"/>
      <c r="GZ67" s="34"/>
      <c r="HA67" s="34"/>
      <c r="HB67" s="34"/>
    </row>
    <row r="68" spans="1:210" ht="75" customHeight="1">
      <c r="A68" s="11" t="s">
        <v>1104</v>
      </c>
      <c r="B68" s="11" t="s">
        <v>1091</v>
      </c>
      <c r="C68" s="11">
        <v>10593</v>
      </c>
      <c r="D68" s="11" t="s">
        <v>442</v>
      </c>
      <c r="E68" s="11" t="s">
        <v>1105</v>
      </c>
      <c r="F68" s="11" t="s">
        <v>184</v>
      </c>
      <c r="G68" s="12" t="s">
        <v>1106</v>
      </c>
      <c r="H68" s="11" t="s">
        <v>342</v>
      </c>
      <c r="I68" s="11" t="s">
        <v>343</v>
      </c>
      <c r="J68" s="11">
        <v>38953211</v>
      </c>
      <c r="K68" s="11" t="s">
        <v>632</v>
      </c>
      <c r="L68" s="11">
        <v>2024</v>
      </c>
      <c r="M68" s="11" t="s">
        <v>189</v>
      </c>
      <c r="N68" s="11"/>
      <c r="O68" s="11"/>
      <c r="P68" s="11" t="s">
        <v>1107</v>
      </c>
      <c r="Q68" s="11" t="s">
        <v>1108</v>
      </c>
      <c r="R68" s="11" t="s">
        <v>1109</v>
      </c>
      <c r="S68" s="11"/>
      <c r="T68" s="11" t="s">
        <v>1110</v>
      </c>
      <c r="U68" s="11" t="s">
        <v>193</v>
      </c>
      <c r="V68" s="11" t="s">
        <v>194</v>
      </c>
      <c r="W68" s="11" t="s">
        <v>195</v>
      </c>
      <c r="X68" s="11" t="s">
        <v>196</v>
      </c>
      <c r="Y68" s="11"/>
      <c r="Z68" s="11"/>
      <c r="AA68" s="11" t="s">
        <v>1111</v>
      </c>
      <c r="AB68" s="11" t="s">
        <v>230</v>
      </c>
      <c r="AC68" s="11" t="s">
        <v>781</v>
      </c>
      <c r="AD68" s="11" t="s">
        <v>782</v>
      </c>
      <c r="AE68" s="11" t="s">
        <v>783</v>
      </c>
      <c r="AF68" s="11" t="s">
        <v>202</v>
      </c>
      <c r="AG68" s="11"/>
      <c r="AH68" s="11" t="s">
        <v>1112</v>
      </c>
      <c r="AI68" s="11" t="s">
        <v>204</v>
      </c>
      <c r="AJ68" s="11" t="s">
        <v>184</v>
      </c>
      <c r="AK68" s="11" t="s">
        <v>184</v>
      </c>
      <c r="AL68" s="11" t="s">
        <v>1113</v>
      </c>
      <c r="AM68" s="11">
        <v>2</v>
      </c>
      <c r="AN68" s="11" t="s">
        <v>1114</v>
      </c>
      <c r="AO68" s="11" t="s">
        <v>1115</v>
      </c>
      <c r="AP68" s="31"/>
      <c r="AQ68" s="11" t="s">
        <v>209</v>
      </c>
      <c r="AR68" s="11" t="s">
        <v>210</v>
      </c>
      <c r="AS68" s="11" t="s">
        <v>301</v>
      </c>
      <c r="AT68" s="11" t="s">
        <v>212</v>
      </c>
      <c r="AU68" s="11" t="s">
        <v>302</v>
      </c>
      <c r="AV68" s="11"/>
      <c r="AW68" s="11" t="s">
        <v>215</v>
      </c>
      <c r="AX68" s="11" t="s">
        <v>216</v>
      </c>
      <c r="AY68" s="11"/>
      <c r="AZ68" s="11"/>
      <c r="BA68" s="11"/>
      <c r="BB68" s="11"/>
      <c r="BC68" s="11"/>
      <c r="BD68" s="11" t="s">
        <v>220</v>
      </c>
      <c r="BE68" s="11" t="s">
        <v>221</v>
      </c>
      <c r="BF68" s="13">
        <v>0</v>
      </c>
      <c r="BG68" s="13">
        <v>0</v>
      </c>
      <c r="BH68" s="11" t="s">
        <v>542</v>
      </c>
      <c r="BI68" s="11" t="s">
        <v>207</v>
      </c>
      <c r="BJ68" s="11" t="s">
        <v>269</v>
      </c>
      <c r="BK68" s="11" t="s">
        <v>184</v>
      </c>
      <c r="BL68" s="11"/>
      <c r="BM68" s="11"/>
      <c r="BN68" s="11"/>
      <c r="BO68" s="11"/>
      <c r="BP68" s="11"/>
      <c r="BQ68" s="11"/>
      <c r="BR68" s="11"/>
      <c r="BS68" s="11"/>
      <c r="BT68" s="11"/>
      <c r="BU68" s="11"/>
      <c r="BV68" s="11"/>
      <c r="BW68" s="11"/>
      <c r="BX68" s="11"/>
      <c r="BY68" s="11"/>
      <c r="BZ68" s="11"/>
      <c r="CA68" s="11"/>
      <c r="CB68" s="11"/>
      <c r="CC68" s="11"/>
      <c r="CD68" s="11" t="s">
        <v>1116</v>
      </c>
      <c r="CE68" s="36"/>
      <c r="CF68" s="37"/>
      <c r="CG68" s="37"/>
      <c r="CH68" s="37"/>
      <c r="CI68" s="37"/>
      <c r="CJ68" s="37"/>
      <c r="CK68" s="37"/>
      <c r="CL68" s="37"/>
      <c r="CM68" s="37"/>
      <c r="CN68" s="37"/>
      <c r="CO68" s="37"/>
      <c r="CP68" s="38"/>
      <c r="CQ68" s="38"/>
      <c r="CR68" s="38"/>
      <c r="CS68" s="38"/>
      <c r="CT68" s="38"/>
      <c r="CU68" s="38"/>
      <c r="CV68" s="38"/>
      <c r="CW68" s="38"/>
      <c r="CX68" s="38"/>
      <c r="CY68" s="38"/>
      <c r="CZ68" s="38"/>
      <c r="DA68" s="38"/>
      <c r="DB68" s="38"/>
      <c r="DC68" s="38"/>
      <c r="DD68" s="38"/>
      <c r="DE68" s="38"/>
      <c r="DF68" s="38"/>
      <c r="DG68" s="38"/>
      <c r="DH68" s="38"/>
      <c r="DI68" s="38"/>
      <c r="DJ68" s="38"/>
      <c r="DK68" s="38"/>
      <c r="DL68" s="38"/>
      <c r="DM68" s="38"/>
      <c r="DN68" s="38"/>
      <c r="DO68" s="38"/>
      <c r="DP68" s="38"/>
      <c r="DQ68" s="38"/>
      <c r="DR68" s="38"/>
      <c r="DS68" s="38"/>
      <c r="DT68" s="38"/>
      <c r="DU68" s="38"/>
      <c r="DV68" s="38"/>
      <c r="DW68" s="38"/>
      <c r="DX68" s="38"/>
      <c r="DY68" s="38"/>
      <c r="DZ68" s="38"/>
      <c r="EA68" s="38"/>
      <c r="EB68" s="38"/>
      <c r="EC68" s="38"/>
      <c r="ED68" s="38"/>
      <c r="EE68" s="38"/>
      <c r="EF68" s="38"/>
      <c r="EG68" s="38"/>
      <c r="EH68" s="38"/>
      <c r="EI68" s="38"/>
      <c r="EJ68" s="38"/>
      <c r="EK68" s="38"/>
      <c r="EL68" s="38"/>
      <c r="EM68" s="38"/>
      <c r="EN68" s="38"/>
      <c r="EO68" s="38"/>
      <c r="EP68" s="38"/>
      <c r="EQ68" s="38"/>
      <c r="ER68" s="38"/>
      <c r="ES68" s="38"/>
      <c r="ET68" s="38"/>
      <c r="EU68" s="38"/>
      <c r="EV68" s="38"/>
      <c r="EW68" s="38"/>
      <c r="EX68" s="38"/>
      <c r="EY68" s="38"/>
      <c r="EZ68" s="38"/>
      <c r="FA68" s="38"/>
      <c r="FB68" s="38"/>
      <c r="FC68" s="38"/>
      <c r="FD68" s="38"/>
      <c r="FE68" s="38"/>
      <c r="FF68" s="38"/>
      <c r="FG68" s="38"/>
      <c r="FH68" s="38"/>
      <c r="FI68" s="38"/>
      <c r="FJ68" s="38"/>
      <c r="FK68" s="38"/>
      <c r="FL68" s="38"/>
      <c r="FM68" s="38"/>
      <c r="FN68" s="38"/>
      <c r="FO68" s="38"/>
      <c r="FP68" s="38"/>
      <c r="FQ68" s="38"/>
      <c r="FR68" s="38"/>
      <c r="FS68" s="38"/>
      <c r="FT68" s="38"/>
      <c r="FU68" s="38"/>
      <c r="FV68" s="38"/>
      <c r="FW68" s="38"/>
      <c r="FX68" s="38"/>
      <c r="FY68" s="38"/>
      <c r="FZ68" s="38"/>
      <c r="GA68" s="38"/>
      <c r="GB68" s="38"/>
      <c r="GC68" s="38"/>
      <c r="GD68" s="38"/>
      <c r="GE68" s="38"/>
      <c r="GF68" s="38"/>
      <c r="GG68" s="38"/>
      <c r="GH68" s="38"/>
      <c r="GI68" s="38"/>
      <c r="GJ68" s="38"/>
      <c r="GK68" s="38"/>
      <c r="GL68" s="38"/>
      <c r="GM68" s="38"/>
      <c r="GN68" s="38"/>
      <c r="GO68" s="38"/>
      <c r="GP68" s="38"/>
      <c r="GQ68" s="38"/>
      <c r="GR68" s="38"/>
      <c r="GS68" s="38"/>
      <c r="GT68" s="38"/>
      <c r="GU68" s="38"/>
      <c r="GV68" s="38"/>
      <c r="GW68" s="38"/>
      <c r="GX68" s="38"/>
      <c r="GY68" s="38"/>
      <c r="GZ68" s="38"/>
      <c r="HA68" s="38"/>
      <c r="HB68" s="38"/>
    </row>
    <row r="69" spans="1:210" ht="75" customHeight="1">
      <c r="A69" s="11" t="s">
        <v>1117</v>
      </c>
      <c r="B69" s="11" t="s">
        <v>1118</v>
      </c>
      <c r="C69" s="11">
        <v>10774</v>
      </c>
      <c r="D69" s="11" t="s">
        <v>182</v>
      </c>
      <c r="E69" s="11" t="s">
        <v>1119</v>
      </c>
      <c r="F69" s="11" t="s">
        <v>207</v>
      </c>
      <c r="G69" s="12" t="s">
        <v>1120</v>
      </c>
      <c r="H69" s="11" t="s">
        <v>186</v>
      </c>
      <c r="I69" s="11" t="s">
        <v>187</v>
      </c>
      <c r="J69" s="11"/>
      <c r="K69" s="11" t="s">
        <v>383</v>
      </c>
      <c r="L69" s="11"/>
      <c r="M69" s="11" t="s">
        <v>189</v>
      </c>
      <c r="N69" s="11"/>
      <c r="O69" s="11"/>
      <c r="P69" s="11"/>
      <c r="Q69" s="11" t="s">
        <v>1121</v>
      </c>
      <c r="R69" s="11" t="s">
        <v>1122</v>
      </c>
      <c r="S69" s="11"/>
      <c r="T69" s="11" t="s">
        <v>1123</v>
      </c>
      <c r="U69" s="11" t="s">
        <v>193</v>
      </c>
      <c r="V69" s="11" t="s">
        <v>194</v>
      </c>
      <c r="W69" s="11" t="s">
        <v>195</v>
      </c>
      <c r="X69" s="11" t="s">
        <v>253</v>
      </c>
      <c r="Y69" s="11"/>
      <c r="Z69" s="11"/>
      <c r="AA69" s="11" t="s">
        <v>278</v>
      </c>
      <c r="AB69" s="11" t="s">
        <v>255</v>
      </c>
      <c r="AC69" s="11" t="s">
        <v>231</v>
      </c>
      <c r="AD69" s="11" t="s">
        <v>232</v>
      </c>
      <c r="AE69" s="11" t="s">
        <v>233</v>
      </c>
      <c r="AF69" s="11" t="s">
        <v>234</v>
      </c>
      <c r="AG69" s="11"/>
      <c r="AH69" s="11" t="s">
        <v>256</v>
      </c>
      <c r="AI69" s="11" t="s">
        <v>204</v>
      </c>
      <c r="AJ69" s="11" t="s">
        <v>207</v>
      </c>
      <c r="AK69" s="11"/>
      <c r="AL69" s="11" t="s">
        <v>279</v>
      </c>
      <c r="AM69" s="11">
        <v>3</v>
      </c>
      <c r="AN69" s="11" t="s">
        <v>280</v>
      </c>
      <c r="AO69" s="11" t="s">
        <v>207</v>
      </c>
      <c r="AP69" s="11" t="s">
        <v>281</v>
      </c>
      <c r="AQ69" s="11" t="s">
        <v>260</v>
      </c>
      <c r="AR69" s="11" t="s">
        <v>261</v>
      </c>
      <c r="AS69" s="11" t="s">
        <v>262</v>
      </c>
      <c r="AT69" s="11" t="s">
        <v>983</v>
      </c>
      <c r="AU69" s="11" t="s">
        <v>213</v>
      </c>
      <c r="AV69" s="11" t="s">
        <v>282</v>
      </c>
      <c r="AW69" s="11"/>
      <c r="AX69" s="11" t="s">
        <v>216</v>
      </c>
      <c r="AY69" s="11" t="s">
        <v>283</v>
      </c>
      <c r="AZ69" s="11" t="s">
        <v>218</v>
      </c>
      <c r="BA69" s="11" t="s">
        <v>265</v>
      </c>
      <c r="BB69" s="11" t="s">
        <v>266</v>
      </c>
      <c r="BC69" s="11" t="s">
        <v>267</v>
      </c>
      <c r="BD69" s="11" t="s">
        <v>220</v>
      </c>
      <c r="BE69" s="11" t="s">
        <v>221</v>
      </c>
      <c r="BF69" s="13">
        <v>363</v>
      </c>
      <c r="BG69" s="13">
        <v>83</v>
      </c>
      <c r="BH69" s="11" t="s">
        <v>268</v>
      </c>
      <c r="BI69" s="11" t="s">
        <v>207</v>
      </c>
      <c r="BJ69" s="11" t="s">
        <v>269</v>
      </c>
      <c r="BK69" s="11" t="s">
        <v>184</v>
      </c>
      <c r="BL69" s="11"/>
      <c r="BM69" s="11"/>
      <c r="BN69" s="11"/>
      <c r="BO69" s="11"/>
      <c r="BP69" s="11"/>
      <c r="BQ69" s="11"/>
      <c r="BR69" s="11"/>
      <c r="BS69" s="11"/>
      <c r="BT69" s="11"/>
      <c r="BU69" s="11"/>
      <c r="BV69" s="11"/>
      <c r="BW69" s="11"/>
      <c r="BX69" s="11"/>
      <c r="BY69" s="11"/>
      <c r="BZ69" s="11"/>
      <c r="CA69" s="11"/>
      <c r="CB69" s="11"/>
      <c r="CC69" s="11"/>
      <c r="CD69" s="11"/>
      <c r="CE69" s="14"/>
      <c r="CF69" s="15"/>
      <c r="CG69" s="15"/>
      <c r="CH69" s="15"/>
      <c r="CI69" s="15"/>
      <c r="CJ69" s="15"/>
      <c r="CK69" s="15"/>
      <c r="CL69" s="15"/>
      <c r="CM69" s="15"/>
      <c r="CN69" s="15"/>
      <c r="CO69" s="15"/>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row>
    <row r="70" spans="1:210" ht="75" customHeight="1">
      <c r="A70" s="11" t="s">
        <v>1124</v>
      </c>
      <c r="B70" s="11" t="s">
        <v>1125</v>
      </c>
      <c r="C70" s="11">
        <v>10806</v>
      </c>
      <c r="D70" s="11" t="s">
        <v>182</v>
      </c>
      <c r="E70" s="11" t="s">
        <v>1126</v>
      </c>
      <c r="F70" s="11" t="s">
        <v>184</v>
      </c>
      <c r="G70" s="12" t="s">
        <v>1127</v>
      </c>
      <c r="H70" s="11" t="s">
        <v>186</v>
      </c>
      <c r="I70" s="11" t="s">
        <v>187</v>
      </c>
      <c r="J70" s="11">
        <v>37317968</v>
      </c>
      <c r="K70" s="11" t="s">
        <v>1128</v>
      </c>
      <c r="L70" s="11">
        <v>2023</v>
      </c>
      <c r="M70" s="11" t="s">
        <v>189</v>
      </c>
      <c r="N70" s="11"/>
      <c r="O70" s="11"/>
      <c r="P70" s="11"/>
      <c r="Q70" s="11" t="s">
        <v>1129</v>
      </c>
      <c r="R70" s="11" t="s">
        <v>1130</v>
      </c>
      <c r="S70" s="11"/>
      <c r="T70" s="11" t="s">
        <v>1131</v>
      </c>
      <c r="U70" s="11" t="s">
        <v>193</v>
      </c>
      <c r="V70" s="11" t="s">
        <v>194</v>
      </c>
      <c r="W70" s="11" t="s">
        <v>195</v>
      </c>
      <c r="X70" s="11" t="s">
        <v>779</v>
      </c>
      <c r="Y70" s="11"/>
      <c r="Z70" s="11"/>
      <c r="AA70" s="11" t="s">
        <v>1132</v>
      </c>
      <c r="AB70" s="11" t="s">
        <v>230</v>
      </c>
      <c r="AC70" s="11" t="s">
        <v>199</v>
      </c>
      <c r="AD70" s="11" t="s">
        <v>762</v>
      </c>
      <c r="AE70" s="11" t="s">
        <v>201</v>
      </c>
      <c r="AF70" s="11" t="s">
        <v>202</v>
      </c>
      <c r="AG70" s="11"/>
      <c r="AH70" s="11" t="s">
        <v>736</v>
      </c>
      <c r="AI70" s="11" t="s">
        <v>204</v>
      </c>
      <c r="AJ70" s="11" t="s">
        <v>184</v>
      </c>
      <c r="AK70" s="11" t="s">
        <v>184</v>
      </c>
      <c r="AL70" s="11" t="s">
        <v>1133</v>
      </c>
      <c r="AM70" s="11">
        <v>2</v>
      </c>
      <c r="AN70" s="11" t="s">
        <v>1134</v>
      </c>
      <c r="AO70" s="11" t="s">
        <v>207</v>
      </c>
      <c r="AP70" s="11" t="s">
        <v>1135</v>
      </c>
      <c r="AQ70" s="11" t="s">
        <v>209</v>
      </c>
      <c r="AR70" s="11" t="s">
        <v>210</v>
      </c>
      <c r="AS70" s="11" t="s">
        <v>211</v>
      </c>
      <c r="AT70" s="11" t="s">
        <v>212</v>
      </c>
      <c r="AU70" s="11" t="s">
        <v>213</v>
      </c>
      <c r="AV70" s="11"/>
      <c r="AW70" s="11" t="s">
        <v>643</v>
      </c>
      <c r="AX70" s="11" t="s">
        <v>644</v>
      </c>
      <c r="AY70" s="11"/>
      <c r="AZ70" s="11" t="s">
        <v>218</v>
      </c>
      <c r="BA70" s="11" t="s">
        <v>265</v>
      </c>
      <c r="BB70" s="11"/>
      <c r="BC70" s="11"/>
      <c r="BD70" s="11" t="s">
        <v>220</v>
      </c>
      <c r="BE70" s="11" t="s">
        <v>221</v>
      </c>
      <c r="BF70" s="13">
        <v>0</v>
      </c>
      <c r="BG70" s="13">
        <v>0</v>
      </c>
      <c r="BH70" s="11" t="s">
        <v>1136</v>
      </c>
      <c r="BI70" s="11" t="s">
        <v>207</v>
      </c>
      <c r="BJ70" s="11" t="s">
        <v>221</v>
      </c>
      <c r="BK70" s="11" t="s">
        <v>184</v>
      </c>
      <c r="BL70" s="11" t="s">
        <v>304</v>
      </c>
      <c r="BM70" s="11" t="s">
        <v>1137</v>
      </c>
      <c r="BN70" s="11" t="s">
        <v>244</v>
      </c>
      <c r="BO70" s="11" t="s">
        <v>336</v>
      </c>
      <c r="BP70" s="11" t="s">
        <v>1138</v>
      </c>
      <c r="BQ70" s="11" t="s">
        <v>225</v>
      </c>
      <c r="BR70" s="11"/>
      <c r="BS70" s="11"/>
      <c r="BT70" s="11"/>
      <c r="BU70" s="11"/>
      <c r="BV70" s="11"/>
      <c r="BW70" s="11"/>
      <c r="BX70" s="11"/>
      <c r="BY70" s="11"/>
      <c r="BZ70" s="11"/>
      <c r="CA70" s="11"/>
      <c r="CB70" s="11"/>
      <c r="CC70" s="11"/>
      <c r="CD70" s="11"/>
      <c r="CE70" s="14"/>
      <c r="CF70" s="15"/>
      <c r="CG70" s="15"/>
      <c r="CH70" s="15"/>
      <c r="CI70" s="15"/>
      <c r="CJ70" s="15"/>
      <c r="CK70" s="15"/>
      <c r="CL70" s="15"/>
      <c r="CM70" s="15"/>
      <c r="CN70" s="15"/>
      <c r="CO70" s="15"/>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row>
    <row r="71" spans="1:210" ht="75" customHeight="1">
      <c r="A71" s="11" t="s">
        <v>1139</v>
      </c>
      <c r="B71" s="11" t="s">
        <v>1140</v>
      </c>
      <c r="C71" s="11">
        <v>11571</v>
      </c>
      <c r="D71" s="11" t="s">
        <v>182</v>
      </c>
      <c r="E71" s="11" t="s">
        <v>1141</v>
      </c>
      <c r="F71" s="11" t="s">
        <v>184</v>
      </c>
      <c r="G71" s="12" t="s">
        <v>1142</v>
      </c>
      <c r="H71" s="11" t="s">
        <v>186</v>
      </c>
      <c r="I71" s="11" t="s">
        <v>187</v>
      </c>
      <c r="J71" s="11">
        <v>31519910</v>
      </c>
      <c r="K71" s="11" t="s">
        <v>1143</v>
      </c>
      <c r="L71" s="11">
        <v>2019</v>
      </c>
      <c r="M71" s="11" t="s">
        <v>189</v>
      </c>
      <c r="N71" s="11"/>
      <c r="O71" s="11"/>
      <c r="P71" s="11"/>
      <c r="Q71" s="11" t="s">
        <v>1144</v>
      </c>
      <c r="R71" s="11" t="s">
        <v>1145</v>
      </c>
      <c r="S71" s="11"/>
      <c r="T71" s="11" t="s">
        <v>1146</v>
      </c>
      <c r="U71" s="11" t="s">
        <v>449</v>
      </c>
      <c r="V71" s="11" t="s">
        <v>450</v>
      </c>
      <c r="W71" s="11" t="s">
        <v>451</v>
      </c>
      <c r="X71" s="11"/>
      <c r="Y71" s="11" t="s">
        <v>677</v>
      </c>
      <c r="Z71" s="11" t="s">
        <v>1147</v>
      </c>
      <c r="AA71" s="11" t="s">
        <v>1147</v>
      </c>
      <c r="AB71" s="11" t="s">
        <v>230</v>
      </c>
      <c r="AC71" s="11" t="s">
        <v>231</v>
      </c>
      <c r="AD71" s="11" t="s">
        <v>232</v>
      </c>
      <c r="AE71" s="11" t="s">
        <v>233</v>
      </c>
      <c r="AF71" s="11" t="s">
        <v>234</v>
      </c>
      <c r="AG71" s="11"/>
      <c r="AH71" s="11" t="s">
        <v>1148</v>
      </c>
      <c r="AI71" s="11" t="s">
        <v>204</v>
      </c>
      <c r="AJ71" s="11" t="s">
        <v>184</v>
      </c>
      <c r="AK71" s="11" t="s">
        <v>184</v>
      </c>
      <c r="AL71" s="11" t="s">
        <v>1149</v>
      </c>
      <c r="AM71" s="11">
        <v>3</v>
      </c>
      <c r="AN71" s="11" t="s">
        <v>1150</v>
      </c>
      <c r="AO71" s="11" t="s">
        <v>207</v>
      </c>
      <c r="AP71" s="11" t="s">
        <v>1151</v>
      </c>
      <c r="AQ71" s="11" t="s">
        <v>209</v>
      </c>
      <c r="AR71" s="11" t="s">
        <v>210</v>
      </c>
      <c r="AS71" s="11" t="s">
        <v>415</v>
      </c>
      <c r="AT71" s="11" t="s">
        <v>212</v>
      </c>
      <c r="AU71" s="11" t="s">
        <v>302</v>
      </c>
      <c r="AV71" s="11" t="s">
        <v>1152</v>
      </c>
      <c r="AW71" s="11" t="s">
        <v>355</v>
      </c>
      <c r="AX71" s="11" t="s">
        <v>505</v>
      </c>
      <c r="AY71" s="11"/>
      <c r="AZ71" s="11" t="s">
        <v>218</v>
      </c>
      <c r="BA71" s="11" t="s">
        <v>265</v>
      </c>
      <c r="BB71" s="11"/>
      <c r="BC71" s="11"/>
      <c r="BD71" s="11" t="s">
        <v>220</v>
      </c>
      <c r="BE71" s="11" t="s">
        <v>221</v>
      </c>
      <c r="BF71" s="13">
        <v>0</v>
      </c>
      <c r="BG71" s="13">
        <v>70</v>
      </c>
      <c r="BH71" s="11" t="s">
        <v>542</v>
      </c>
      <c r="BI71" s="11" t="s">
        <v>184</v>
      </c>
      <c r="BJ71" s="11" t="s">
        <v>269</v>
      </c>
      <c r="BK71" s="11" t="s">
        <v>184</v>
      </c>
      <c r="BL71" s="11"/>
      <c r="BM71" s="11"/>
      <c r="BN71" s="11"/>
      <c r="BO71" s="11"/>
      <c r="BP71" s="11"/>
      <c r="BQ71" s="11"/>
      <c r="BR71" s="11"/>
      <c r="BS71" s="11"/>
      <c r="BT71" s="11"/>
      <c r="BU71" s="11"/>
      <c r="BV71" s="11"/>
      <c r="BW71" s="11"/>
      <c r="BX71" s="11"/>
      <c r="BY71" s="11"/>
      <c r="BZ71" s="11"/>
      <c r="CA71" s="11"/>
      <c r="CB71" s="11"/>
      <c r="CC71" s="11"/>
      <c r="CD71" s="11"/>
      <c r="CE71" s="14"/>
      <c r="CF71" s="15"/>
      <c r="CG71" s="15"/>
      <c r="CH71" s="15"/>
      <c r="CI71" s="15"/>
      <c r="CJ71" s="15"/>
      <c r="CK71" s="15"/>
      <c r="CL71" s="15"/>
      <c r="CM71" s="15"/>
      <c r="CN71" s="15"/>
      <c r="CO71" s="15"/>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row>
    <row r="72" spans="1:210" ht="75" customHeight="1">
      <c r="A72" s="11" t="s">
        <v>1153</v>
      </c>
      <c r="B72" s="11" t="s">
        <v>1154</v>
      </c>
      <c r="C72" s="11">
        <v>11998</v>
      </c>
      <c r="D72" s="11" t="s">
        <v>246</v>
      </c>
      <c r="E72" s="11" t="s">
        <v>1155</v>
      </c>
      <c r="F72" s="11" t="s">
        <v>184</v>
      </c>
      <c r="G72" s="12" t="s">
        <v>1156</v>
      </c>
      <c r="H72" s="11" t="s">
        <v>186</v>
      </c>
      <c r="I72" s="11" t="s">
        <v>187</v>
      </c>
      <c r="J72" s="11">
        <v>31395785</v>
      </c>
      <c r="K72" s="11" t="s">
        <v>1157</v>
      </c>
      <c r="L72" s="11">
        <v>2019</v>
      </c>
      <c r="M72" s="11" t="s">
        <v>189</v>
      </c>
      <c r="N72" s="11"/>
      <c r="O72" s="11"/>
      <c r="P72" s="11"/>
      <c r="Q72" s="11" t="s">
        <v>1158</v>
      </c>
      <c r="R72" s="11" t="s">
        <v>1159</v>
      </c>
      <c r="S72" s="34" t="s">
        <v>1160</v>
      </c>
      <c r="T72" s="11" t="s">
        <v>1161</v>
      </c>
      <c r="U72" s="11" t="s">
        <v>193</v>
      </c>
      <c r="V72" s="11" t="s">
        <v>194</v>
      </c>
      <c r="W72" s="11" t="s">
        <v>195</v>
      </c>
      <c r="X72" s="11" t="s">
        <v>1162</v>
      </c>
      <c r="Y72" s="11"/>
      <c r="Z72" s="11"/>
      <c r="AA72" s="11" t="s">
        <v>1163</v>
      </c>
      <c r="AB72" s="11" t="s">
        <v>230</v>
      </c>
      <c r="AC72" s="11" t="s">
        <v>199</v>
      </c>
      <c r="AD72" s="11" t="s">
        <v>556</v>
      </c>
      <c r="AE72" s="11" t="s">
        <v>201</v>
      </c>
      <c r="AF72" s="11" t="s">
        <v>295</v>
      </c>
      <c r="AG72" s="11" t="s">
        <v>1164</v>
      </c>
      <c r="AH72" s="11" t="s">
        <v>557</v>
      </c>
      <c r="AI72" s="11" t="s">
        <v>1165</v>
      </c>
      <c r="AJ72" s="11" t="s">
        <v>184</v>
      </c>
      <c r="AK72" s="11" t="s">
        <v>184</v>
      </c>
      <c r="AL72" s="11" t="s">
        <v>1166</v>
      </c>
      <c r="AM72" s="11">
        <v>2</v>
      </c>
      <c r="AN72" s="11" t="s">
        <v>1167</v>
      </c>
      <c r="AO72" s="11" t="s">
        <v>184</v>
      </c>
      <c r="AP72" s="11" t="s">
        <v>686</v>
      </c>
      <c r="AQ72" s="11" t="s">
        <v>209</v>
      </c>
      <c r="AR72" s="11" t="s">
        <v>210</v>
      </c>
      <c r="AS72" s="11" t="s">
        <v>211</v>
      </c>
      <c r="AT72" s="11" t="s">
        <v>212</v>
      </c>
      <c r="AU72" s="11" t="s">
        <v>264</v>
      </c>
      <c r="AV72" s="11" t="s">
        <v>1045</v>
      </c>
      <c r="AW72" s="11" t="s">
        <v>643</v>
      </c>
      <c r="AX72" s="11" t="s">
        <v>644</v>
      </c>
      <c r="AY72" s="11"/>
      <c r="AZ72" s="11" t="s">
        <v>218</v>
      </c>
      <c r="BA72" s="11" t="s">
        <v>265</v>
      </c>
      <c r="BB72" s="11"/>
      <c r="BC72" s="11"/>
      <c r="BD72" s="11" t="s">
        <v>220</v>
      </c>
      <c r="BE72" s="11" t="s">
        <v>221</v>
      </c>
      <c r="BF72" s="13">
        <v>35</v>
      </c>
      <c r="BG72" s="13">
        <v>386</v>
      </c>
      <c r="BH72" s="11" t="s">
        <v>403</v>
      </c>
      <c r="BI72" s="11" t="s">
        <v>184</v>
      </c>
      <c r="BJ72" s="11" t="s">
        <v>269</v>
      </c>
      <c r="BK72" s="11" t="s">
        <v>184</v>
      </c>
      <c r="BL72" s="11"/>
      <c r="BM72" s="11"/>
      <c r="BN72" s="11"/>
      <c r="BO72" s="11"/>
      <c r="BP72" s="11"/>
      <c r="BQ72" s="11"/>
      <c r="BR72" s="11"/>
      <c r="BS72" s="11"/>
      <c r="BT72" s="11"/>
      <c r="BU72" s="11"/>
      <c r="BV72" s="11"/>
      <c r="BW72" s="11"/>
      <c r="BX72" s="11"/>
      <c r="BY72" s="11"/>
      <c r="BZ72" s="11"/>
      <c r="CA72" s="11"/>
      <c r="CB72" s="11"/>
      <c r="CC72" s="11"/>
      <c r="CD72" s="11" t="s">
        <v>1168</v>
      </c>
      <c r="CE72" s="36"/>
      <c r="CF72" s="37"/>
      <c r="CG72" s="37"/>
      <c r="CH72" s="37"/>
      <c r="CI72" s="37"/>
      <c r="CJ72" s="37"/>
      <c r="CK72" s="37"/>
      <c r="CL72" s="37"/>
      <c r="CM72" s="37"/>
      <c r="CN72" s="37"/>
      <c r="CO72" s="37"/>
      <c r="CP72" s="38"/>
      <c r="CQ72" s="38"/>
      <c r="CR72" s="38"/>
      <c r="CS72" s="38"/>
      <c r="CT72" s="38"/>
      <c r="CU72" s="38"/>
      <c r="CV72" s="38"/>
      <c r="CW72" s="38"/>
      <c r="CX72" s="38"/>
      <c r="CY72" s="38"/>
      <c r="CZ72" s="38"/>
      <c r="DA72" s="38"/>
      <c r="DB72" s="38"/>
      <c r="DC72" s="38"/>
      <c r="DD72" s="38"/>
      <c r="DE72" s="38"/>
      <c r="DF72" s="38"/>
      <c r="DG72" s="38"/>
      <c r="DH72" s="38"/>
      <c r="DI72" s="38"/>
      <c r="DJ72" s="38"/>
      <c r="DK72" s="38"/>
      <c r="DL72" s="38"/>
      <c r="DM72" s="38"/>
      <c r="DN72" s="38"/>
      <c r="DO72" s="38"/>
      <c r="DP72" s="38"/>
      <c r="DQ72" s="38"/>
      <c r="DR72" s="38"/>
      <c r="DS72" s="38"/>
      <c r="DT72" s="38"/>
      <c r="DU72" s="38"/>
      <c r="DV72" s="38"/>
      <c r="DW72" s="38"/>
      <c r="DX72" s="38"/>
      <c r="DY72" s="38"/>
      <c r="DZ72" s="38"/>
      <c r="EA72" s="38"/>
      <c r="EB72" s="38"/>
      <c r="EC72" s="38"/>
      <c r="ED72" s="38"/>
      <c r="EE72" s="38"/>
      <c r="EF72" s="38"/>
      <c r="EG72" s="38"/>
      <c r="EH72" s="38"/>
      <c r="EI72" s="38"/>
      <c r="EJ72" s="38"/>
      <c r="EK72" s="38"/>
      <c r="EL72" s="38"/>
      <c r="EM72" s="38"/>
      <c r="EN72" s="38"/>
      <c r="EO72" s="38"/>
      <c r="EP72" s="38"/>
      <c r="EQ72" s="38"/>
      <c r="ER72" s="38"/>
      <c r="ES72" s="38"/>
      <c r="ET72" s="38"/>
      <c r="EU72" s="38"/>
      <c r="EV72" s="38"/>
      <c r="EW72" s="38"/>
      <c r="EX72" s="38"/>
      <c r="EY72" s="38"/>
      <c r="EZ72" s="38"/>
      <c r="FA72" s="38"/>
      <c r="FB72" s="38"/>
      <c r="FC72" s="38"/>
      <c r="FD72" s="38"/>
      <c r="FE72" s="38"/>
      <c r="FF72" s="38"/>
      <c r="FG72" s="38"/>
      <c r="FH72" s="38"/>
      <c r="FI72" s="38"/>
      <c r="FJ72" s="38"/>
      <c r="FK72" s="38"/>
      <c r="FL72" s="38"/>
      <c r="FM72" s="38"/>
      <c r="FN72" s="38"/>
      <c r="FO72" s="38"/>
      <c r="FP72" s="38"/>
      <c r="FQ72" s="38"/>
      <c r="FR72" s="38"/>
      <c r="FS72" s="38"/>
      <c r="FT72" s="38"/>
      <c r="FU72" s="38"/>
      <c r="FV72" s="38"/>
      <c r="FW72" s="38"/>
      <c r="FX72" s="38"/>
      <c r="FY72" s="38"/>
      <c r="FZ72" s="38"/>
      <c r="GA72" s="38"/>
      <c r="GB72" s="38"/>
      <c r="GC72" s="38"/>
      <c r="GD72" s="38"/>
      <c r="GE72" s="38"/>
      <c r="GF72" s="38"/>
      <c r="GG72" s="38"/>
      <c r="GH72" s="38"/>
      <c r="GI72" s="38"/>
      <c r="GJ72" s="38"/>
      <c r="GK72" s="38"/>
      <c r="GL72" s="38"/>
      <c r="GM72" s="38"/>
      <c r="GN72" s="38"/>
      <c r="GO72" s="38"/>
      <c r="GP72" s="38"/>
      <c r="GQ72" s="38"/>
      <c r="GR72" s="38"/>
      <c r="GS72" s="38"/>
      <c r="GT72" s="38"/>
      <c r="GU72" s="38"/>
      <c r="GV72" s="38"/>
      <c r="GW72" s="38"/>
      <c r="GX72" s="38"/>
      <c r="GY72" s="38"/>
      <c r="GZ72" s="38"/>
      <c r="HA72" s="38"/>
      <c r="HB72" s="38"/>
    </row>
    <row r="73" spans="1:210" ht="75" customHeight="1">
      <c r="A73" s="11" t="s">
        <v>1169</v>
      </c>
      <c r="B73" s="11" t="s">
        <v>1154</v>
      </c>
      <c r="C73" s="11">
        <v>11998</v>
      </c>
      <c r="D73" s="11" t="s">
        <v>246</v>
      </c>
      <c r="E73" s="11" t="s">
        <v>1170</v>
      </c>
      <c r="F73" s="11" t="s">
        <v>184</v>
      </c>
      <c r="G73" s="12" t="s">
        <v>1171</v>
      </c>
      <c r="H73" s="11" t="s">
        <v>186</v>
      </c>
      <c r="I73" s="11" t="s">
        <v>187</v>
      </c>
      <c r="J73" s="11">
        <v>34793697</v>
      </c>
      <c r="K73" s="11" t="s">
        <v>1172</v>
      </c>
      <c r="L73" s="11">
        <v>2021</v>
      </c>
      <c r="M73" s="11" t="s">
        <v>408</v>
      </c>
      <c r="N73" s="11" t="s">
        <v>1173</v>
      </c>
      <c r="O73" s="11" t="s">
        <v>1174</v>
      </c>
      <c r="P73" s="11" t="s">
        <v>1159</v>
      </c>
      <c r="Q73" s="11" t="s">
        <v>1158</v>
      </c>
      <c r="R73" s="11" t="s">
        <v>1159</v>
      </c>
      <c r="S73" s="34" t="s">
        <v>1160</v>
      </c>
      <c r="T73" s="11" t="s">
        <v>1175</v>
      </c>
      <c r="U73" s="11" t="s">
        <v>451</v>
      </c>
      <c r="V73" s="11" t="s">
        <v>451</v>
      </c>
      <c r="W73" s="11" t="s">
        <v>451</v>
      </c>
      <c r="X73" s="11"/>
      <c r="Y73" s="11"/>
      <c r="Z73" s="11"/>
      <c r="AA73" s="11"/>
      <c r="AB73" s="11" t="s">
        <v>230</v>
      </c>
      <c r="AC73" s="11" t="s">
        <v>621</v>
      </c>
      <c r="AD73" s="11"/>
      <c r="AE73" s="11"/>
      <c r="AF73" s="11"/>
      <c r="AG73" s="11"/>
      <c r="AH73" s="11"/>
      <c r="AI73" s="11" t="s">
        <v>1176</v>
      </c>
      <c r="AJ73" s="11" t="s">
        <v>184</v>
      </c>
      <c r="AK73" s="11" t="s">
        <v>184</v>
      </c>
      <c r="AL73" s="11" t="s">
        <v>1177</v>
      </c>
      <c r="AM73" s="11" t="s">
        <v>451</v>
      </c>
      <c r="AN73" s="11"/>
      <c r="AO73" s="11" t="s">
        <v>451</v>
      </c>
      <c r="AP73" s="11"/>
      <c r="AQ73" s="11" t="s">
        <v>414</v>
      </c>
      <c r="AR73" s="11" t="s">
        <v>210</v>
      </c>
      <c r="AS73" s="11" t="s">
        <v>211</v>
      </c>
      <c r="AT73" s="11" t="s">
        <v>212</v>
      </c>
      <c r="AU73" s="11"/>
      <c r="AV73" s="11"/>
      <c r="AW73" s="11"/>
      <c r="AX73" s="11"/>
      <c r="AY73" s="11"/>
      <c r="AZ73" s="11"/>
      <c r="BA73" s="11"/>
      <c r="BB73" s="11"/>
      <c r="BC73" s="11"/>
      <c r="BD73" s="11" t="s">
        <v>622</v>
      </c>
      <c r="BE73" s="11" t="s">
        <v>1178</v>
      </c>
      <c r="BF73" s="13">
        <v>36</v>
      </c>
      <c r="BG73" s="13">
        <v>386</v>
      </c>
      <c r="BH73" s="11"/>
      <c r="BI73" s="11" t="s">
        <v>207</v>
      </c>
      <c r="BJ73" s="11" t="s">
        <v>269</v>
      </c>
      <c r="BK73" s="11" t="s">
        <v>184</v>
      </c>
      <c r="BL73" s="11"/>
      <c r="BM73" s="11"/>
      <c r="BN73" s="11"/>
      <c r="BO73" s="11"/>
      <c r="BP73" s="11"/>
      <c r="BQ73" s="11"/>
      <c r="BR73" s="11"/>
      <c r="BS73" s="11"/>
      <c r="BT73" s="11"/>
      <c r="BU73" s="11"/>
      <c r="BV73" s="11"/>
      <c r="BW73" s="11"/>
      <c r="BX73" s="11"/>
      <c r="BY73" s="11"/>
      <c r="BZ73" s="11"/>
      <c r="CA73" s="11"/>
      <c r="CB73" s="11"/>
      <c r="CC73" s="11"/>
      <c r="CD73" s="11" t="s">
        <v>1179</v>
      </c>
      <c r="CE73" s="36"/>
      <c r="CF73" s="37"/>
      <c r="CG73" s="37"/>
      <c r="CH73" s="37"/>
      <c r="CI73" s="37"/>
      <c r="CJ73" s="37"/>
      <c r="CK73" s="37"/>
      <c r="CL73" s="37"/>
      <c r="CM73" s="37"/>
      <c r="CN73" s="37"/>
      <c r="CO73" s="37"/>
      <c r="CP73" s="38"/>
      <c r="CQ73" s="38"/>
      <c r="CR73" s="38"/>
      <c r="CS73" s="38"/>
      <c r="CT73" s="38"/>
      <c r="CU73" s="38"/>
      <c r="CV73" s="38"/>
      <c r="CW73" s="38"/>
      <c r="CX73" s="38"/>
      <c r="CY73" s="38"/>
      <c r="CZ73" s="38"/>
      <c r="DA73" s="38"/>
      <c r="DB73" s="38"/>
      <c r="DC73" s="38"/>
      <c r="DD73" s="38"/>
      <c r="DE73" s="38"/>
      <c r="DF73" s="38"/>
      <c r="DG73" s="38"/>
      <c r="DH73" s="38"/>
      <c r="DI73" s="38"/>
      <c r="DJ73" s="38"/>
      <c r="DK73" s="38"/>
      <c r="DL73" s="38"/>
      <c r="DM73" s="38"/>
      <c r="DN73" s="38"/>
      <c r="DO73" s="38"/>
      <c r="DP73" s="38"/>
      <c r="DQ73" s="38"/>
      <c r="DR73" s="38"/>
      <c r="DS73" s="38"/>
      <c r="DT73" s="38"/>
      <c r="DU73" s="38"/>
      <c r="DV73" s="38"/>
      <c r="DW73" s="38"/>
      <c r="DX73" s="38"/>
      <c r="DY73" s="38"/>
      <c r="DZ73" s="38"/>
      <c r="EA73" s="38"/>
      <c r="EB73" s="38"/>
      <c r="EC73" s="38"/>
      <c r="ED73" s="38"/>
      <c r="EE73" s="38"/>
      <c r="EF73" s="38"/>
      <c r="EG73" s="38"/>
      <c r="EH73" s="38"/>
      <c r="EI73" s="38"/>
      <c r="EJ73" s="38"/>
      <c r="EK73" s="38"/>
      <c r="EL73" s="38"/>
      <c r="EM73" s="38"/>
      <c r="EN73" s="38"/>
      <c r="EO73" s="38"/>
      <c r="EP73" s="38"/>
      <c r="EQ73" s="38"/>
      <c r="ER73" s="38"/>
      <c r="ES73" s="38"/>
      <c r="ET73" s="38"/>
      <c r="EU73" s="38"/>
      <c r="EV73" s="38"/>
      <c r="EW73" s="38"/>
      <c r="EX73" s="38"/>
      <c r="EY73" s="38"/>
      <c r="EZ73" s="38"/>
      <c r="FA73" s="38"/>
      <c r="FB73" s="38"/>
      <c r="FC73" s="38"/>
      <c r="FD73" s="38"/>
      <c r="FE73" s="38"/>
      <c r="FF73" s="38"/>
      <c r="FG73" s="38"/>
      <c r="FH73" s="38"/>
      <c r="FI73" s="38"/>
      <c r="FJ73" s="38"/>
      <c r="FK73" s="38"/>
      <c r="FL73" s="38"/>
      <c r="FM73" s="38"/>
      <c r="FN73" s="38"/>
      <c r="FO73" s="38"/>
      <c r="FP73" s="38"/>
      <c r="FQ73" s="38"/>
      <c r="FR73" s="38"/>
      <c r="FS73" s="38"/>
      <c r="FT73" s="38"/>
      <c r="FU73" s="38"/>
      <c r="FV73" s="38"/>
      <c r="FW73" s="38"/>
      <c r="FX73" s="38"/>
      <c r="FY73" s="38"/>
      <c r="FZ73" s="38"/>
      <c r="GA73" s="38"/>
      <c r="GB73" s="38"/>
      <c r="GC73" s="38"/>
      <c r="GD73" s="38"/>
      <c r="GE73" s="38"/>
      <c r="GF73" s="38"/>
      <c r="GG73" s="38"/>
      <c r="GH73" s="38"/>
      <c r="GI73" s="38"/>
      <c r="GJ73" s="38"/>
      <c r="GK73" s="38"/>
      <c r="GL73" s="38"/>
      <c r="GM73" s="38"/>
      <c r="GN73" s="38"/>
      <c r="GO73" s="38"/>
      <c r="GP73" s="38"/>
      <c r="GQ73" s="38"/>
      <c r="GR73" s="38"/>
      <c r="GS73" s="38"/>
      <c r="GT73" s="38"/>
      <c r="GU73" s="38"/>
      <c r="GV73" s="38"/>
      <c r="GW73" s="38"/>
      <c r="GX73" s="38"/>
      <c r="GY73" s="38"/>
      <c r="GZ73" s="38"/>
      <c r="HA73" s="38"/>
      <c r="HB73" s="38"/>
    </row>
    <row r="74" spans="1:210" ht="75" customHeight="1">
      <c r="A74" s="11" t="s">
        <v>1180</v>
      </c>
      <c r="B74" s="11" t="s">
        <v>1154</v>
      </c>
      <c r="C74" s="11">
        <v>11998</v>
      </c>
      <c r="D74" s="11" t="s">
        <v>246</v>
      </c>
      <c r="E74" s="11" t="s">
        <v>1181</v>
      </c>
      <c r="F74" s="11" t="s">
        <v>184</v>
      </c>
      <c r="G74" s="12" t="s">
        <v>1182</v>
      </c>
      <c r="H74" s="11" t="s">
        <v>342</v>
      </c>
      <c r="I74" s="11" t="s">
        <v>187</v>
      </c>
      <c r="J74" s="11">
        <v>34273903</v>
      </c>
      <c r="K74" s="11" t="s">
        <v>1183</v>
      </c>
      <c r="L74" s="11">
        <v>2021</v>
      </c>
      <c r="M74" s="11" t="s">
        <v>408</v>
      </c>
      <c r="N74" s="11" t="s">
        <v>1184</v>
      </c>
      <c r="O74" s="11">
        <v>12826609</v>
      </c>
      <c r="P74" s="11" t="s">
        <v>1159</v>
      </c>
      <c r="Q74" s="11" t="s">
        <v>1158</v>
      </c>
      <c r="R74" s="11" t="s">
        <v>1159</v>
      </c>
      <c r="S74" s="31"/>
      <c r="T74" s="11" t="s">
        <v>1185</v>
      </c>
      <c r="U74" s="11" t="s">
        <v>451</v>
      </c>
      <c r="V74" s="11" t="s">
        <v>450</v>
      </c>
      <c r="W74" s="11" t="s">
        <v>451</v>
      </c>
      <c r="X74" s="11"/>
      <c r="Y74" s="11" t="s">
        <v>1186</v>
      </c>
      <c r="Z74" s="11" t="s">
        <v>1187</v>
      </c>
      <c r="AA74" s="11"/>
      <c r="AB74" s="11" t="s">
        <v>230</v>
      </c>
      <c r="AC74" s="11" t="s">
        <v>199</v>
      </c>
      <c r="AD74" s="11" t="s">
        <v>556</v>
      </c>
      <c r="AE74" s="11" t="s">
        <v>201</v>
      </c>
      <c r="AF74" s="11" t="s">
        <v>202</v>
      </c>
      <c r="AG74" s="11"/>
      <c r="AH74" s="11" t="s">
        <v>557</v>
      </c>
      <c r="AI74" s="11" t="s">
        <v>204</v>
      </c>
      <c r="AJ74" s="11" t="s">
        <v>184</v>
      </c>
      <c r="AK74" s="11" t="s">
        <v>184</v>
      </c>
      <c r="AL74" s="11" t="s">
        <v>1185</v>
      </c>
      <c r="AM74" s="11" t="s">
        <v>451</v>
      </c>
      <c r="AN74" s="11"/>
      <c r="AO74" s="11" t="s">
        <v>451</v>
      </c>
      <c r="AP74" s="11"/>
      <c r="AQ74" s="11" t="s">
        <v>414</v>
      </c>
      <c r="AR74" s="11" t="s">
        <v>210</v>
      </c>
      <c r="AS74" s="11" t="s">
        <v>211</v>
      </c>
      <c r="AT74" s="11" t="s">
        <v>212</v>
      </c>
      <c r="AU74" s="11"/>
      <c r="AV74" s="11"/>
      <c r="AW74" s="11"/>
      <c r="AX74" s="11"/>
      <c r="AY74" s="11"/>
      <c r="AZ74" s="11"/>
      <c r="BA74" s="11"/>
      <c r="BB74" s="11"/>
      <c r="BC74" s="11"/>
      <c r="BD74" s="11" t="s">
        <v>622</v>
      </c>
      <c r="BE74" s="11" t="s">
        <v>1178</v>
      </c>
      <c r="BF74" s="13">
        <v>0</v>
      </c>
      <c r="BG74" s="13">
        <v>0</v>
      </c>
      <c r="BH74" s="11"/>
      <c r="BI74" s="11" t="s">
        <v>184</v>
      </c>
      <c r="BJ74" s="11" t="s">
        <v>221</v>
      </c>
      <c r="BK74" s="11" t="s">
        <v>184</v>
      </c>
      <c r="BL74" s="11" t="s">
        <v>336</v>
      </c>
      <c r="BM74" s="11" t="s">
        <v>1188</v>
      </c>
      <c r="BN74" s="11" t="s">
        <v>225</v>
      </c>
      <c r="BO74" s="11" t="s">
        <v>1189</v>
      </c>
      <c r="BP74" s="11" t="s">
        <v>1190</v>
      </c>
      <c r="BQ74" s="11" t="s">
        <v>310</v>
      </c>
      <c r="BR74" s="11" t="s">
        <v>304</v>
      </c>
      <c r="BS74" s="11" t="s">
        <v>1191</v>
      </c>
      <c r="BT74" s="11" t="s">
        <v>244</v>
      </c>
      <c r="BU74" s="11"/>
      <c r="BV74" s="11"/>
      <c r="BW74" s="11"/>
      <c r="BX74" s="11"/>
      <c r="BY74" s="11"/>
      <c r="BZ74" s="11"/>
      <c r="CA74" s="11"/>
      <c r="CB74" s="11"/>
      <c r="CC74" s="11"/>
      <c r="CD74" s="11"/>
      <c r="CE74" s="14"/>
      <c r="CF74" s="15"/>
      <c r="CG74" s="15"/>
      <c r="CH74" s="15"/>
      <c r="CI74" s="15"/>
      <c r="CJ74" s="15"/>
      <c r="CK74" s="15"/>
      <c r="CL74" s="15"/>
      <c r="CM74" s="15"/>
      <c r="CN74" s="15"/>
      <c r="CO74" s="15"/>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row>
    <row r="75" spans="1:210" ht="75" customHeight="1">
      <c r="A75" s="11" t="s">
        <v>1192</v>
      </c>
      <c r="B75" s="11" t="s">
        <v>1154</v>
      </c>
      <c r="C75" s="11">
        <v>11998</v>
      </c>
      <c r="D75" s="41" t="s">
        <v>246</v>
      </c>
      <c r="E75" s="11" t="s">
        <v>1193</v>
      </c>
      <c r="F75" s="11" t="s">
        <v>184</v>
      </c>
      <c r="G75" s="11" t="s">
        <v>1194</v>
      </c>
      <c r="H75" s="11" t="s">
        <v>186</v>
      </c>
      <c r="I75" s="11" t="s">
        <v>365</v>
      </c>
      <c r="J75" s="11">
        <v>39774325</v>
      </c>
      <c r="K75" s="42" t="s">
        <v>1195</v>
      </c>
      <c r="L75" s="42">
        <v>2025</v>
      </c>
      <c r="M75" s="11" t="s">
        <v>189</v>
      </c>
      <c r="N75" s="41"/>
      <c r="O75" s="41"/>
      <c r="P75" s="42" t="s">
        <v>1196</v>
      </c>
      <c r="Q75" s="43" t="s">
        <v>1158</v>
      </c>
      <c r="R75" s="42" t="s">
        <v>1196</v>
      </c>
      <c r="S75" s="11"/>
      <c r="T75" s="11" t="s">
        <v>1197</v>
      </c>
      <c r="U75" s="11" t="s">
        <v>193</v>
      </c>
      <c r="V75" s="30" t="s">
        <v>194</v>
      </c>
      <c r="W75" s="11" t="s">
        <v>195</v>
      </c>
      <c r="X75" s="11" t="s">
        <v>1198</v>
      </c>
      <c r="Y75" s="41"/>
      <c r="Z75" s="41"/>
      <c r="AA75" s="11" t="s">
        <v>1199</v>
      </c>
      <c r="AB75" s="11" t="s">
        <v>255</v>
      </c>
      <c r="AC75" s="11" t="s">
        <v>231</v>
      </c>
      <c r="AD75" s="11" t="s">
        <v>232</v>
      </c>
      <c r="AE75" s="11" t="s">
        <v>233</v>
      </c>
      <c r="AF75" s="11" t="s">
        <v>295</v>
      </c>
      <c r="AG75" s="11" t="s">
        <v>1200</v>
      </c>
      <c r="AH75" s="11" t="s">
        <v>1201</v>
      </c>
      <c r="AI75" s="11" t="s">
        <v>204</v>
      </c>
      <c r="AJ75" s="11" t="s">
        <v>207</v>
      </c>
      <c r="AK75" s="11" t="s">
        <v>207</v>
      </c>
      <c r="AL75" s="11" t="s">
        <v>1202</v>
      </c>
      <c r="AM75" s="11">
        <v>3</v>
      </c>
      <c r="AN75" s="11" t="s">
        <v>1203</v>
      </c>
      <c r="AO75" s="11" t="s">
        <v>207</v>
      </c>
      <c r="AP75" s="11" t="s">
        <v>1204</v>
      </c>
      <c r="AQ75" s="11" t="s">
        <v>260</v>
      </c>
      <c r="AR75" s="42" t="s">
        <v>373</v>
      </c>
      <c r="AS75" s="42" t="s">
        <v>385</v>
      </c>
      <c r="AT75" s="11" t="s">
        <v>1205</v>
      </c>
      <c r="AU75" s="11" t="s">
        <v>302</v>
      </c>
      <c r="AV75" s="11" t="s">
        <v>1206</v>
      </c>
      <c r="AW75" s="41"/>
      <c r="AX75" s="11" t="s">
        <v>216</v>
      </c>
      <c r="AY75" s="11" t="s">
        <v>1207</v>
      </c>
      <c r="AZ75" s="42" t="s">
        <v>218</v>
      </c>
      <c r="BA75" s="42" t="s">
        <v>265</v>
      </c>
      <c r="BB75" s="11" t="s">
        <v>266</v>
      </c>
      <c r="BC75" s="11" t="s">
        <v>267</v>
      </c>
      <c r="BD75" s="11" t="s">
        <v>220</v>
      </c>
      <c r="BE75" s="30" t="s">
        <v>221</v>
      </c>
      <c r="BF75" s="30">
        <v>377</v>
      </c>
      <c r="BG75" s="30">
        <v>537</v>
      </c>
      <c r="BH75" s="30" t="s">
        <v>403</v>
      </c>
      <c r="BI75" s="30" t="s">
        <v>207</v>
      </c>
      <c r="BJ75" s="30" t="s">
        <v>207</v>
      </c>
      <c r="BK75" s="30"/>
      <c r="BL75" s="30" t="s">
        <v>1208</v>
      </c>
      <c r="BM75" s="30" t="s">
        <v>897</v>
      </c>
      <c r="BN75" s="30" t="s">
        <v>244</v>
      </c>
      <c r="BO75" s="30" t="s">
        <v>1209</v>
      </c>
      <c r="BP75" s="30" t="s">
        <v>896</v>
      </c>
      <c r="BQ75" s="30" t="s">
        <v>225</v>
      </c>
      <c r="BR75" s="41"/>
      <c r="BS75" s="41"/>
      <c r="BT75" s="41"/>
      <c r="BU75" s="41"/>
      <c r="BV75" s="41"/>
      <c r="BW75" s="41"/>
      <c r="BX75" s="41"/>
      <c r="BY75" s="41"/>
      <c r="BZ75" s="41"/>
      <c r="CA75" s="41"/>
      <c r="CB75" s="41"/>
      <c r="CC75" s="41"/>
      <c r="CD75" s="41"/>
      <c r="CE75" s="44"/>
      <c r="CF75" s="45"/>
      <c r="CG75" s="45"/>
      <c r="CH75" s="45"/>
      <c r="CI75" s="45"/>
      <c r="CJ75" s="45"/>
      <c r="CK75" s="45"/>
      <c r="CL75" s="45"/>
      <c r="CM75" s="45"/>
      <c r="CN75" s="45"/>
      <c r="CO75" s="45"/>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c r="DR75" s="41"/>
      <c r="DS75" s="41"/>
      <c r="DT75" s="41"/>
      <c r="DU75" s="41"/>
      <c r="DV75" s="41"/>
      <c r="DW75" s="41"/>
      <c r="DX75" s="41"/>
      <c r="DY75" s="41"/>
      <c r="DZ75" s="41"/>
      <c r="EA75" s="41"/>
      <c r="EB75" s="41"/>
      <c r="EC75" s="41"/>
      <c r="ED75" s="41"/>
      <c r="EE75" s="41"/>
      <c r="EF75" s="41"/>
      <c r="EG75" s="41"/>
      <c r="EH75" s="41"/>
      <c r="EI75" s="41"/>
      <c r="EJ75" s="41"/>
      <c r="EK75" s="41"/>
      <c r="EL75" s="41"/>
      <c r="EM75" s="41"/>
      <c r="EN75" s="41"/>
      <c r="EO75" s="41"/>
      <c r="EP75" s="41"/>
      <c r="EQ75" s="41"/>
      <c r="ER75" s="41"/>
      <c r="ES75" s="41"/>
      <c r="ET75" s="41"/>
      <c r="EU75" s="41"/>
      <c r="EV75" s="41"/>
      <c r="EW75" s="41"/>
      <c r="EX75" s="41"/>
      <c r="EY75" s="41"/>
      <c r="EZ75" s="41"/>
      <c r="FA75" s="41"/>
      <c r="FB75" s="41"/>
      <c r="FC75" s="41"/>
      <c r="FD75" s="41"/>
      <c r="FE75" s="41"/>
      <c r="FF75" s="41"/>
      <c r="FG75" s="41"/>
      <c r="FH75" s="41"/>
      <c r="FI75" s="41"/>
      <c r="FJ75" s="41"/>
      <c r="FK75" s="41"/>
      <c r="FL75" s="41"/>
      <c r="FM75" s="41"/>
      <c r="FN75" s="41"/>
      <c r="FO75" s="41"/>
      <c r="FP75" s="41"/>
      <c r="FQ75" s="41"/>
      <c r="FR75" s="41"/>
      <c r="FS75" s="41"/>
      <c r="FT75" s="41"/>
      <c r="FU75" s="41"/>
      <c r="FV75" s="41"/>
      <c r="FW75" s="41"/>
      <c r="FX75" s="41"/>
      <c r="FY75" s="41"/>
      <c r="FZ75" s="41"/>
      <c r="GA75" s="41"/>
      <c r="GB75" s="41"/>
      <c r="GC75" s="41"/>
      <c r="GD75" s="41"/>
      <c r="GE75" s="41"/>
      <c r="GF75" s="41"/>
      <c r="GG75" s="41"/>
      <c r="GH75" s="41"/>
      <c r="GI75" s="41"/>
      <c r="GJ75" s="41"/>
      <c r="GK75" s="41"/>
      <c r="GL75" s="41"/>
      <c r="GM75" s="41"/>
      <c r="GN75" s="41"/>
      <c r="GO75" s="41"/>
      <c r="GP75" s="41"/>
      <c r="GQ75" s="41"/>
      <c r="GR75" s="41"/>
      <c r="GS75" s="41"/>
      <c r="GT75" s="41"/>
      <c r="GU75" s="41"/>
      <c r="GV75" s="41"/>
      <c r="GW75" s="41"/>
      <c r="GX75" s="41"/>
      <c r="GY75" s="41"/>
      <c r="GZ75" s="41"/>
      <c r="HA75" s="41"/>
      <c r="HB75" s="41"/>
    </row>
    <row r="76" spans="1:210" ht="75" customHeight="1">
      <c r="A76" s="11" t="s">
        <v>1210</v>
      </c>
      <c r="B76" s="11" t="s">
        <v>1154</v>
      </c>
      <c r="C76" s="11">
        <v>11998</v>
      </c>
      <c r="D76" s="11" t="s">
        <v>246</v>
      </c>
      <c r="E76" s="11" t="s">
        <v>1211</v>
      </c>
      <c r="F76" s="11" t="s">
        <v>184</v>
      </c>
      <c r="G76" s="12" t="s">
        <v>1212</v>
      </c>
      <c r="H76" s="11" t="s">
        <v>186</v>
      </c>
      <c r="I76" s="11" t="s">
        <v>187</v>
      </c>
      <c r="J76" s="11">
        <v>30224644</v>
      </c>
      <c r="K76" s="11" t="s">
        <v>1213</v>
      </c>
      <c r="L76" s="11">
        <v>2018</v>
      </c>
      <c r="M76" s="11" t="s">
        <v>408</v>
      </c>
      <c r="N76" s="11" t="s">
        <v>409</v>
      </c>
      <c r="O76" s="11"/>
      <c r="P76" s="11"/>
      <c r="Q76" s="11" t="s">
        <v>1158</v>
      </c>
      <c r="R76" s="11" t="s">
        <v>1196</v>
      </c>
      <c r="S76" s="34" t="s">
        <v>1160</v>
      </c>
      <c r="T76" s="11" t="s">
        <v>1214</v>
      </c>
      <c r="U76" s="11" t="s">
        <v>451</v>
      </c>
      <c r="V76" s="11" t="s">
        <v>451</v>
      </c>
      <c r="W76" s="11"/>
      <c r="X76" s="11"/>
      <c r="Y76" s="11"/>
      <c r="Z76" s="11"/>
      <c r="AA76" s="11" t="s">
        <v>1215</v>
      </c>
      <c r="AB76" s="11" t="s">
        <v>230</v>
      </c>
      <c r="AC76" s="11" t="s">
        <v>621</v>
      </c>
      <c r="AD76" s="11"/>
      <c r="AE76" s="11"/>
      <c r="AF76" s="11"/>
      <c r="AG76" s="11"/>
      <c r="AH76" s="11"/>
      <c r="AI76" s="11" t="s">
        <v>1216</v>
      </c>
      <c r="AJ76" s="11" t="s">
        <v>184</v>
      </c>
      <c r="AK76" s="11" t="s">
        <v>184</v>
      </c>
      <c r="AL76" s="11" t="s">
        <v>1217</v>
      </c>
      <c r="AM76" s="11" t="s">
        <v>451</v>
      </c>
      <c r="AN76" s="11"/>
      <c r="AO76" s="11" t="s">
        <v>451</v>
      </c>
      <c r="AP76" s="11"/>
      <c r="AQ76" s="11" t="s">
        <v>414</v>
      </c>
      <c r="AR76" s="11" t="s">
        <v>210</v>
      </c>
      <c r="AS76" s="11"/>
      <c r="AT76" s="11" t="s">
        <v>212</v>
      </c>
      <c r="AU76" s="11"/>
      <c r="AV76" s="11"/>
      <c r="AW76" s="11"/>
      <c r="AX76" s="11"/>
      <c r="AY76" s="11"/>
      <c r="AZ76" s="11"/>
      <c r="BA76" s="11"/>
      <c r="BB76" s="11"/>
      <c r="BC76" s="11"/>
      <c r="BD76" s="11" t="s">
        <v>220</v>
      </c>
      <c r="BE76" s="11" t="s">
        <v>221</v>
      </c>
      <c r="BF76" s="13">
        <v>357</v>
      </c>
      <c r="BG76" s="13">
        <v>388</v>
      </c>
      <c r="BH76" s="11"/>
      <c r="BI76" s="11" t="s">
        <v>184</v>
      </c>
      <c r="BJ76" s="11" t="s">
        <v>269</v>
      </c>
      <c r="BK76" s="11" t="s">
        <v>184</v>
      </c>
      <c r="BL76" s="11"/>
      <c r="BM76" s="11"/>
      <c r="BN76" s="11"/>
      <c r="BO76" s="11"/>
      <c r="BP76" s="11"/>
      <c r="BQ76" s="11"/>
      <c r="BR76" s="11"/>
      <c r="BS76" s="11"/>
      <c r="BT76" s="11"/>
      <c r="BU76" s="11"/>
      <c r="BV76" s="11"/>
      <c r="BW76" s="11"/>
      <c r="BX76" s="11"/>
      <c r="BY76" s="11"/>
      <c r="BZ76" s="11"/>
      <c r="CA76" s="11"/>
      <c r="CB76" s="11"/>
      <c r="CC76" s="11"/>
      <c r="CD76" s="11" t="s">
        <v>1218</v>
      </c>
      <c r="CE76" s="36"/>
      <c r="CF76" s="37"/>
      <c r="CG76" s="37"/>
      <c r="CH76" s="37"/>
      <c r="CI76" s="37"/>
      <c r="CJ76" s="37"/>
      <c r="CK76" s="37"/>
      <c r="CL76" s="37"/>
      <c r="CM76" s="37"/>
      <c r="CN76" s="37"/>
      <c r="CO76" s="37"/>
      <c r="CP76" s="38"/>
      <c r="CQ76" s="38"/>
      <c r="CR76" s="38"/>
      <c r="CS76" s="38"/>
      <c r="CT76" s="38"/>
      <c r="CU76" s="38"/>
      <c r="CV76" s="38"/>
      <c r="CW76" s="38"/>
      <c r="CX76" s="38"/>
      <c r="CY76" s="38"/>
      <c r="CZ76" s="38"/>
      <c r="DA76" s="38"/>
      <c r="DB76" s="38"/>
      <c r="DC76" s="38"/>
      <c r="DD76" s="38"/>
      <c r="DE76" s="38"/>
      <c r="DF76" s="38"/>
      <c r="DG76" s="38"/>
      <c r="DH76" s="38"/>
      <c r="DI76" s="38"/>
      <c r="DJ76" s="38"/>
      <c r="DK76" s="38"/>
      <c r="DL76" s="38"/>
      <c r="DM76" s="38"/>
      <c r="DN76" s="38"/>
      <c r="DO76" s="38"/>
      <c r="DP76" s="38"/>
      <c r="DQ76" s="38"/>
      <c r="DR76" s="38"/>
      <c r="DS76" s="38"/>
      <c r="DT76" s="38"/>
      <c r="DU76" s="38"/>
      <c r="DV76" s="38"/>
      <c r="DW76" s="38"/>
      <c r="DX76" s="38"/>
      <c r="DY76" s="38"/>
      <c r="DZ76" s="38"/>
      <c r="EA76" s="38"/>
      <c r="EB76" s="38"/>
      <c r="EC76" s="38"/>
      <c r="ED76" s="38"/>
      <c r="EE76" s="38"/>
      <c r="EF76" s="38"/>
      <c r="EG76" s="38"/>
      <c r="EH76" s="38"/>
      <c r="EI76" s="38"/>
      <c r="EJ76" s="38"/>
      <c r="EK76" s="38"/>
      <c r="EL76" s="38"/>
      <c r="EM76" s="38"/>
      <c r="EN76" s="38"/>
      <c r="EO76" s="38"/>
      <c r="EP76" s="38"/>
      <c r="EQ76" s="38"/>
      <c r="ER76" s="38"/>
      <c r="ES76" s="38"/>
      <c r="ET76" s="38"/>
      <c r="EU76" s="38"/>
      <c r="EV76" s="38"/>
      <c r="EW76" s="38"/>
      <c r="EX76" s="38"/>
      <c r="EY76" s="38"/>
      <c r="EZ76" s="38"/>
      <c r="FA76" s="38"/>
      <c r="FB76" s="38"/>
      <c r="FC76" s="38"/>
      <c r="FD76" s="38"/>
      <c r="FE76" s="38"/>
      <c r="FF76" s="38"/>
      <c r="FG76" s="38"/>
      <c r="FH76" s="38"/>
      <c r="FI76" s="38"/>
      <c r="FJ76" s="38"/>
      <c r="FK76" s="38"/>
      <c r="FL76" s="38"/>
      <c r="FM76" s="38"/>
      <c r="FN76" s="38"/>
      <c r="FO76" s="38"/>
      <c r="FP76" s="38"/>
      <c r="FQ76" s="38"/>
      <c r="FR76" s="38"/>
      <c r="FS76" s="38"/>
      <c r="FT76" s="38"/>
      <c r="FU76" s="38"/>
      <c r="FV76" s="38"/>
      <c r="FW76" s="38"/>
      <c r="FX76" s="38"/>
      <c r="FY76" s="38"/>
      <c r="FZ76" s="38"/>
      <c r="GA76" s="38"/>
      <c r="GB76" s="38"/>
      <c r="GC76" s="38"/>
      <c r="GD76" s="38"/>
      <c r="GE76" s="38"/>
      <c r="GF76" s="38"/>
      <c r="GG76" s="38"/>
      <c r="GH76" s="38"/>
      <c r="GI76" s="38"/>
      <c r="GJ76" s="38"/>
      <c r="GK76" s="38"/>
      <c r="GL76" s="38"/>
      <c r="GM76" s="38"/>
      <c r="GN76" s="38"/>
      <c r="GO76" s="38"/>
      <c r="GP76" s="38"/>
      <c r="GQ76" s="38"/>
      <c r="GR76" s="38"/>
      <c r="GS76" s="38"/>
      <c r="GT76" s="38"/>
      <c r="GU76" s="38"/>
      <c r="GV76" s="38"/>
      <c r="GW76" s="38"/>
      <c r="GX76" s="38"/>
      <c r="GY76" s="38"/>
      <c r="GZ76" s="38"/>
      <c r="HA76" s="38"/>
      <c r="HB76" s="38"/>
    </row>
    <row r="77" spans="1:210" ht="75" customHeight="1">
      <c r="A77" s="11" t="s">
        <v>1219</v>
      </c>
      <c r="B77" s="11" t="s">
        <v>1154</v>
      </c>
      <c r="C77" s="11">
        <v>11998</v>
      </c>
      <c r="D77" s="11" t="s">
        <v>246</v>
      </c>
      <c r="E77" s="11" t="s">
        <v>1220</v>
      </c>
      <c r="F77" s="11" t="s">
        <v>184</v>
      </c>
      <c r="G77" s="12" t="s">
        <v>1221</v>
      </c>
      <c r="H77" s="11" t="s">
        <v>186</v>
      </c>
      <c r="I77" s="11" t="s">
        <v>187</v>
      </c>
      <c r="J77" s="11">
        <v>30224644</v>
      </c>
      <c r="K77" s="11" t="s">
        <v>1213</v>
      </c>
      <c r="L77" s="11">
        <v>2018</v>
      </c>
      <c r="M77" s="11" t="s">
        <v>189</v>
      </c>
      <c r="N77" s="11"/>
      <c r="O77" s="11"/>
      <c r="P77" s="11"/>
      <c r="Q77" s="11" t="s">
        <v>1158</v>
      </c>
      <c r="R77" s="11" t="s">
        <v>1196</v>
      </c>
      <c r="S77" s="34" t="s">
        <v>1160</v>
      </c>
      <c r="T77" s="11" t="s">
        <v>1222</v>
      </c>
      <c r="U77" s="11" t="s">
        <v>193</v>
      </c>
      <c r="V77" s="11" t="s">
        <v>194</v>
      </c>
      <c r="W77" s="11" t="s">
        <v>195</v>
      </c>
      <c r="X77" s="11" t="s">
        <v>1223</v>
      </c>
      <c r="Y77" s="11"/>
      <c r="Z77" s="11"/>
      <c r="AA77" s="11" t="s">
        <v>1224</v>
      </c>
      <c r="AB77" s="11" t="s">
        <v>230</v>
      </c>
      <c r="AC77" s="11" t="s">
        <v>231</v>
      </c>
      <c r="AD77" s="11" t="s">
        <v>454</v>
      </c>
      <c r="AE77" s="11" t="s">
        <v>233</v>
      </c>
      <c r="AF77" s="11" t="s">
        <v>295</v>
      </c>
      <c r="AG77" s="11" t="s">
        <v>1225</v>
      </c>
      <c r="AH77" s="11" t="s">
        <v>1226</v>
      </c>
      <c r="AI77" s="11" t="s">
        <v>204</v>
      </c>
      <c r="AJ77" s="11" t="s">
        <v>184</v>
      </c>
      <c r="AK77" s="11" t="s">
        <v>184</v>
      </c>
      <c r="AL77" s="11" t="s">
        <v>1227</v>
      </c>
      <c r="AM77" s="11">
        <v>2</v>
      </c>
      <c r="AN77" s="11" t="s">
        <v>1228</v>
      </c>
      <c r="AO77" s="11" t="s">
        <v>207</v>
      </c>
      <c r="AP77" s="11" t="s">
        <v>1229</v>
      </c>
      <c r="AQ77" s="11" t="s">
        <v>209</v>
      </c>
      <c r="AR77" s="11" t="s">
        <v>210</v>
      </c>
      <c r="AS77" s="11" t="s">
        <v>211</v>
      </c>
      <c r="AT77" s="11" t="s">
        <v>212</v>
      </c>
      <c r="AU77" s="11" t="s">
        <v>264</v>
      </c>
      <c r="AV77" s="11" t="s">
        <v>1045</v>
      </c>
      <c r="AW77" s="11" t="s">
        <v>643</v>
      </c>
      <c r="AX77" s="11" t="s">
        <v>644</v>
      </c>
      <c r="AY77" s="11"/>
      <c r="AZ77" s="11" t="s">
        <v>218</v>
      </c>
      <c r="BA77" s="11" t="s">
        <v>1230</v>
      </c>
      <c r="BB77" s="11"/>
      <c r="BC77" s="11"/>
      <c r="BD77" s="11" t="s">
        <v>220</v>
      </c>
      <c r="BE77" s="11" t="s">
        <v>221</v>
      </c>
      <c r="BF77" s="13">
        <v>357</v>
      </c>
      <c r="BG77" s="13">
        <v>388</v>
      </c>
      <c r="BH77" s="11"/>
      <c r="BI77" s="11" t="s">
        <v>184</v>
      </c>
      <c r="BJ77" s="11" t="s">
        <v>269</v>
      </c>
      <c r="BK77" s="11" t="s">
        <v>184</v>
      </c>
      <c r="BL77" s="11"/>
      <c r="BM77" s="11"/>
      <c r="BN77" s="11"/>
      <c r="BO77" s="11"/>
      <c r="BP77" s="11"/>
      <c r="BQ77" s="11"/>
      <c r="BR77" s="11"/>
      <c r="BS77" s="11"/>
      <c r="BT77" s="11"/>
      <c r="BU77" s="11"/>
      <c r="BV77" s="11"/>
      <c r="BW77" s="11"/>
      <c r="BX77" s="11"/>
      <c r="BY77" s="11"/>
      <c r="BZ77" s="11"/>
      <c r="CA77" s="11"/>
      <c r="CB77" s="11"/>
      <c r="CC77" s="11"/>
      <c r="CD77" s="11" t="s">
        <v>1218</v>
      </c>
      <c r="CE77" s="36"/>
      <c r="CF77" s="37"/>
      <c r="CG77" s="37"/>
      <c r="CH77" s="37"/>
      <c r="CI77" s="37"/>
      <c r="CJ77" s="37"/>
      <c r="CK77" s="37"/>
      <c r="CL77" s="37"/>
      <c r="CM77" s="37"/>
      <c r="CN77" s="37"/>
      <c r="CO77" s="37"/>
      <c r="CP77" s="38"/>
      <c r="CQ77" s="38"/>
      <c r="CR77" s="38"/>
      <c r="CS77" s="38"/>
      <c r="CT77" s="38"/>
      <c r="CU77" s="38"/>
      <c r="CV77" s="38"/>
      <c r="CW77" s="38"/>
      <c r="CX77" s="38"/>
      <c r="CY77" s="38"/>
      <c r="CZ77" s="38"/>
      <c r="DA77" s="38"/>
      <c r="DB77" s="38"/>
      <c r="DC77" s="38"/>
      <c r="DD77" s="38"/>
      <c r="DE77" s="38"/>
      <c r="DF77" s="38"/>
      <c r="DG77" s="38"/>
      <c r="DH77" s="38"/>
      <c r="DI77" s="38"/>
      <c r="DJ77" s="38"/>
      <c r="DK77" s="38"/>
      <c r="DL77" s="38"/>
      <c r="DM77" s="38"/>
      <c r="DN77" s="38"/>
      <c r="DO77" s="38"/>
      <c r="DP77" s="38"/>
      <c r="DQ77" s="38"/>
      <c r="DR77" s="38"/>
      <c r="DS77" s="38"/>
      <c r="DT77" s="38"/>
      <c r="DU77" s="38"/>
      <c r="DV77" s="38"/>
      <c r="DW77" s="38"/>
      <c r="DX77" s="38"/>
      <c r="DY77" s="38"/>
      <c r="DZ77" s="38"/>
      <c r="EA77" s="38"/>
      <c r="EB77" s="38"/>
      <c r="EC77" s="38"/>
      <c r="ED77" s="38"/>
      <c r="EE77" s="38"/>
      <c r="EF77" s="38"/>
      <c r="EG77" s="38"/>
      <c r="EH77" s="38"/>
      <c r="EI77" s="38"/>
      <c r="EJ77" s="38"/>
      <c r="EK77" s="38"/>
      <c r="EL77" s="38"/>
      <c r="EM77" s="38"/>
      <c r="EN77" s="38"/>
      <c r="EO77" s="38"/>
      <c r="EP77" s="38"/>
      <c r="EQ77" s="38"/>
      <c r="ER77" s="38"/>
      <c r="ES77" s="38"/>
      <c r="ET77" s="38"/>
      <c r="EU77" s="38"/>
      <c r="EV77" s="38"/>
      <c r="EW77" s="38"/>
      <c r="EX77" s="38"/>
      <c r="EY77" s="38"/>
      <c r="EZ77" s="38"/>
      <c r="FA77" s="38"/>
      <c r="FB77" s="38"/>
      <c r="FC77" s="38"/>
      <c r="FD77" s="38"/>
      <c r="FE77" s="38"/>
      <c r="FF77" s="38"/>
      <c r="FG77" s="38"/>
      <c r="FH77" s="38"/>
      <c r="FI77" s="38"/>
      <c r="FJ77" s="38"/>
      <c r="FK77" s="38"/>
      <c r="FL77" s="38"/>
      <c r="FM77" s="38"/>
      <c r="FN77" s="38"/>
      <c r="FO77" s="38"/>
      <c r="FP77" s="38"/>
      <c r="FQ77" s="38"/>
      <c r="FR77" s="38"/>
      <c r="FS77" s="38"/>
      <c r="FT77" s="38"/>
      <c r="FU77" s="38"/>
      <c r="FV77" s="38"/>
      <c r="FW77" s="38"/>
      <c r="FX77" s="38"/>
      <c r="FY77" s="38"/>
      <c r="FZ77" s="38"/>
      <c r="GA77" s="38"/>
      <c r="GB77" s="38"/>
      <c r="GC77" s="38"/>
      <c r="GD77" s="38"/>
      <c r="GE77" s="38"/>
      <c r="GF77" s="38"/>
      <c r="GG77" s="38"/>
      <c r="GH77" s="38"/>
      <c r="GI77" s="38"/>
      <c r="GJ77" s="38"/>
      <c r="GK77" s="38"/>
      <c r="GL77" s="38"/>
      <c r="GM77" s="38"/>
      <c r="GN77" s="38"/>
      <c r="GO77" s="38"/>
      <c r="GP77" s="38"/>
      <c r="GQ77" s="38"/>
      <c r="GR77" s="38"/>
      <c r="GS77" s="38"/>
      <c r="GT77" s="38"/>
      <c r="GU77" s="38"/>
      <c r="GV77" s="38"/>
      <c r="GW77" s="38"/>
      <c r="GX77" s="38"/>
      <c r="GY77" s="38"/>
      <c r="GZ77" s="38"/>
      <c r="HA77" s="38"/>
      <c r="HB77" s="38"/>
    </row>
    <row r="78" spans="1:210" ht="75" customHeight="1">
      <c r="A78" s="11" t="s">
        <v>1231</v>
      </c>
      <c r="B78" s="11" t="s">
        <v>1154</v>
      </c>
      <c r="C78" s="11">
        <v>11998</v>
      </c>
      <c r="D78" s="11" t="s">
        <v>246</v>
      </c>
      <c r="E78" s="11" t="s">
        <v>1232</v>
      </c>
      <c r="F78" s="11" t="s">
        <v>184</v>
      </c>
      <c r="G78" s="12" t="s">
        <v>1233</v>
      </c>
      <c r="H78" s="11" t="s">
        <v>186</v>
      </c>
      <c r="I78" s="11" t="s">
        <v>187</v>
      </c>
      <c r="J78" s="11">
        <v>30224644</v>
      </c>
      <c r="K78" s="11" t="s">
        <v>1213</v>
      </c>
      <c r="L78" s="11">
        <v>2018</v>
      </c>
      <c r="M78" s="11" t="s">
        <v>189</v>
      </c>
      <c r="N78" s="11"/>
      <c r="O78" s="11"/>
      <c r="P78" s="11"/>
      <c r="Q78" s="11" t="s">
        <v>1158</v>
      </c>
      <c r="R78" s="11" t="s">
        <v>1196</v>
      </c>
      <c r="S78" s="34" t="s">
        <v>1160</v>
      </c>
      <c r="T78" s="11" t="s">
        <v>1234</v>
      </c>
      <c r="U78" s="11" t="s">
        <v>193</v>
      </c>
      <c r="V78" s="11" t="s">
        <v>194</v>
      </c>
      <c r="W78" s="11" t="s">
        <v>195</v>
      </c>
      <c r="X78" s="11" t="s">
        <v>1223</v>
      </c>
      <c r="Y78" s="11"/>
      <c r="Z78" s="11"/>
      <c r="AA78" s="11" t="s">
        <v>1224</v>
      </c>
      <c r="AB78" s="11" t="s">
        <v>230</v>
      </c>
      <c r="AC78" s="11" t="s">
        <v>231</v>
      </c>
      <c r="AD78" s="11" t="s">
        <v>454</v>
      </c>
      <c r="AE78" s="11" t="s">
        <v>233</v>
      </c>
      <c r="AF78" s="11" t="s">
        <v>295</v>
      </c>
      <c r="AG78" s="11" t="s">
        <v>1164</v>
      </c>
      <c r="AH78" s="11" t="s">
        <v>1235</v>
      </c>
      <c r="AI78" s="11" t="s">
        <v>204</v>
      </c>
      <c r="AJ78" s="11" t="s">
        <v>184</v>
      </c>
      <c r="AK78" s="11" t="s">
        <v>184</v>
      </c>
      <c r="AL78" s="11" t="s">
        <v>1236</v>
      </c>
      <c r="AM78" s="11">
        <v>2</v>
      </c>
      <c r="AN78" s="11" t="s">
        <v>1237</v>
      </c>
      <c r="AO78" s="11" t="s">
        <v>207</v>
      </c>
      <c r="AP78" s="11" t="s">
        <v>1238</v>
      </c>
      <c r="AQ78" s="11" t="s">
        <v>209</v>
      </c>
      <c r="AR78" s="11" t="s">
        <v>210</v>
      </c>
      <c r="AS78" s="11" t="s">
        <v>211</v>
      </c>
      <c r="AT78" s="11" t="s">
        <v>212</v>
      </c>
      <c r="AU78" s="11" t="s">
        <v>264</v>
      </c>
      <c r="AV78" s="11" t="s">
        <v>1045</v>
      </c>
      <c r="AW78" s="11" t="s">
        <v>643</v>
      </c>
      <c r="AX78" s="11" t="s">
        <v>644</v>
      </c>
      <c r="AY78" s="11"/>
      <c r="AZ78" s="11" t="s">
        <v>218</v>
      </c>
      <c r="BA78" s="11" t="s">
        <v>1230</v>
      </c>
      <c r="BB78" s="11"/>
      <c r="BC78" s="11"/>
      <c r="BD78" s="11" t="s">
        <v>220</v>
      </c>
      <c r="BE78" s="11" t="s">
        <v>221</v>
      </c>
      <c r="BF78" s="13">
        <v>357</v>
      </c>
      <c r="BG78" s="13">
        <v>388</v>
      </c>
      <c r="BH78" s="11"/>
      <c r="BI78" s="11" t="s">
        <v>184</v>
      </c>
      <c r="BJ78" s="11" t="s">
        <v>269</v>
      </c>
      <c r="BK78" s="11" t="s">
        <v>184</v>
      </c>
      <c r="BL78" s="11"/>
      <c r="BM78" s="11"/>
      <c r="BN78" s="11"/>
      <c r="BO78" s="11"/>
      <c r="BP78" s="11"/>
      <c r="BQ78" s="11"/>
      <c r="BR78" s="11"/>
      <c r="BS78" s="11"/>
      <c r="BT78" s="11"/>
      <c r="BU78" s="11"/>
      <c r="BV78" s="11"/>
      <c r="BW78" s="11"/>
      <c r="BX78" s="11"/>
      <c r="BY78" s="11"/>
      <c r="BZ78" s="11"/>
      <c r="CA78" s="11"/>
      <c r="CB78" s="11"/>
      <c r="CC78" s="11"/>
      <c r="CD78" s="11" t="s">
        <v>1218</v>
      </c>
      <c r="CE78" s="36"/>
      <c r="CF78" s="37"/>
      <c r="CG78" s="37"/>
      <c r="CH78" s="37"/>
      <c r="CI78" s="37"/>
      <c r="CJ78" s="37"/>
      <c r="CK78" s="37"/>
      <c r="CL78" s="37"/>
      <c r="CM78" s="37"/>
      <c r="CN78" s="37"/>
      <c r="CO78" s="37"/>
      <c r="CP78" s="38"/>
      <c r="CQ78" s="38"/>
      <c r="CR78" s="38"/>
      <c r="CS78" s="38"/>
      <c r="CT78" s="38"/>
      <c r="CU78" s="38"/>
      <c r="CV78" s="38"/>
      <c r="CW78" s="38"/>
      <c r="CX78" s="38"/>
      <c r="CY78" s="38"/>
      <c r="CZ78" s="38"/>
      <c r="DA78" s="38"/>
      <c r="DB78" s="38"/>
      <c r="DC78" s="38"/>
      <c r="DD78" s="38"/>
      <c r="DE78" s="38"/>
      <c r="DF78" s="38"/>
      <c r="DG78" s="38"/>
      <c r="DH78" s="38"/>
      <c r="DI78" s="38"/>
      <c r="DJ78" s="38"/>
      <c r="DK78" s="38"/>
      <c r="DL78" s="38"/>
      <c r="DM78" s="38"/>
      <c r="DN78" s="38"/>
      <c r="DO78" s="38"/>
      <c r="DP78" s="38"/>
      <c r="DQ78" s="38"/>
      <c r="DR78" s="38"/>
      <c r="DS78" s="38"/>
      <c r="DT78" s="38"/>
      <c r="DU78" s="38"/>
      <c r="DV78" s="38"/>
      <c r="DW78" s="38"/>
      <c r="DX78" s="38"/>
      <c r="DY78" s="38"/>
      <c r="DZ78" s="38"/>
      <c r="EA78" s="38"/>
      <c r="EB78" s="38"/>
      <c r="EC78" s="38"/>
      <c r="ED78" s="38"/>
      <c r="EE78" s="38"/>
      <c r="EF78" s="38"/>
      <c r="EG78" s="38"/>
      <c r="EH78" s="38"/>
      <c r="EI78" s="38"/>
      <c r="EJ78" s="38"/>
      <c r="EK78" s="38"/>
      <c r="EL78" s="38"/>
      <c r="EM78" s="38"/>
      <c r="EN78" s="38"/>
      <c r="EO78" s="38"/>
      <c r="EP78" s="38"/>
      <c r="EQ78" s="38"/>
      <c r="ER78" s="38"/>
      <c r="ES78" s="38"/>
      <c r="ET78" s="38"/>
      <c r="EU78" s="38"/>
      <c r="EV78" s="38"/>
      <c r="EW78" s="38"/>
      <c r="EX78" s="38"/>
      <c r="EY78" s="38"/>
      <c r="EZ78" s="38"/>
      <c r="FA78" s="38"/>
      <c r="FB78" s="38"/>
      <c r="FC78" s="38"/>
      <c r="FD78" s="38"/>
      <c r="FE78" s="38"/>
      <c r="FF78" s="38"/>
      <c r="FG78" s="38"/>
      <c r="FH78" s="38"/>
      <c r="FI78" s="38"/>
      <c r="FJ78" s="38"/>
      <c r="FK78" s="38"/>
      <c r="FL78" s="38"/>
      <c r="FM78" s="38"/>
      <c r="FN78" s="38"/>
      <c r="FO78" s="38"/>
      <c r="FP78" s="38"/>
      <c r="FQ78" s="38"/>
      <c r="FR78" s="38"/>
      <c r="FS78" s="38"/>
      <c r="FT78" s="38"/>
      <c r="FU78" s="38"/>
      <c r="FV78" s="38"/>
      <c r="FW78" s="38"/>
      <c r="FX78" s="38"/>
      <c r="FY78" s="38"/>
      <c r="FZ78" s="38"/>
      <c r="GA78" s="38"/>
      <c r="GB78" s="38"/>
      <c r="GC78" s="38"/>
      <c r="GD78" s="38"/>
      <c r="GE78" s="38"/>
      <c r="GF78" s="38"/>
      <c r="GG78" s="38"/>
      <c r="GH78" s="38"/>
      <c r="GI78" s="38"/>
      <c r="GJ78" s="38"/>
      <c r="GK78" s="38"/>
      <c r="GL78" s="38"/>
      <c r="GM78" s="38"/>
      <c r="GN78" s="38"/>
      <c r="GO78" s="38"/>
      <c r="GP78" s="38"/>
      <c r="GQ78" s="38"/>
      <c r="GR78" s="38"/>
      <c r="GS78" s="38"/>
      <c r="GT78" s="38"/>
      <c r="GU78" s="38"/>
      <c r="GV78" s="38"/>
      <c r="GW78" s="38"/>
      <c r="GX78" s="38"/>
      <c r="GY78" s="38"/>
      <c r="GZ78" s="38"/>
      <c r="HA78" s="38"/>
      <c r="HB78" s="38"/>
    </row>
    <row r="79" spans="1:210" ht="75" customHeight="1">
      <c r="A79" s="11" t="s">
        <v>1239</v>
      </c>
      <c r="B79" s="11" t="s">
        <v>1154</v>
      </c>
      <c r="C79" s="11">
        <v>11998</v>
      </c>
      <c r="D79" s="11" t="s">
        <v>246</v>
      </c>
      <c r="E79" s="11" t="s">
        <v>1240</v>
      </c>
      <c r="F79" s="11" t="s">
        <v>184</v>
      </c>
      <c r="G79" s="12" t="s">
        <v>1241</v>
      </c>
      <c r="H79" s="11" t="s">
        <v>186</v>
      </c>
      <c r="I79" s="11" t="s">
        <v>187</v>
      </c>
      <c r="J79" s="11">
        <v>30224644</v>
      </c>
      <c r="K79" s="11" t="s">
        <v>1213</v>
      </c>
      <c r="L79" s="11">
        <v>2018</v>
      </c>
      <c r="M79" s="11" t="s">
        <v>189</v>
      </c>
      <c r="N79" s="11"/>
      <c r="O79" s="11"/>
      <c r="P79" s="11"/>
      <c r="Q79" s="11" t="s">
        <v>1158</v>
      </c>
      <c r="R79" s="11" t="s">
        <v>1196</v>
      </c>
      <c r="S79" s="34" t="s">
        <v>1160</v>
      </c>
      <c r="T79" s="11" t="s">
        <v>1242</v>
      </c>
      <c r="U79" s="11" t="s">
        <v>193</v>
      </c>
      <c r="V79" s="11" t="s">
        <v>194</v>
      </c>
      <c r="W79" s="11" t="s">
        <v>195</v>
      </c>
      <c r="X79" s="11" t="s">
        <v>1223</v>
      </c>
      <c r="Y79" s="11"/>
      <c r="Z79" s="11"/>
      <c r="AA79" s="11" t="s">
        <v>1243</v>
      </c>
      <c r="AB79" s="11" t="s">
        <v>230</v>
      </c>
      <c r="AC79" s="11" t="s">
        <v>231</v>
      </c>
      <c r="AD79" s="11" t="s">
        <v>232</v>
      </c>
      <c r="AE79" s="11" t="s">
        <v>233</v>
      </c>
      <c r="AF79" s="11" t="s">
        <v>295</v>
      </c>
      <c r="AG79" s="11" t="s">
        <v>1164</v>
      </c>
      <c r="AH79" s="11" t="s">
        <v>1201</v>
      </c>
      <c r="AI79" s="11" t="s">
        <v>1165</v>
      </c>
      <c r="AJ79" s="11" t="s">
        <v>184</v>
      </c>
      <c r="AK79" s="11" t="s">
        <v>184</v>
      </c>
      <c r="AL79" s="11" t="s">
        <v>1244</v>
      </c>
      <c r="AM79" s="11">
        <v>2</v>
      </c>
      <c r="AN79" s="11" t="s">
        <v>1245</v>
      </c>
      <c r="AO79" s="11" t="s">
        <v>207</v>
      </c>
      <c r="AP79" s="11" t="s">
        <v>1246</v>
      </c>
      <c r="AQ79" s="11" t="s">
        <v>209</v>
      </c>
      <c r="AR79" s="11" t="s">
        <v>210</v>
      </c>
      <c r="AS79" s="11" t="s">
        <v>211</v>
      </c>
      <c r="AT79" s="11" t="s">
        <v>212</v>
      </c>
      <c r="AU79" s="11" t="s">
        <v>264</v>
      </c>
      <c r="AV79" s="11" t="s">
        <v>1045</v>
      </c>
      <c r="AW79" s="11" t="s">
        <v>643</v>
      </c>
      <c r="AX79" s="11" t="s">
        <v>644</v>
      </c>
      <c r="AY79" s="11"/>
      <c r="AZ79" s="11" t="s">
        <v>218</v>
      </c>
      <c r="BA79" s="11" t="s">
        <v>1230</v>
      </c>
      <c r="BB79" s="11"/>
      <c r="BC79" s="11"/>
      <c r="BD79" s="11" t="s">
        <v>220</v>
      </c>
      <c r="BE79" s="11" t="s">
        <v>221</v>
      </c>
      <c r="BF79" s="13">
        <v>357</v>
      </c>
      <c r="BG79" s="13">
        <v>388</v>
      </c>
      <c r="BH79" s="11"/>
      <c r="BI79" s="11" t="s">
        <v>184</v>
      </c>
      <c r="BJ79" s="11" t="s">
        <v>269</v>
      </c>
      <c r="BK79" s="11" t="s">
        <v>184</v>
      </c>
      <c r="BL79" s="11"/>
      <c r="BM79" s="11"/>
      <c r="BN79" s="11"/>
      <c r="BO79" s="11"/>
      <c r="BP79" s="11"/>
      <c r="BQ79" s="11"/>
      <c r="BR79" s="11"/>
      <c r="BS79" s="11"/>
      <c r="BT79" s="11"/>
      <c r="BU79" s="11"/>
      <c r="BV79" s="11"/>
      <c r="BW79" s="11"/>
      <c r="BX79" s="11"/>
      <c r="BY79" s="11"/>
      <c r="BZ79" s="11"/>
      <c r="CA79" s="11"/>
      <c r="CB79" s="11"/>
      <c r="CC79" s="11"/>
      <c r="CD79" s="11" t="s">
        <v>1218</v>
      </c>
      <c r="CE79" s="36"/>
      <c r="CF79" s="37"/>
      <c r="CG79" s="37"/>
      <c r="CH79" s="37"/>
      <c r="CI79" s="37"/>
      <c r="CJ79" s="37"/>
      <c r="CK79" s="37"/>
      <c r="CL79" s="37"/>
      <c r="CM79" s="37"/>
      <c r="CN79" s="37"/>
      <c r="CO79" s="37"/>
      <c r="CP79" s="38"/>
      <c r="CQ79" s="38"/>
      <c r="CR79" s="38"/>
      <c r="CS79" s="38"/>
      <c r="CT79" s="38"/>
      <c r="CU79" s="38"/>
      <c r="CV79" s="38"/>
      <c r="CW79" s="38"/>
      <c r="CX79" s="38"/>
      <c r="CY79" s="38"/>
      <c r="CZ79" s="38"/>
      <c r="DA79" s="38"/>
      <c r="DB79" s="38"/>
      <c r="DC79" s="38"/>
      <c r="DD79" s="38"/>
      <c r="DE79" s="38"/>
      <c r="DF79" s="38"/>
      <c r="DG79" s="38"/>
      <c r="DH79" s="38"/>
      <c r="DI79" s="38"/>
      <c r="DJ79" s="38"/>
      <c r="DK79" s="38"/>
      <c r="DL79" s="38"/>
      <c r="DM79" s="38"/>
      <c r="DN79" s="38"/>
      <c r="DO79" s="38"/>
      <c r="DP79" s="38"/>
      <c r="DQ79" s="38"/>
      <c r="DR79" s="38"/>
      <c r="DS79" s="38"/>
      <c r="DT79" s="38"/>
      <c r="DU79" s="38"/>
      <c r="DV79" s="38"/>
      <c r="DW79" s="38"/>
      <c r="DX79" s="38"/>
      <c r="DY79" s="38"/>
      <c r="DZ79" s="38"/>
      <c r="EA79" s="38"/>
      <c r="EB79" s="38"/>
      <c r="EC79" s="38"/>
      <c r="ED79" s="38"/>
      <c r="EE79" s="38"/>
      <c r="EF79" s="38"/>
      <c r="EG79" s="38"/>
      <c r="EH79" s="38"/>
      <c r="EI79" s="38"/>
      <c r="EJ79" s="38"/>
      <c r="EK79" s="38"/>
      <c r="EL79" s="38"/>
      <c r="EM79" s="38"/>
      <c r="EN79" s="38"/>
      <c r="EO79" s="38"/>
      <c r="EP79" s="38"/>
      <c r="EQ79" s="38"/>
      <c r="ER79" s="38"/>
      <c r="ES79" s="38"/>
      <c r="ET79" s="38"/>
      <c r="EU79" s="38"/>
      <c r="EV79" s="38"/>
      <c r="EW79" s="38"/>
      <c r="EX79" s="38"/>
      <c r="EY79" s="38"/>
      <c r="EZ79" s="38"/>
      <c r="FA79" s="38"/>
      <c r="FB79" s="38"/>
      <c r="FC79" s="38"/>
      <c r="FD79" s="38"/>
      <c r="FE79" s="38"/>
      <c r="FF79" s="38"/>
      <c r="FG79" s="38"/>
      <c r="FH79" s="38"/>
      <c r="FI79" s="38"/>
      <c r="FJ79" s="38"/>
      <c r="FK79" s="38"/>
      <c r="FL79" s="38"/>
      <c r="FM79" s="38"/>
      <c r="FN79" s="38"/>
      <c r="FO79" s="38"/>
      <c r="FP79" s="38"/>
      <c r="FQ79" s="38"/>
      <c r="FR79" s="38"/>
      <c r="FS79" s="38"/>
      <c r="FT79" s="38"/>
      <c r="FU79" s="38"/>
      <c r="FV79" s="38"/>
      <c r="FW79" s="38"/>
      <c r="FX79" s="38"/>
      <c r="FY79" s="38"/>
      <c r="FZ79" s="38"/>
      <c r="GA79" s="38"/>
      <c r="GB79" s="38"/>
      <c r="GC79" s="38"/>
      <c r="GD79" s="38"/>
      <c r="GE79" s="38"/>
      <c r="GF79" s="38"/>
      <c r="GG79" s="38"/>
      <c r="GH79" s="38"/>
      <c r="GI79" s="38"/>
      <c r="GJ79" s="38"/>
      <c r="GK79" s="38"/>
      <c r="GL79" s="38"/>
      <c r="GM79" s="38"/>
      <c r="GN79" s="38"/>
      <c r="GO79" s="38"/>
      <c r="GP79" s="38"/>
      <c r="GQ79" s="38"/>
      <c r="GR79" s="38"/>
      <c r="GS79" s="38"/>
      <c r="GT79" s="38"/>
      <c r="GU79" s="38"/>
      <c r="GV79" s="38"/>
      <c r="GW79" s="38"/>
      <c r="GX79" s="38"/>
      <c r="GY79" s="38"/>
      <c r="GZ79" s="38"/>
      <c r="HA79" s="38"/>
      <c r="HB79" s="38"/>
    </row>
    <row r="80" spans="1:210" ht="75" customHeight="1">
      <c r="A80" s="11" t="s">
        <v>1247</v>
      </c>
      <c r="B80" s="11" t="s">
        <v>1154</v>
      </c>
      <c r="C80" s="11">
        <v>11998</v>
      </c>
      <c r="D80" s="11" t="s">
        <v>246</v>
      </c>
      <c r="E80" s="11" t="s">
        <v>1248</v>
      </c>
      <c r="F80" s="11" t="s">
        <v>184</v>
      </c>
      <c r="G80" s="12" t="s">
        <v>1249</v>
      </c>
      <c r="H80" s="11" t="s">
        <v>342</v>
      </c>
      <c r="I80" s="11" t="s">
        <v>187</v>
      </c>
      <c r="J80" s="11">
        <v>12826609</v>
      </c>
      <c r="K80" s="11" t="s">
        <v>1250</v>
      </c>
      <c r="L80" s="11">
        <v>2003</v>
      </c>
      <c r="M80" s="11" t="s">
        <v>189</v>
      </c>
      <c r="N80" s="11"/>
      <c r="O80" s="11"/>
      <c r="P80" s="11"/>
      <c r="Q80" s="11" t="s">
        <v>1158</v>
      </c>
      <c r="R80" s="11" t="s">
        <v>1159</v>
      </c>
      <c r="S80" s="11"/>
      <c r="T80" s="11" t="s">
        <v>1251</v>
      </c>
      <c r="U80" s="11" t="s">
        <v>449</v>
      </c>
      <c r="V80" s="11" t="s">
        <v>450</v>
      </c>
      <c r="W80" s="11" t="s">
        <v>451</v>
      </c>
      <c r="X80" s="11"/>
      <c r="Y80" s="11" t="s">
        <v>1186</v>
      </c>
      <c r="Z80" s="11" t="s">
        <v>1187</v>
      </c>
      <c r="AA80" s="11"/>
      <c r="AB80" s="11" t="s">
        <v>230</v>
      </c>
      <c r="AC80" s="11" t="s">
        <v>199</v>
      </c>
      <c r="AD80" s="11" t="s">
        <v>556</v>
      </c>
      <c r="AE80" s="11" t="s">
        <v>201</v>
      </c>
      <c r="AF80" s="11" t="s">
        <v>202</v>
      </c>
      <c r="AG80" s="11"/>
      <c r="AH80" s="11" t="s">
        <v>557</v>
      </c>
      <c r="AI80" s="11" t="s">
        <v>1252</v>
      </c>
      <c r="AJ80" s="11" t="s">
        <v>184</v>
      </c>
      <c r="AK80" s="11" t="s">
        <v>184</v>
      </c>
      <c r="AL80" s="11" t="s">
        <v>1253</v>
      </c>
      <c r="AM80" s="11">
        <v>2</v>
      </c>
      <c r="AN80" s="11" t="s">
        <v>1254</v>
      </c>
      <c r="AO80" s="11" t="s">
        <v>184</v>
      </c>
      <c r="AP80" s="11"/>
      <c r="AQ80" s="11" t="s">
        <v>209</v>
      </c>
      <c r="AR80" s="11" t="s">
        <v>210</v>
      </c>
      <c r="AS80" s="11" t="s">
        <v>211</v>
      </c>
      <c r="AT80" s="11" t="s">
        <v>212</v>
      </c>
      <c r="AU80" s="11" t="s">
        <v>302</v>
      </c>
      <c r="AV80" s="11"/>
      <c r="AW80" s="11" t="s">
        <v>355</v>
      </c>
      <c r="AX80" s="11" t="s">
        <v>348</v>
      </c>
      <c r="AY80" s="11" t="s">
        <v>1255</v>
      </c>
      <c r="AZ80" s="11"/>
      <c r="BA80" s="11"/>
      <c r="BB80" s="11"/>
      <c r="BC80" s="11"/>
      <c r="BD80" s="11" t="s">
        <v>220</v>
      </c>
      <c r="BE80" s="11" t="s">
        <v>221</v>
      </c>
      <c r="BF80" s="13">
        <v>0</v>
      </c>
      <c r="BG80" s="13">
        <v>0</v>
      </c>
      <c r="BH80" s="11" t="s">
        <v>542</v>
      </c>
      <c r="BI80" s="11" t="s">
        <v>184</v>
      </c>
      <c r="BJ80" s="11" t="s">
        <v>269</v>
      </c>
      <c r="BK80" s="11" t="s">
        <v>184</v>
      </c>
      <c r="BL80" s="11"/>
      <c r="BM80" s="11"/>
      <c r="BN80" s="11"/>
      <c r="BO80" s="11"/>
      <c r="BP80" s="11"/>
      <c r="BQ80" s="11"/>
      <c r="BR80" s="11"/>
      <c r="BS80" s="11"/>
      <c r="BT80" s="11"/>
      <c r="BU80" s="11"/>
      <c r="BV80" s="11"/>
      <c r="BW80" s="11"/>
      <c r="BX80" s="11"/>
      <c r="BY80" s="11"/>
      <c r="BZ80" s="11"/>
      <c r="CA80" s="11"/>
      <c r="CB80" s="11"/>
      <c r="CC80" s="11"/>
      <c r="CD80" s="11"/>
      <c r="CE80" s="14"/>
      <c r="CF80" s="15"/>
      <c r="CG80" s="15"/>
      <c r="CH80" s="15"/>
      <c r="CI80" s="15"/>
      <c r="CJ80" s="15"/>
      <c r="CK80" s="15"/>
      <c r="CL80" s="15"/>
      <c r="CM80" s="15"/>
      <c r="CN80" s="15"/>
      <c r="CO80" s="15"/>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row>
    <row r="81" spans="1:210" ht="127.5" customHeight="1">
      <c r="A81" s="11" t="s">
        <v>1256</v>
      </c>
      <c r="B81" s="11" t="s">
        <v>1154</v>
      </c>
      <c r="C81" s="11">
        <v>11998</v>
      </c>
      <c r="D81" s="11" t="s">
        <v>246</v>
      </c>
      <c r="E81" s="11" t="s">
        <v>1257</v>
      </c>
      <c r="F81" s="11" t="s">
        <v>184</v>
      </c>
      <c r="G81" s="12" t="s">
        <v>1258</v>
      </c>
      <c r="H81" s="11" t="s">
        <v>342</v>
      </c>
      <c r="I81" s="11" t="s">
        <v>187</v>
      </c>
      <c r="J81" s="11">
        <v>12826609</v>
      </c>
      <c r="K81" s="11" t="s">
        <v>1250</v>
      </c>
      <c r="L81" s="11">
        <v>2003</v>
      </c>
      <c r="M81" s="11" t="s">
        <v>189</v>
      </c>
      <c r="N81" s="11"/>
      <c r="O81" s="11"/>
      <c r="P81" s="11"/>
      <c r="Q81" s="11" t="s">
        <v>1158</v>
      </c>
      <c r="R81" s="11" t="s">
        <v>1159</v>
      </c>
      <c r="S81" s="11"/>
      <c r="T81" s="11" t="s">
        <v>1259</v>
      </c>
      <c r="U81" s="11" t="s">
        <v>449</v>
      </c>
      <c r="V81" s="11" t="s">
        <v>450</v>
      </c>
      <c r="W81" s="11" t="s">
        <v>451</v>
      </c>
      <c r="X81" s="11"/>
      <c r="Y81" s="11" t="s">
        <v>1186</v>
      </c>
      <c r="Z81" s="11" t="s">
        <v>1187</v>
      </c>
      <c r="AA81" s="11"/>
      <c r="AB81" s="11" t="s">
        <v>230</v>
      </c>
      <c r="AC81" s="11" t="s">
        <v>199</v>
      </c>
      <c r="AD81" s="11" t="s">
        <v>556</v>
      </c>
      <c r="AE81" s="11" t="s">
        <v>201</v>
      </c>
      <c r="AF81" s="11" t="s">
        <v>202</v>
      </c>
      <c r="AG81" s="11"/>
      <c r="AH81" s="11" t="s">
        <v>557</v>
      </c>
      <c r="AI81" s="11" t="s">
        <v>1252</v>
      </c>
      <c r="AJ81" s="11" t="s">
        <v>184</v>
      </c>
      <c r="AK81" s="11" t="s">
        <v>184</v>
      </c>
      <c r="AL81" s="11" t="s">
        <v>1260</v>
      </c>
      <c r="AM81" s="11">
        <v>2</v>
      </c>
      <c r="AN81" s="11" t="s">
        <v>1254</v>
      </c>
      <c r="AO81" s="11" t="s">
        <v>184</v>
      </c>
      <c r="AP81" s="11"/>
      <c r="AQ81" s="11" t="s">
        <v>209</v>
      </c>
      <c r="AR81" s="11" t="s">
        <v>210</v>
      </c>
      <c r="AS81" s="11" t="s">
        <v>211</v>
      </c>
      <c r="AT81" s="11" t="s">
        <v>212</v>
      </c>
      <c r="AU81" s="11" t="s">
        <v>302</v>
      </c>
      <c r="AV81" s="11"/>
      <c r="AW81" s="11" t="s">
        <v>355</v>
      </c>
      <c r="AX81" s="11" t="s">
        <v>348</v>
      </c>
      <c r="AY81" s="11" t="s">
        <v>1255</v>
      </c>
      <c r="AZ81" s="11"/>
      <c r="BA81" s="11"/>
      <c r="BB81" s="11"/>
      <c r="BC81" s="11"/>
      <c r="BD81" s="11" t="s">
        <v>220</v>
      </c>
      <c r="BE81" s="11" t="s">
        <v>221</v>
      </c>
      <c r="BF81" s="13">
        <v>0</v>
      </c>
      <c r="BG81" s="13">
        <v>0</v>
      </c>
      <c r="BH81" s="11" t="s">
        <v>542</v>
      </c>
      <c r="BI81" s="11" t="s">
        <v>184</v>
      </c>
      <c r="BJ81" s="11" t="s">
        <v>269</v>
      </c>
      <c r="BK81" s="11" t="s">
        <v>184</v>
      </c>
      <c r="BL81" s="11"/>
      <c r="BM81" s="11"/>
      <c r="BN81" s="11"/>
      <c r="BO81" s="11"/>
      <c r="BP81" s="11"/>
      <c r="BQ81" s="11"/>
      <c r="BR81" s="11"/>
      <c r="BS81" s="11"/>
      <c r="BT81" s="11"/>
      <c r="BU81" s="11"/>
      <c r="BV81" s="11"/>
      <c r="BW81" s="11"/>
      <c r="BX81" s="11"/>
      <c r="BY81" s="11"/>
      <c r="BZ81" s="11"/>
      <c r="CA81" s="11"/>
      <c r="CB81" s="11"/>
      <c r="CC81" s="11"/>
      <c r="CD81" s="11"/>
      <c r="CE81" s="14"/>
      <c r="CF81" s="15"/>
      <c r="CG81" s="15"/>
      <c r="CH81" s="15"/>
      <c r="CI81" s="15"/>
      <c r="CJ81" s="15"/>
      <c r="CK81" s="15"/>
      <c r="CL81" s="15"/>
      <c r="CM81" s="15"/>
      <c r="CN81" s="15"/>
      <c r="CO81" s="15"/>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GY81" s="11"/>
      <c r="GZ81" s="11"/>
      <c r="HA81" s="11"/>
      <c r="HB81" s="11"/>
    </row>
    <row r="82" spans="1:210" ht="75" customHeight="1">
      <c r="A82" s="11" t="s">
        <v>1261</v>
      </c>
      <c r="B82" s="11" t="s">
        <v>1154</v>
      </c>
      <c r="C82" s="11">
        <v>11998</v>
      </c>
      <c r="D82" s="11" t="s">
        <v>246</v>
      </c>
      <c r="E82" s="11" t="s">
        <v>1262</v>
      </c>
      <c r="F82" s="11" t="s">
        <v>184</v>
      </c>
      <c r="G82" s="12" t="s">
        <v>1263</v>
      </c>
      <c r="H82" s="11" t="s">
        <v>342</v>
      </c>
      <c r="I82" s="11" t="s">
        <v>187</v>
      </c>
      <c r="J82" s="11">
        <v>12826609</v>
      </c>
      <c r="K82" s="11" t="s">
        <v>1250</v>
      </c>
      <c r="L82" s="11">
        <v>2003</v>
      </c>
      <c r="M82" s="11" t="s">
        <v>189</v>
      </c>
      <c r="N82" s="11"/>
      <c r="O82" s="11"/>
      <c r="P82" s="11"/>
      <c r="Q82" s="11" t="s">
        <v>1158</v>
      </c>
      <c r="R82" s="11" t="s">
        <v>1159</v>
      </c>
      <c r="S82" s="11"/>
      <c r="T82" s="11" t="s">
        <v>1264</v>
      </c>
      <c r="U82" s="11" t="s">
        <v>449</v>
      </c>
      <c r="V82" s="11" t="s">
        <v>450</v>
      </c>
      <c r="W82" s="11" t="s">
        <v>451</v>
      </c>
      <c r="X82" s="11"/>
      <c r="Y82" s="11" t="s">
        <v>1186</v>
      </c>
      <c r="Z82" s="11" t="s">
        <v>1187</v>
      </c>
      <c r="AA82" s="11"/>
      <c r="AB82" s="11" t="s">
        <v>230</v>
      </c>
      <c r="AC82" s="11" t="s">
        <v>199</v>
      </c>
      <c r="AD82" s="11" t="s">
        <v>556</v>
      </c>
      <c r="AE82" s="11" t="s">
        <v>201</v>
      </c>
      <c r="AF82" s="11" t="s">
        <v>202</v>
      </c>
      <c r="AG82" s="11"/>
      <c r="AH82" s="11" t="s">
        <v>557</v>
      </c>
      <c r="AI82" s="11" t="s">
        <v>1252</v>
      </c>
      <c r="AJ82" s="11" t="s">
        <v>184</v>
      </c>
      <c r="AK82" s="11" t="s">
        <v>184</v>
      </c>
      <c r="AL82" s="11" t="s">
        <v>1265</v>
      </c>
      <c r="AM82" s="11">
        <v>2</v>
      </c>
      <c r="AN82" s="11" t="s">
        <v>1254</v>
      </c>
      <c r="AO82" s="11" t="s">
        <v>184</v>
      </c>
      <c r="AP82" s="11"/>
      <c r="AQ82" s="11" t="s">
        <v>209</v>
      </c>
      <c r="AR82" s="11" t="s">
        <v>210</v>
      </c>
      <c r="AS82" s="11" t="s">
        <v>211</v>
      </c>
      <c r="AT82" s="11" t="s">
        <v>212</v>
      </c>
      <c r="AU82" s="11" t="s">
        <v>302</v>
      </c>
      <c r="AV82" s="11"/>
      <c r="AW82" s="11" t="s">
        <v>355</v>
      </c>
      <c r="AX82" s="11" t="s">
        <v>348</v>
      </c>
      <c r="AY82" s="11" t="s">
        <v>1255</v>
      </c>
      <c r="AZ82" s="11"/>
      <c r="BA82" s="11"/>
      <c r="BB82" s="11"/>
      <c r="BC82" s="11"/>
      <c r="BD82" s="11" t="s">
        <v>220</v>
      </c>
      <c r="BE82" s="11" t="s">
        <v>221</v>
      </c>
      <c r="BF82" s="13">
        <v>0</v>
      </c>
      <c r="BG82" s="13">
        <v>0</v>
      </c>
      <c r="BH82" s="11" t="s">
        <v>542</v>
      </c>
      <c r="BI82" s="11" t="s">
        <v>184</v>
      </c>
      <c r="BJ82" s="11" t="s">
        <v>269</v>
      </c>
      <c r="BK82" s="11" t="s">
        <v>184</v>
      </c>
      <c r="BL82" s="11"/>
      <c r="BM82" s="11"/>
      <c r="BN82" s="11"/>
      <c r="BO82" s="11"/>
      <c r="BP82" s="11"/>
      <c r="BQ82" s="11"/>
      <c r="BR82" s="11"/>
      <c r="BS82" s="11"/>
      <c r="BT82" s="11"/>
      <c r="BU82" s="11"/>
      <c r="BV82" s="11"/>
      <c r="BW82" s="11"/>
      <c r="BX82" s="11"/>
      <c r="BY82" s="11"/>
      <c r="BZ82" s="11"/>
      <c r="CA82" s="11"/>
      <c r="CB82" s="11"/>
      <c r="CC82" s="11"/>
      <c r="CD82" s="11"/>
      <c r="CE82" s="14"/>
      <c r="CF82" s="15"/>
      <c r="CG82" s="15"/>
      <c r="CH82" s="15"/>
      <c r="CI82" s="15"/>
      <c r="CJ82" s="15"/>
      <c r="CK82" s="15"/>
      <c r="CL82" s="15"/>
      <c r="CM82" s="15"/>
      <c r="CN82" s="15"/>
      <c r="CO82" s="15"/>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row>
    <row r="83" spans="1:210" ht="75" customHeight="1">
      <c r="A83" s="11" t="s">
        <v>1266</v>
      </c>
      <c r="B83" s="11" t="s">
        <v>1154</v>
      </c>
      <c r="C83" s="11">
        <v>11998</v>
      </c>
      <c r="D83" s="11" t="s">
        <v>246</v>
      </c>
      <c r="E83" s="11" t="s">
        <v>1267</v>
      </c>
      <c r="F83" s="11" t="s">
        <v>184</v>
      </c>
      <c r="G83" s="12" t="s">
        <v>1268</v>
      </c>
      <c r="H83" s="11" t="s">
        <v>342</v>
      </c>
      <c r="I83" s="11" t="s">
        <v>187</v>
      </c>
      <c r="J83" s="11">
        <v>12826609</v>
      </c>
      <c r="K83" s="11" t="s">
        <v>1250</v>
      </c>
      <c r="L83" s="11">
        <v>2003</v>
      </c>
      <c r="M83" s="11" t="s">
        <v>189</v>
      </c>
      <c r="N83" s="11"/>
      <c r="O83" s="11"/>
      <c r="P83" s="11"/>
      <c r="Q83" s="11" t="s">
        <v>1158</v>
      </c>
      <c r="R83" s="11" t="s">
        <v>1159</v>
      </c>
      <c r="S83" s="11"/>
      <c r="T83" s="11" t="s">
        <v>1269</v>
      </c>
      <c r="U83" s="11" t="s">
        <v>449</v>
      </c>
      <c r="V83" s="11" t="s">
        <v>450</v>
      </c>
      <c r="W83" s="11" t="s">
        <v>451</v>
      </c>
      <c r="X83" s="11"/>
      <c r="Y83" s="11" t="s">
        <v>1186</v>
      </c>
      <c r="Z83" s="11" t="s">
        <v>1187</v>
      </c>
      <c r="AA83" s="11"/>
      <c r="AB83" s="11" t="s">
        <v>230</v>
      </c>
      <c r="AC83" s="11" t="s">
        <v>199</v>
      </c>
      <c r="AD83" s="11" t="s">
        <v>556</v>
      </c>
      <c r="AE83" s="11" t="s">
        <v>201</v>
      </c>
      <c r="AF83" s="11" t="s">
        <v>202</v>
      </c>
      <c r="AG83" s="11"/>
      <c r="AH83" s="11" t="s">
        <v>557</v>
      </c>
      <c r="AI83" s="11" t="s">
        <v>1252</v>
      </c>
      <c r="AJ83" s="11" t="s">
        <v>184</v>
      </c>
      <c r="AK83" s="11" t="s">
        <v>184</v>
      </c>
      <c r="AL83" s="11" t="s">
        <v>1270</v>
      </c>
      <c r="AM83" s="11">
        <v>2</v>
      </c>
      <c r="AN83" s="11" t="s">
        <v>1254</v>
      </c>
      <c r="AO83" s="11" t="s">
        <v>184</v>
      </c>
      <c r="AP83" s="11"/>
      <c r="AQ83" s="11" t="s">
        <v>209</v>
      </c>
      <c r="AR83" s="11" t="s">
        <v>210</v>
      </c>
      <c r="AS83" s="11" t="s">
        <v>211</v>
      </c>
      <c r="AT83" s="11" t="s">
        <v>212</v>
      </c>
      <c r="AU83" s="11" t="s">
        <v>302</v>
      </c>
      <c r="AV83" s="11"/>
      <c r="AW83" s="11" t="s">
        <v>355</v>
      </c>
      <c r="AX83" s="11" t="s">
        <v>348</v>
      </c>
      <c r="AY83" s="11" t="s">
        <v>1255</v>
      </c>
      <c r="AZ83" s="11"/>
      <c r="BA83" s="11"/>
      <c r="BB83" s="11"/>
      <c r="BC83" s="11"/>
      <c r="BD83" s="11" t="s">
        <v>220</v>
      </c>
      <c r="BE83" s="11" t="s">
        <v>221</v>
      </c>
      <c r="BF83" s="13">
        <v>0</v>
      </c>
      <c r="BG83" s="13">
        <v>0</v>
      </c>
      <c r="BH83" s="11" t="s">
        <v>542</v>
      </c>
      <c r="BI83" s="11" t="s">
        <v>184</v>
      </c>
      <c r="BJ83" s="11" t="s">
        <v>269</v>
      </c>
      <c r="BK83" s="11" t="s">
        <v>184</v>
      </c>
      <c r="BL83" s="11"/>
      <c r="BM83" s="11"/>
      <c r="BN83" s="11"/>
      <c r="BO83" s="11"/>
      <c r="BP83" s="11"/>
      <c r="BQ83" s="11"/>
      <c r="BR83" s="11"/>
      <c r="BS83" s="11"/>
      <c r="BT83" s="11"/>
      <c r="BU83" s="11"/>
      <c r="BV83" s="11"/>
      <c r="BW83" s="11"/>
      <c r="BX83" s="11"/>
      <c r="BY83" s="11"/>
      <c r="BZ83" s="11"/>
      <c r="CA83" s="11"/>
      <c r="CB83" s="11"/>
      <c r="CC83" s="11"/>
      <c r="CD83" s="11"/>
      <c r="CE83" s="14"/>
      <c r="CF83" s="15"/>
      <c r="CG83" s="15"/>
      <c r="CH83" s="15"/>
      <c r="CI83" s="15"/>
      <c r="CJ83" s="15"/>
      <c r="CK83" s="15"/>
      <c r="CL83" s="15"/>
      <c r="CM83" s="15"/>
      <c r="CN83" s="15"/>
      <c r="CO83" s="15"/>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row>
    <row r="84" spans="1:210" ht="172.5" customHeight="1">
      <c r="A84" s="11" t="s">
        <v>1271</v>
      </c>
      <c r="B84" s="11" t="s">
        <v>1154</v>
      </c>
      <c r="C84" s="11">
        <v>11998</v>
      </c>
      <c r="D84" s="11" t="s">
        <v>246</v>
      </c>
      <c r="E84" s="11" t="s">
        <v>1272</v>
      </c>
      <c r="F84" s="11" t="s">
        <v>184</v>
      </c>
      <c r="G84" s="12" t="s">
        <v>1273</v>
      </c>
      <c r="H84" s="11" t="s">
        <v>342</v>
      </c>
      <c r="I84" s="11" t="s">
        <v>187</v>
      </c>
      <c r="J84" s="11">
        <v>12826609</v>
      </c>
      <c r="K84" s="11" t="s">
        <v>1250</v>
      </c>
      <c r="L84" s="11">
        <v>2003</v>
      </c>
      <c r="M84" s="11" t="s">
        <v>189</v>
      </c>
      <c r="N84" s="11"/>
      <c r="O84" s="11"/>
      <c r="P84" s="11"/>
      <c r="Q84" s="11" t="s">
        <v>1158</v>
      </c>
      <c r="R84" s="11" t="s">
        <v>1159</v>
      </c>
      <c r="S84" s="11"/>
      <c r="T84" s="11" t="s">
        <v>1274</v>
      </c>
      <c r="U84" s="11" t="s">
        <v>449</v>
      </c>
      <c r="V84" s="11" t="s">
        <v>450</v>
      </c>
      <c r="W84" s="11" t="s">
        <v>451</v>
      </c>
      <c r="X84" s="11"/>
      <c r="Y84" s="11" t="s">
        <v>1186</v>
      </c>
      <c r="Z84" s="11" t="s">
        <v>1187</v>
      </c>
      <c r="AA84" s="11"/>
      <c r="AB84" s="11" t="s">
        <v>230</v>
      </c>
      <c r="AC84" s="11" t="s">
        <v>199</v>
      </c>
      <c r="AD84" s="11" t="s">
        <v>556</v>
      </c>
      <c r="AE84" s="11" t="s">
        <v>201</v>
      </c>
      <c r="AF84" s="11" t="s">
        <v>202</v>
      </c>
      <c r="AG84" s="11"/>
      <c r="AH84" s="11" t="s">
        <v>557</v>
      </c>
      <c r="AI84" s="11" t="s">
        <v>1252</v>
      </c>
      <c r="AJ84" s="11" t="s">
        <v>184</v>
      </c>
      <c r="AK84" s="11" t="s">
        <v>184</v>
      </c>
      <c r="AL84" s="11" t="s">
        <v>1275</v>
      </c>
      <c r="AM84" s="11">
        <v>2</v>
      </c>
      <c r="AN84" s="11" t="s">
        <v>1254</v>
      </c>
      <c r="AO84" s="11" t="s">
        <v>184</v>
      </c>
      <c r="AP84" s="11"/>
      <c r="AQ84" s="11" t="s">
        <v>209</v>
      </c>
      <c r="AR84" s="11" t="s">
        <v>210</v>
      </c>
      <c r="AS84" s="11" t="s">
        <v>211</v>
      </c>
      <c r="AT84" s="11" t="s">
        <v>212</v>
      </c>
      <c r="AU84" s="11" t="s">
        <v>302</v>
      </c>
      <c r="AV84" s="11"/>
      <c r="AW84" s="11" t="s">
        <v>355</v>
      </c>
      <c r="AX84" s="11" t="s">
        <v>348</v>
      </c>
      <c r="AY84" s="11" t="s">
        <v>1255</v>
      </c>
      <c r="AZ84" s="11"/>
      <c r="BA84" s="11"/>
      <c r="BB84" s="11"/>
      <c r="BC84" s="11"/>
      <c r="BD84" s="11" t="s">
        <v>220</v>
      </c>
      <c r="BE84" s="11" t="s">
        <v>221</v>
      </c>
      <c r="BF84" s="13">
        <v>0</v>
      </c>
      <c r="BG84" s="13">
        <v>0</v>
      </c>
      <c r="BH84" s="11" t="s">
        <v>542</v>
      </c>
      <c r="BI84" s="11" t="s">
        <v>184</v>
      </c>
      <c r="BJ84" s="11" t="s">
        <v>269</v>
      </c>
      <c r="BK84" s="11" t="s">
        <v>184</v>
      </c>
      <c r="BL84" s="11"/>
      <c r="BM84" s="11"/>
      <c r="BN84" s="11"/>
      <c r="BO84" s="11"/>
      <c r="BP84" s="11"/>
      <c r="BQ84" s="11"/>
      <c r="BR84" s="11"/>
      <c r="BS84" s="11"/>
      <c r="BT84" s="11"/>
      <c r="BU84" s="11"/>
      <c r="BV84" s="11"/>
      <c r="BW84" s="11"/>
      <c r="BX84" s="11"/>
      <c r="BY84" s="11"/>
      <c r="BZ84" s="11"/>
      <c r="CA84" s="11"/>
      <c r="CB84" s="11"/>
      <c r="CC84" s="11"/>
      <c r="CD84" s="11"/>
      <c r="CE84" s="14"/>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15"/>
      <c r="DG84" s="15"/>
      <c r="DH84" s="15"/>
      <c r="DI84" s="15"/>
      <c r="DJ84" s="15"/>
      <c r="DK84" s="15"/>
      <c r="DL84" s="15"/>
      <c r="DM84" s="15"/>
      <c r="DN84" s="15"/>
      <c r="DO84" s="15"/>
      <c r="DP84" s="15"/>
      <c r="DQ84" s="15"/>
      <c r="DR84" s="15"/>
      <c r="DS84" s="15"/>
      <c r="DT84" s="15"/>
      <c r="DU84" s="15"/>
      <c r="DV84" s="15"/>
      <c r="DW84" s="15"/>
      <c r="DX84" s="15"/>
      <c r="DY84" s="15"/>
      <c r="DZ84" s="15"/>
      <c r="EA84" s="15"/>
      <c r="EB84" s="15"/>
      <c r="EC84" s="15"/>
      <c r="ED84" s="15"/>
      <c r="EE84" s="15"/>
      <c r="EF84" s="15"/>
      <c r="EG84" s="15"/>
      <c r="EH84" s="15"/>
      <c r="EI84" s="15"/>
      <c r="EJ84" s="15"/>
      <c r="EK84" s="15"/>
      <c r="EL84" s="15"/>
      <c r="EM84" s="15"/>
      <c r="EN84" s="15"/>
      <c r="EO84" s="15"/>
      <c r="EP84" s="15"/>
      <c r="EQ84" s="15"/>
      <c r="ER84" s="15"/>
      <c r="ES84" s="15"/>
      <c r="ET84" s="15"/>
      <c r="EU84" s="15"/>
      <c r="EV84" s="15"/>
      <c r="EW84" s="15"/>
      <c r="EX84" s="15"/>
      <c r="EY84" s="15"/>
      <c r="EZ84" s="15"/>
      <c r="FA84" s="15"/>
      <c r="FB84" s="15"/>
      <c r="FC84" s="15"/>
      <c r="FD84" s="15"/>
      <c r="FE84" s="15"/>
      <c r="FF84" s="15"/>
      <c r="FG84" s="15"/>
      <c r="FH84" s="15"/>
      <c r="FI84" s="15"/>
      <c r="FJ84" s="15"/>
      <c r="FK84" s="15"/>
      <c r="FL84" s="15"/>
      <c r="FM84" s="15"/>
      <c r="FN84" s="15"/>
      <c r="FO84" s="15"/>
      <c r="FP84" s="15"/>
      <c r="FQ84" s="15"/>
      <c r="FR84" s="15"/>
      <c r="FS84" s="15"/>
      <c r="FT84" s="15"/>
      <c r="FU84" s="15"/>
      <c r="FV84" s="15"/>
      <c r="FW84" s="15"/>
      <c r="FX84" s="15"/>
      <c r="FY84" s="15"/>
      <c r="FZ84" s="15"/>
      <c r="GA84" s="15"/>
      <c r="GB84" s="15"/>
      <c r="GC84" s="15"/>
      <c r="GD84" s="15"/>
      <c r="GE84" s="15"/>
      <c r="GF84" s="15"/>
      <c r="GG84" s="15"/>
      <c r="GH84" s="15"/>
      <c r="GI84" s="15"/>
      <c r="GJ84" s="15"/>
      <c r="GK84" s="15"/>
      <c r="GL84" s="15"/>
      <c r="GM84" s="15"/>
      <c r="GN84" s="15"/>
      <c r="GO84" s="15"/>
      <c r="GP84" s="15"/>
      <c r="GQ84" s="15"/>
      <c r="GR84" s="15"/>
      <c r="GS84" s="15"/>
      <c r="GT84" s="15"/>
      <c r="GU84" s="15"/>
      <c r="GV84" s="15"/>
      <c r="GW84" s="15"/>
      <c r="GX84" s="15"/>
      <c r="GY84" s="15"/>
      <c r="GZ84" s="15"/>
      <c r="HA84" s="15"/>
      <c r="HB84" s="15"/>
    </row>
    <row r="85" spans="1:210" ht="156.75" customHeight="1">
      <c r="A85" s="11" t="s">
        <v>1276</v>
      </c>
      <c r="B85" s="11" t="s">
        <v>1154</v>
      </c>
      <c r="C85" s="11">
        <v>11998</v>
      </c>
      <c r="D85" s="11" t="s">
        <v>246</v>
      </c>
      <c r="E85" s="11" t="s">
        <v>1277</v>
      </c>
      <c r="F85" s="11" t="s">
        <v>184</v>
      </c>
      <c r="G85" s="12" t="s">
        <v>1278</v>
      </c>
      <c r="H85" s="11" t="s">
        <v>342</v>
      </c>
      <c r="I85" s="11" t="s">
        <v>187</v>
      </c>
      <c r="J85" s="11">
        <v>12826609</v>
      </c>
      <c r="K85" s="11" t="s">
        <v>1250</v>
      </c>
      <c r="L85" s="11">
        <v>2003</v>
      </c>
      <c r="M85" s="11" t="s">
        <v>189</v>
      </c>
      <c r="N85" s="11"/>
      <c r="O85" s="11"/>
      <c r="P85" s="11"/>
      <c r="Q85" s="11" t="s">
        <v>1158</v>
      </c>
      <c r="R85" s="11" t="s">
        <v>1159</v>
      </c>
      <c r="S85" s="11"/>
      <c r="T85" s="11" t="s">
        <v>1279</v>
      </c>
      <c r="U85" s="11" t="s">
        <v>449</v>
      </c>
      <c r="V85" s="11" t="s">
        <v>450</v>
      </c>
      <c r="W85" s="11" t="s">
        <v>451</v>
      </c>
      <c r="X85" s="11"/>
      <c r="Y85" s="11" t="s">
        <v>1186</v>
      </c>
      <c r="Z85" s="11" t="s">
        <v>1187</v>
      </c>
      <c r="AA85" s="11"/>
      <c r="AB85" s="11" t="s">
        <v>230</v>
      </c>
      <c r="AC85" s="11" t="s">
        <v>199</v>
      </c>
      <c r="AD85" s="11" t="s">
        <v>556</v>
      </c>
      <c r="AE85" s="11" t="s">
        <v>201</v>
      </c>
      <c r="AF85" s="11" t="s">
        <v>202</v>
      </c>
      <c r="AG85" s="11"/>
      <c r="AH85" s="11" t="s">
        <v>557</v>
      </c>
      <c r="AI85" s="11" t="s">
        <v>1252</v>
      </c>
      <c r="AJ85" s="11" t="s">
        <v>184</v>
      </c>
      <c r="AK85" s="11" t="s">
        <v>184</v>
      </c>
      <c r="AL85" s="11" t="s">
        <v>1280</v>
      </c>
      <c r="AM85" s="11">
        <v>2</v>
      </c>
      <c r="AN85" s="11" t="s">
        <v>1254</v>
      </c>
      <c r="AO85" s="11" t="s">
        <v>184</v>
      </c>
      <c r="AP85" s="11"/>
      <c r="AQ85" s="11" t="s">
        <v>209</v>
      </c>
      <c r="AR85" s="11" t="s">
        <v>210</v>
      </c>
      <c r="AS85" s="11" t="s">
        <v>211</v>
      </c>
      <c r="AT85" s="11" t="s">
        <v>212</v>
      </c>
      <c r="AU85" s="11" t="s">
        <v>302</v>
      </c>
      <c r="AV85" s="11"/>
      <c r="AW85" s="11" t="s">
        <v>355</v>
      </c>
      <c r="AX85" s="11" t="s">
        <v>348</v>
      </c>
      <c r="AY85" s="11" t="s">
        <v>1255</v>
      </c>
      <c r="AZ85" s="11"/>
      <c r="BA85" s="11"/>
      <c r="BB85" s="11"/>
      <c r="BC85" s="11"/>
      <c r="BD85" s="11" t="s">
        <v>220</v>
      </c>
      <c r="BE85" s="11" t="s">
        <v>221</v>
      </c>
      <c r="BF85" s="13">
        <v>0</v>
      </c>
      <c r="BG85" s="13">
        <v>0</v>
      </c>
      <c r="BH85" s="11" t="s">
        <v>542</v>
      </c>
      <c r="BI85" s="11" t="s">
        <v>184</v>
      </c>
      <c r="BJ85" s="11" t="s">
        <v>269</v>
      </c>
      <c r="BK85" s="11" t="s">
        <v>184</v>
      </c>
      <c r="BL85" s="11"/>
      <c r="BM85" s="11"/>
      <c r="BN85" s="11"/>
      <c r="BO85" s="11"/>
      <c r="BP85" s="11"/>
      <c r="BQ85" s="11"/>
      <c r="BR85" s="11"/>
      <c r="BS85" s="11"/>
      <c r="BT85" s="11"/>
      <c r="BU85" s="11"/>
      <c r="BV85" s="11"/>
      <c r="BW85" s="11"/>
      <c r="BX85" s="11"/>
      <c r="BY85" s="11"/>
      <c r="BZ85" s="11"/>
      <c r="CA85" s="11"/>
      <c r="CB85" s="11"/>
      <c r="CC85" s="11"/>
      <c r="CD85" s="11"/>
      <c r="CE85" s="14"/>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15"/>
      <c r="FG85" s="15"/>
      <c r="FH85" s="15"/>
      <c r="FI85" s="15"/>
      <c r="FJ85" s="15"/>
      <c r="FK85" s="15"/>
      <c r="FL85" s="15"/>
      <c r="FM85" s="15"/>
      <c r="FN85" s="15"/>
      <c r="FO85" s="15"/>
      <c r="FP85" s="15"/>
      <c r="FQ85" s="15"/>
      <c r="FR85" s="15"/>
      <c r="FS85" s="15"/>
      <c r="FT85" s="15"/>
      <c r="FU85" s="15"/>
      <c r="FV85" s="15"/>
      <c r="FW85" s="15"/>
      <c r="FX85" s="15"/>
      <c r="FY85" s="15"/>
      <c r="FZ85" s="15"/>
      <c r="GA85" s="15"/>
      <c r="GB85" s="15"/>
      <c r="GC85" s="15"/>
      <c r="GD85" s="15"/>
      <c r="GE85" s="15"/>
      <c r="GF85" s="15"/>
      <c r="GG85" s="15"/>
      <c r="GH85" s="15"/>
      <c r="GI85" s="15"/>
      <c r="GJ85" s="15"/>
      <c r="GK85" s="15"/>
      <c r="GL85" s="15"/>
      <c r="GM85" s="15"/>
      <c r="GN85" s="15"/>
      <c r="GO85" s="15"/>
      <c r="GP85" s="15"/>
      <c r="GQ85" s="15"/>
      <c r="GR85" s="15"/>
      <c r="GS85" s="15"/>
      <c r="GT85" s="15"/>
      <c r="GU85" s="15"/>
      <c r="GV85" s="15"/>
      <c r="GW85" s="15"/>
      <c r="GX85" s="15"/>
      <c r="GY85" s="15"/>
      <c r="GZ85" s="15"/>
      <c r="HA85" s="15"/>
      <c r="HB85" s="15"/>
    </row>
    <row r="86" spans="1:210" ht="156.75" customHeight="1">
      <c r="A86" s="11" t="s">
        <v>1281</v>
      </c>
      <c r="B86" s="11" t="s">
        <v>1154</v>
      </c>
      <c r="C86" s="11">
        <v>11998</v>
      </c>
      <c r="D86" s="11" t="s">
        <v>246</v>
      </c>
      <c r="E86" s="11" t="s">
        <v>1282</v>
      </c>
      <c r="F86" s="11" t="s">
        <v>184</v>
      </c>
      <c r="G86" s="12" t="s">
        <v>1283</v>
      </c>
      <c r="H86" s="11" t="s">
        <v>342</v>
      </c>
      <c r="I86" s="11" t="s">
        <v>187</v>
      </c>
      <c r="J86" s="11">
        <v>12826609</v>
      </c>
      <c r="K86" s="11" t="s">
        <v>1250</v>
      </c>
      <c r="L86" s="11">
        <v>2003</v>
      </c>
      <c r="M86" s="11" t="s">
        <v>189</v>
      </c>
      <c r="N86" s="11"/>
      <c r="O86" s="11"/>
      <c r="P86" s="11"/>
      <c r="Q86" s="11" t="s">
        <v>1158</v>
      </c>
      <c r="R86" s="11" t="s">
        <v>1159</v>
      </c>
      <c r="S86" s="11"/>
      <c r="T86" s="11" t="s">
        <v>1284</v>
      </c>
      <c r="U86" s="11" t="s">
        <v>449</v>
      </c>
      <c r="V86" s="11" t="s">
        <v>450</v>
      </c>
      <c r="W86" s="11" t="s">
        <v>451</v>
      </c>
      <c r="X86" s="11"/>
      <c r="Y86" s="11" t="s">
        <v>1186</v>
      </c>
      <c r="Z86" s="11" t="s">
        <v>1187</v>
      </c>
      <c r="AA86" s="11"/>
      <c r="AB86" s="11" t="s">
        <v>230</v>
      </c>
      <c r="AC86" s="11" t="s">
        <v>199</v>
      </c>
      <c r="AD86" s="11" t="s">
        <v>556</v>
      </c>
      <c r="AE86" s="11" t="s">
        <v>201</v>
      </c>
      <c r="AF86" s="11" t="s">
        <v>202</v>
      </c>
      <c r="AG86" s="11"/>
      <c r="AH86" s="11" t="s">
        <v>557</v>
      </c>
      <c r="AI86" s="11" t="s">
        <v>1252</v>
      </c>
      <c r="AJ86" s="11" t="s">
        <v>184</v>
      </c>
      <c r="AK86" s="11" t="s">
        <v>184</v>
      </c>
      <c r="AL86" s="11" t="s">
        <v>1285</v>
      </c>
      <c r="AM86" s="11">
        <v>2</v>
      </c>
      <c r="AN86" s="11" t="s">
        <v>1254</v>
      </c>
      <c r="AO86" s="11" t="s">
        <v>184</v>
      </c>
      <c r="AP86" s="11"/>
      <c r="AQ86" s="11" t="s">
        <v>209</v>
      </c>
      <c r="AR86" s="11" t="s">
        <v>210</v>
      </c>
      <c r="AS86" s="11" t="s">
        <v>211</v>
      </c>
      <c r="AT86" s="11" t="s">
        <v>212</v>
      </c>
      <c r="AU86" s="11" t="s">
        <v>302</v>
      </c>
      <c r="AV86" s="11"/>
      <c r="AW86" s="11" t="s">
        <v>355</v>
      </c>
      <c r="AX86" s="11" t="s">
        <v>348</v>
      </c>
      <c r="AY86" s="11" t="s">
        <v>1255</v>
      </c>
      <c r="AZ86" s="11"/>
      <c r="BA86" s="11"/>
      <c r="BB86" s="11"/>
      <c r="BC86" s="11"/>
      <c r="BD86" s="11" t="s">
        <v>220</v>
      </c>
      <c r="BE86" s="11" t="s">
        <v>221</v>
      </c>
      <c r="BF86" s="13">
        <v>0</v>
      </c>
      <c r="BG86" s="13">
        <v>0</v>
      </c>
      <c r="BH86" s="11" t="s">
        <v>542</v>
      </c>
      <c r="BI86" s="11" t="s">
        <v>184</v>
      </c>
      <c r="BJ86" s="11" t="s">
        <v>269</v>
      </c>
      <c r="BK86" s="11" t="s">
        <v>184</v>
      </c>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row>
    <row r="87" spans="1:210" ht="168" customHeight="1">
      <c r="A87" s="11" t="s">
        <v>1286</v>
      </c>
      <c r="B87" s="11" t="s">
        <v>1154</v>
      </c>
      <c r="C87" s="11">
        <v>11998</v>
      </c>
      <c r="D87" s="11" t="s">
        <v>246</v>
      </c>
      <c r="E87" s="11" t="s">
        <v>1287</v>
      </c>
      <c r="F87" s="11" t="s">
        <v>184</v>
      </c>
      <c r="G87" s="12" t="s">
        <v>1288</v>
      </c>
      <c r="H87" s="11" t="s">
        <v>342</v>
      </c>
      <c r="I87" s="11" t="s">
        <v>187</v>
      </c>
      <c r="J87" s="11">
        <v>12826609</v>
      </c>
      <c r="K87" s="11" t="s">
        <v>1250</v>
      </c>
      <c r="L87" s="11">
        <v>2003</v>
      </c>
      <c r="M87" s="11" t="s">
        <v>189</v>
      </c>
      <c r="N87" s="11"/>
      <c r="O87" s="11"/>
      <c r="P87" s="11"/>
      <c r="Q87" s="11" t="s">
        <v>1158</v>
      </c>
      <c r="R87" s="11" t="s">
        <v>1159</v>
      </c>
      <c r="S87" s="11"/>
      <c r="T87" s="11" t="s">
        <v>1289</v>
      </c>
      <c r="U87" s="11" t="s">
        <v>449</v>
      </c>
      <c r="V87" s="11" t="s">
        <v>450</v>
      </c>
      <c r="W87" s="11" t="s">
        <v>451</v>
      </c>
      <c r="X87" s="11"/>
      <c r="Y87" s="11" t="s">
        <v>1186</v>
      </c>
      <c r="Z87" s="11" t="s">
        <v>1187</v>
      </c>
      <c r="AA87" s="11"/>
      <c r="AB87" s="11" t="s">
        <v>230</v>
      </c>
      <c r="AC87" s="11" t="s">
        <v>199</v>
      </c>
      <c r="AD87" s="11" t="s">
        <v>556</v>
      </c>
      <c r="AE87" s="11" t="s">
        <v>201</v>
      </c>
      <c r="AF87" s="11" t="s">
        <v>202</v>
      </c>
      <c r="AG87" s="11"/>
      <c r="AH87" s="11" t="s">
        <v>557</v>
      </c>
      <c r="AI87" s="11" t="s">
        <v>1252</v>
      </c>
      <c r="AJ87" s="11" t="s">
        <v>184</v>
      </c>
      <c r="AK87" s="11" t="s">
        <v>184</v>
      </c>
      <c r="AL87" s="11" t="s">
        <v>1290</v>
      </c>
      <c r="AM87" s="11">
        <v>2</v>
      </c>
      <c r="AN87" s="11" t="s">
        <v>1254</v>
      </c>
      <c r="AO87" s="11" t="s">
        <v>184</v>
      </c>
      <c r="AP87" s="11"/>
      <c r="AQ87" s="11" t="s">
        <v>209</v>
      </c>
      <c r="AR87" s="11" t="s">
        <v>210</v>
      </c>
      <c r="AS87" s="11" t="s">
        <v>211</v>
      </c>
      <c r="AT87" s="11" t="s">
        <v>212</v>
      </c>
      <c r="AU87" s="11" t="s">
        <v>302</v>
      </c>
      <c r="AV87" s="11"/>
      <c r="AW87" s="11" t="s">
        <v>355</v>
      </c>
      <c r="AX87" s="11" t="s">
        <v>348</v>
      </c>
      <c r="AY87" s="11" t="s">
        <v>1255</v>
      </c>
      <c r="AZ87" s="11"/>
      <c r="BA87" s="11"/>
      <c r="BB87" s="11"/>
      <c r="BC87" s="11"/>
      <c r="BD87" s="11" t="s">
        <v>220</v>
      </c>
      <c r="BE87" s="11" t="s">
        <v>221</v>
      </c>
      <c r="BF87" s="13">
        <v>0</v>
      </c>
      <c r="BG87" s="13">
        <v>0</v>
      </c>
      <c r="BH87" s="11" t="s">
        <v>542</v>
      </c>
      <c r="BI87" s="11" t="s">
        <v>184</v>
      </c>
      <c r="BJ87" s="11" t="s">
        <v>269</v>
      </c>
      <c r="BK87" s="11" t="s">
        <v>184</v>
      </c>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row>
    <row r="88" spans="1:210" ht="59.25" customHeight="1">
      <c r="A88" s="11" t="s">
        <v>1291</v>
      </c>
      <c r="B88" s="11" t="s">
        <v>1292</v>
      </c>
      <c r="C88" s="11">
        <v>17358</v>
      </c>
      <c r="D88" s="11" t="s">
        <v>182</v>
      </c>
      <c r="E88" s="11" t="s">
        <v>1293</v>
      </c>
      <c r="F88" s="11" t="s">
        <v>184</v>
      </c>
      <c r="G88" s="12" t="s">
        <v>1294</v>
      </c>
      <c r="H88" s="11" t="s">
        <v>186</v>
      </c>
      <c r="I88" s="11" t="s">
        <v>187</v>
      </c>
      <c r="J88" s="11">
        <v>29269382</v>
      </c>
      <c r="K88" s="11" t="s">
        <v>445</v>
      </c>
      <c r="L88" s="11">
        <v>2017</v>
      </c>
      <c r="M88" s="11" t="s">
        <v>189</v>
      </c>
      <c r="N88" s="11"/>
      <c r="O88" s="11"/>
      <c r="P88" s="11"/>
      <c r="Q88" s="11" t="s">
        <v>1295</v>
      </c>
      <c r="R88" s="11" t="s">
        <v>1296</v>
      </c>
      <c r="S88" s="11"/>
      <c r="T88" s="11" t="s">
        <v>1297</v>
      </c>
      <c r="U88" s="11" t="s">
        <v>449</v>
      </c>
      <c r="V88" s="11" t="s">
        <v>450</v>
      </c>
      <c r="W88" s="11" t="s">
        <v>451</v>
      </c>
      <c r="X88" s="11"/>
      <c r="Y88" s="11" t="s">
        <v>310</v>
      </c>
      <c r="Z88" s="11" t="s">
        <v>1298</v>
      </c>
      <c r="AA88" s="11" t="s">
        <v>1299</v>
      </c>
      <c r="AB88" s="11" t="s">
        <v>230</v>
      </c>
      <c r="AC88" s="11" t="s">
        <v>231</v>
      </c>
      <c r="AD88" s="11" t="s">
        <v>454</v>
      </c>
      <c r="AE88" s="11" t="s">
        <v>233</v>
      </c>
      <c r="AF88" s="11" t="s">
        <v>455</v>
      </c>
      <c r="AG88" s="11"/>
      <c r="AH88" s="11" t="s">
        <v>1300</v>
      </c>
      <c r="AI88" s="11" t="s">
        <v>204</v>
      </c>
      <c r="AJ88" s="11" t="s">
        <v>184</v>
      </c>
      <c r="AK88" s="11" t="s">
        <v>184</v>
      </c>
      <c r="AL88" s="11" t="s">
        <v>457</v>
      </c>
      <c r="AM88" s="11">
        <v>2</v>
      </c>
      <c r="AN88" s="11" t="s">
        <v>458</v>
      </c>
      <c r="AO88" s="11" t="s">
        <v>184</v>
      </c>
      <c r="AP88" s="11"/>
      <c r="AQ88" s="11" t="s">
        <v>209</v>
      </c>
      <c r="AR88" s="11" t="s">
        <v>210</v>
      </c>
      <c r="AS88" s="11" t="s">
        <v>211</v>
      </c>
      <c r="AT88" s="11" t="s">
        <v>212</v>
      </c>
      <c r="AU88" s="11" t="s">
        <v>302</v>
      </c>
      <c r="AV88" s="11" t="s">
        <v>459</v>
      </c>
      <c r="AW88" s="11" t="s">
        <v>355</v>
      </c>
      <c r="AX88" s="11" t="s">
        <v>216</v>
      </c>
      <c r="AY88" s="11"/>
      <c r="AZ88" s="11" t="s">
        <v>218</v>
      </c>
      <c r="BA88" s="11" t="s">
        <v>265</v>
      </c>
      <c r="BB88" s="11"/>
      <c r="BC88" s="11"/>
      <c r="BD88" s="11" t="s">
        <v>220</v>
      </c>
      <c r="BE88" s="11" t="s">
        <v>221</v>
      </c>
      <c r="BF88" s="13">
        <v>219</v>
      </c>
      <c r="BG88" s="13">
        <v>212</v>
      </c>
      <c r="BH88" s="11" t="s">
        <v>832</v>
      </c>
      <c r="BI88" s="11" t="s">
        <v>184</v>
      </c>
      <c r="BJ88" s="11" t="s">
        <v>269</v>
      </c>
      <c r="BK88" s="11" t="s">
        <v>184</v>
      </c>
      <c r="BL88" s="11"/>
      <c r="BM88" s="11"/>
      <c r="BN88" s="11"/>
      <c r="BO88" s="11"/>
      <c r="BP88" s="11"/>
      <c r="BQ88" s="11"/>
      <c r="BR88" s="11"/>
      <c r="BS88" s="11"/>
      <c r="BT88" s="11"/>
      <c r="BU88" s="11"/>
      <c r="BV88" s="11"/>
      <c r="BW88" s="11"/>
      <c r="BX88" s="11"/>
      <c r="BY88" s="11"/>
      <c r="BZ88" s="11"/>
      <c r="CA88" s="11"/>
      <c r="CB88" s="11"/>
      <c r="CC88" s="11"/>
      <c r="CD88" s="11"/>
      <c r="CE88" s="14"/>
      <c r="CF88" s="15"/>
      <c r="CG88" s="15"/>
      <c r="CH88" s="15"/>
      <c r="CI88" s="15"/>
      <c r="CJ88" s="15"/>
      <c r="CK88" s="15"/>
      <c r="CL88" s="15"/>
      <c r="CM88" s="15"/>
      <c r="CN88" s="15"/>
      <c r="CO88" s="15"/>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row>
    <row r="89" spans="1:210" ht="40.5" customHeight="1">
      <c r="A89" s="11" t="s">
        <v>1301</v>
      </c>
      <c r="B89" s="11" t="s">
        <v>1302</v>
      </c>
      <c r="C89" s="11">
        <v>12363</v>
      </c>
      <c r="D89" s="11" t="s">
        <v>246</v>
      </c>
      <c r="E89" s="11" t="s">
        <v>1303</v>
      </c>
      <c r="F89" s="11" t="s">
        <v>207</v>
      </c>
      <c r="G89" s="12" t="s">
        <v>1333</v>
      </c>
      <c r="H89" s="11" t="s">
        <v>186</v>
      </c>
      <c r="I89" s="11" t="s">
        <v>187</v>
      </c>
      <c r="J89" s="11">
        <v>41648336</v>
      </c>
      <c r="K89" s="11" t="s">
        <v>1304</v>
      </c>
      <c r="L89" s="11">
        <v>2026</v>
      </c>
      <c r="M89" s="11" t="s">
        <v>189</v>
      </c>
      <c r="N89" s="11"/>
      <c r="O89" s="11"/>
      <c r="P89" s="11" t="s">
        <v>1305</v>
      </c>
      <c r="Q89" s="11" t="s">
        <v>1306</v>
      </c>
      <c r="R89" s="11" t="s">
        <v>1307</v>
      </c>
      <c r="S89" s="11"/>
      <c r="T89" s="11" t="s">
        <v>1308</v>
      </c>
      <c r="U89" s="11" t="s">
        <v>193</v>
      </c>
      <c r="V89" s="11" t="s">
        <v>194</v>
      </c>
      <c r="W89" s="11" t="s">
        <v>195</v>
      </c>
      <c r="X89" s="11" t="s">
        <v>196</v>
      </c>
      <c r="Y89" s="11"/>
      <c r="Z89" s="11"/>
      <c r="AA89" s="11" t="s">
        <v>661</v>
      </c>
      <c r="AB89" s="11" t="s">
        <v>198</v>
      </c>
      <c r="AC89" s="11" t="s">
        <v>199</v>
      </c>
      <c r="AD89" s="11" t="s">
        <v>200</v>
      </c>
      <c r="AE89" s="11" t="s">
        <v>201</v>
      </c>
      <c r="AF89" s="11" t="s">
        <v>202</v>
      </c>
      <c r="AG89" s="11"/>
      <c r="AH89" s="11" t="s">
        <v>203</v>
      </c>
      <c r="AI89" s="11" t="s">
        <v>204</v>
      </c>
      <c r="AJ89" s="11" t="s">
        <v>184</v>
      </c>
      <c r="AK89" s="11" t="s">
        <v>184</v>
      </c>
      <c r="AL89" s="11" t="s">
        <v>1309</v>
      </c>
      <c r="AM89" s="11" t="s">
        <v>1310</v>
      </c>
      <c r="AN89" s="11" t="s">
        <v>1311</v>
      </c>
      <c r="AO89" s="11" t="s">
        <v>1312</v>
      </c>
      <c r="AP89" s="11"/>
      <c r="AQ89" s="11" t="s">
        <v>209</v>
      </c>
      <c r="AR89" s="11" t="s">
        <v>210</v>
      </c>
      <c r="AS89" s="11" t="s">
        <v>415</v>
      </c>
      <c r="AT89" s="11" t="s">
        <v>212</v>
      </c>
      <c r="AU89" s="11" t="s">
        <v>213</v>
      </c>
      <c r="AV89" s="12" t="s">
        <v>1313</v>
      </c>
      <c r="AW89" s="11" t="s">
        <v>215</v>
      </c>
      <c r="AX89" s="11" t="s">
        <v>216</v>
      </c>
      <c r="AY89" s="12" t="s">
        <v>667</v>
      </c>
      <c r="AZ89" s="11" t="s">
        <v>218</v>
      </c>
      <c r="BA89" s="11" t="s">
        <v>265</v>
      </c>
      <c r="BB89" s="11"/>
      <c r="BC89" s="11"/>
      <c r="BD89" s="11" t="s">
        <v>220</v>
      </c>
      <c r="BE89" s="11"/>
      <c r="BF89" s="13">
        <v>347</v>
      </c>
      <c r="BG89" s="13">
        <v>0</v>
      </c>
      <c r="BH89" s="11" t="s">
        <v>542</v>
      </c>
      <c r="BI89" s="11" t="s">
        <v>207</v>
      </c>
      <c r="BJ89" s="11" t="s">
        <v>269</v>
      </c>
      <c r="BK89" s="11" t="s">
        <v>184</v>
      </c>
      <c r="BL89" s="11"/>
      <c r="BM89" s="11"/>
      <c r="BN89" s="11"/>
      <c r="BO89" s="11"/>
      <c r="BP89" s="11"/>
      <c r="BQ89" s="11"/>
      <c r="BR89" s="11"/>
      <c r="BS89" s="11"/>
      <c r="BT89" s="11"/>
      <c r="BU89" s="11"/>
      <c r="BV89" s="11"/>
      <c r="BW89" s="11"/>
      <c r="BX89" s="11"/>
      <c r="BY89" s="11"/>
      <c r="BZ89" s="11"/>
      <c r="CA89" s="11"/>
      <c r="CB89" s="11"/>
      <c r="CC89" s="11"/>
      <c r="CD89" s="11"/>
      <c r="CE89" s="14"/>
      <c r="CF89" s="15"/>
      <c r="CG89" s="15"/>
      <c r="CH89" s="15"/>
      <c r="CI89" s="15"/>
      <c r="CJ89" s="15"/>
      <c r="CK89" s="15"/>
      <c r="CL89" s="15"/>
      <c r="CM89" s="15"/>
      <c r="CN89" s="15"/>
      <c r="CO89" s="15"/>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row>
    <row r="90" spans="1:210" ht="54.75" customHeight="1">
      <c r="A90" s="11" t="s">
        <v>1314</v>
      </c>
      <c r="B90" s="11" t="s">
        <v>1315</v>
      </c>
      <c r="C90" s="11">
        <v>12687</v>
      </c>
      <c r="D90" s="11" t="s">
        <v>246</v>
      </c>
      <c r="E90" s="11" t="s">
        <v>1316</v>
      </c>
      <c r="F90" s="11" t="s">
        <v>184</v>
      </c>
      <c r="G90" s="12" t="s">
        <v>1317</v>
      </c>
      <c r="H90" s="11" t="s">
        <v>186</v>
      </c>
      <c r="I90" s="11" t="s">
        <v>187</v>
      </c>
      <c r="J90" s="11">
        <v>38969834</v>
      </c>
      <c r="K90" s="11" t="s">
        <v>1318</v>
      </c>
      <c r="L90" s="11">
        <v>2024</v>
      </c>
      <c r="M90" s="11" t="s">
        <v>189</v>
      </c>
      <c r="N90" s="11"/>
      <c r="O90" s="11"/>
      <c r="P90" s="11" t="s">
        <v>1319</v>
      </c>
      <c r="Q90" s="11" t="s">
        <v>1319</v>
      </c>
      <c r="R90" s="11" t="s">
        <v>1320</v>
      </c>
      <c r="S90" s="11"/>
      <c r="T90" s="11" t="s">
        <v>1321</v>
      </c>
      <c r="U90" s="11" t="s">
        <v>193</v>
      </c>
      <c r="V90" s="11" t="s">
        <v>194</v>
      </c>
      <c r="W90" s="11" t="s">
        <v>195</v>
      </c>
      <c r="X90" s="11" t="s">
        <v>253</v>
      </c>
      <c r="Y90" s="11"/>
      <c r="Z90" s="11"/>
      <c r="AA90" s="11" t="s">
        <v>328</v>
      </c>
      <c r="AB90" s="11" t="s">
        <v>255</v>
      </c>
      <c r="AC90" s="11" t="s">
        <v>231</v>
      </c>
      <c r="AD90" s="11" t="s">
        <v>232</v>
      </c>
      <c r="AE90" s="11" t="s">
        <v>233</v>
      </c>
      <c r="AF90" s="11" t="s">
        <v>234</v>
      </c>
      <c r="AG90" s="11"/>
      <c r="AH90" s="11" t="s">
        <v>256</v>
      </c>
      <c r="AI90" s="11" t="s">
        <v>204</v>
      </c>
      <c r="AJ90" s="11" t="s">
        <v>207</v>
      </c>
      <c r="AK90" s="11" t="s">
        <v>207</v>
      </c>
      <c r="AL90" s="11" t="s">
        <v>1322</v>
      </c>
      <c r="AM90" s="11">
        <v>2</v>
      </c>
      <c r="AN90" s="11" t="s">
        <v>1323</v>
      </c>
      <c r="AO90" s="11" t="s">
        <v>207</v>
      </c>
      <c r="AP90" s="11" t="s">
        <v>1324</v>
      </c>
      <c r="AQ90" s="11" t="s">
        <v>260</v>
      </c>
      <c r="AR90" s="11" t="s">
        <v>1325</v>
      </c>
      <c r="AS90" s="11" t="s">
        <v>262</v>
      </c>
      <c r="AT90" s="11" t="s">
        <v>263</v>
      </c>
      <c r="AU90" s="11" t="s">
        <v>264</v>
      </c>
      <c r="AV90" s="11"/>
      <c r="AW90" s="11"/>
      <c r="AX90" s="11" t="s">
        <v>216</v>
      </c>
      <c r="AY90" s="11"/>
      <c r="AZ90" s="11" t="s">
        <v>218</v>
      </c>
      <c r="BA90" s="11" t="s">
        <v>265</v>
      </c>
      <c r="BB90" s="11" t="s">
        <v>266</v>
      </c>
      <c r="BC90" s="11" t="s">
        <v>267</v>
      </c>
      <c r="BD90" s="11" t="s">
        <v>220</v>
      </c>
      <c r="BE90" s="11" t="s">
        <v>221</v>
      </c>
      <c r="BF90" s="13">
        <v>375</v>
      </c>
      <c r="BG90" s="13">
        <v>60</v>
      </c>
      <c r="BH90" s="11" t="s">
        <v>268</v>
      </c>
      <c r="BI90" s="11" t="s">
        <v>207</v>
      </c>
      <c r="BJ90" s="11" t="s">
        <v>269</v>
      </c>
      <c r="BK90" s="11" t="s">
        <v>184</v>
      </c>
      <c r="BL90" s="11"/>
      <c r="BM90" s="11"/>
      <c r="BN90" s="11"/>
      <c r="BO90" s="11"/>
      <c r="BP90" s="11"/>
      <c r="BQ90" s="11"/>
      <c r="BR90" s="11"/>
      <c r="BS90" s="11"/>
      <c r="BT90" s="11"/>
      <c r="BU90" s="11"/>
      <c r="BV90" s="11"/>
      <c r="BW90" s="11"/>
      <c r="BX90" s="11"/>
      <c r="BY90" s="11"/>
      <c r="BZ90" s="11"/>
      <c r="CA90" s="11"/>
      <c r="CB90" s="11"/>
      <c r="CC90" s="11"/>
      <c r="CD90" s="11"/>
      <c r="CE90" s="14"/>
      <c r="CF90" s="15"/>
      <c r="CG90" s="15"/>
      <c r="CH90" s="15"/>
      <c r="CI90" s="15"/>
      <c r="CJ90" s="15"/>
      <c r="CK90" s="15"/>
      <c r="CL90" s="15"/>
      <c r="CM90" s="15"/>
      <c r="CN90" s="15"/>
      <c r="CO90" s="15"/>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row>
    <row r="91" spans="1:210" ht="60" customHeight="1">
      <c r="A91" s="11" t="s">
        <v>1326</v>
      </c>
      <c r="B91" s="11" t="s">
        <v>1327</v>
      </c>
      <c r="C91" s="11">
        <v>12829</v>
      </c>
      <c r="D91" s="11" t="s">
        <v>246</v>
      </c>
      <c r="E91" s="11" t="s">
        <v>1328</v>
      </c>
      <c r="F91" s="11" t="s">
        <v>207</v>
      </c>
      <c r="G91" s="12" t="s">
        <v>1329</v>
      </c>
      <c r="H91" s="11" t="s">
        <v>186</v>
      </c>
      <c r="I91" s="11" t="s">
        <v>187</v>
      </c>
      <c r="J91" s="11"/>
      <c r="K91" s="11" t="s">
        <v>383</v>
      </c>
      <c r="L91" s="11"/>
      <c r="M91" s="11" t="s">
        <v>189</v>
      </c>
      <c r="N91" s="11"/>
      <c r="O91" s="11"/>
      <c r="P91" s="11"/>
      <c r="Q91" s="11" t="s">
        <v>1330</v>
      </c>
      <c r="R91" s="11" t="s">
        <v>1331</v>
      </c>
      <c r="S91" s="11"/>
      <c r="T91" s="11" t="s">
        <v>1332</v>
      </c>
      <c r="U91" s="11" t="s">
        <v>193</v>
      </c>
      <c r="V91" s="11" t="s">
        <v>194</v>
      </c>
      <c r="W91" s="11" t="s">
        <v>195</v>
      </c>
      <c r="X91" s="11" t="s">
        <v>253</v>
      </c>
      <c r="Y91" s="11"/>
      <c r="Z91" s="11"/>
      <c r="AA91" s="11" t="s">
        <v>278</v>
      </c>
      <c r="AB91" s="11" t="s">
        <v>255</v>
      </c>
      <c r="AC91" s="11" t="s">
        <v>231</v>
      </c>
      <c r="AD91" s="11" t="s">
        <v>232</v>
      </c>
      <c r="AE91" s="11" t="s">
        <v>233</v>
      </c>
      <c r="AF91" s="11" t="s">
        <v>234</v>
      </c>
      <c r="AG91" s="11"/>
      <c r="AH91" s="11" t="s">
        <v>256</v>
      </c>
      <c r="AI91" s="11" t="s">
        <v>204</v>
      </c>
      <c r="AJ91" s="11" t="s">
        <v>207</v>
      </c>
      <c r="AK91" s="11"/>
      <c r="AL91" s="11" t="s">
        <v>279</v>
      </c>
      <c r="AM91" s="11">
        <v>3</v>
      </c>
      <c r="AN91" s="11" t="s">
        <v>280</v>
      </c>
      <c r="AO91" s="11" t="s">
        <v>207</v>
      </c>
      <c r="AP91" s="11" t="s">
        <v>281</v>
      </c>
      <c r="AQ91" s="11" t="s">
        <v>260</v>
      </c>
      <c r="AR91" s="11" t="s">
        <v>261</v>
      </c>
      <c r="AS91" s="11" t="s">
        <v>262</v>
      </c>
      <c r="AT91" s="11" t="s">
        <v>263</v>
      </c>
      <c r="AU91" s="11" t="s">
        <v>213</v>
      </c>
      <c r="AV91" s="11" t="s">
        <v>282</v>
      </c>
      <c r="AW91" s="11"/>
      <c r="AX91" s="11" t="s">
        <v>216</v>
      </c>
      <c r="AY91" s="11" t="s">
        <v>283</v>
      </c>
      <c r="AZ91" s="11" t="s">
        <v>218</v>
      </c>
      <c r="BA91" s="11" t="s">
        <v>265</v>
      </c>
      <c r="BB91" s="11" t="s">
        <v>266</v>
      </c>
      <c r="BC91" s="11" t="s">
        <v>267</v>
      </c>
      <c r="BD91" s="11" t="s">
        <v>220</v>
      </c>
      <c r="BE91" s="11" t="s">
        <v>221</v>
      </c>
      <c r="BF91" s="13">
        <v>473</v>
      </c>
      <c r="BG91" s="13">
        <v>144</v>
      </c>
      <c r="BH91" s="11" t="s">
        <v>268</v>
      </c>
      <c r="BI91" s="11" t="s">
        <v>207</v>
      </c>
      <c r="BJ91" s="11" t="s">
        <v>269</v>
      </c>
      <c r="BK91" s="11" t="s">
        <v>184</v>
      </c>
      <c r="BL91" s="11"/>
      <c r="BM91" s="11"/>
      <c r="BN91" s="11"/>
      <c r="BO91" s="11"/>
      <c r="BP91" s="11"/>
      <c r="BQ91" s="11"/>
      <c r="BR91" s="11"/>
      <c r="BS91" s="11"/>
      <c r="BT91" s="11"/>
      <c r="BU91" s="11"/>
      <c r="BV91" s="11"/>
      <c r="BW91" s="11"/>
      <c r="BX91" s="11"/>
      <c r="BY91" s="11"/>
      <c r="BZ91" s="11"/>
      <c r="CA91" s="11"/>
      <c r="CB91" s="11"/>
      <c r="CC91" s="11"/>
      <c r="CD91" s="11"/>
      <c r="CE91" s="14"/>
      <c r="CF91" s="15"/>
      <c r="CG91" s="15"/>
      <c r="CH91" s="15"/>
      <c r="CI91" s="15"/>
      <c r="CJ91" s="15"/>
      <c r="CK91" s="15"/>
      <c r="CL91" s="15"/>
      <c r="CM91" s="15"/>
      <c r="CN91" s="15"/>
      <c r="CO91" s="15"/>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1"/>
      <c r="GN91" s="11"/>
      <c r="GO91" s="11"/>
      <c r="GP91" s="11"/>
      <c r="GQ91" s="11"/>
      <c r="GR91" s="11"/>
      <c r="GS91" s="11"/>
      <c r="GT91" s="11"/>
      <c r="GU91" s="11"/>
      <c r="GV91" s="11"/>
      <c r="GW91" s="11"/>
      <c r="GX91" s="11"/>
      <c r="GY91" s="11"/>
      <c r="GZ91" s="11"/>
      <c r="HA91" s="11"/>
      <c r="HB91" s="11"/>
    </row>
    <row r="92" spans="1:210" ht="15.75" customHeight="1">
      <c r="A92" s="46"/>
      <c r="B92" s="46"/>
      <c r="C92" s="46"/>
      <c r="D92" s="46"/>
      <c r="E92" s="46"/>
      <c r="F92" s="46"/>
      <c r="G92" s="47"/>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5"/>
      <c r="CF92" s="5"/>
      <c r="CG92" s="5"/>
      <c r="CH92" s="5"/>
      <c r="CI92" s="5"/>
      <c r="CJ92" s="5"/>
      <c r="CK92" s="5"/>
      <c r="CL92" s="5"/>
      <c r="CM92" s="5"/>
      <c r="CN92" s="5"/>
      <c r="CO92" s="5"/>
      <c r="CP92" s="48"/>
      <c r="CQ92" s="48"/>
      <c r="CR92" s="48"/>
      <c r="CS92" s="48"/>
      <c r="CT92" s="48"/>
      <c r="CU92" s="48"/>
      <c r="CV92" s="48"/>
      <c r="CW92" s="48"/>
      <c r="CX92" s="48"/>
      <c r="CY92" s="48"/>
      <c r="CZ92" s="48"/>
      <c r="DA92" s="48"/>
      <c r="DB92" s="48"/>
      <c r="DC92" s="48"/>
      <c r="DD92" s="48"/>
      <c r="DE92" s="48"/>
      <c r="DF92" s="48"/>
      <c r="DG92" s="48"/>
      <c r="DH92" s="48"/>
      <c r="DI92" s="48"/>
      <c r="DJ92" s="48"/>
      <c r="DK92" s="48"/>
      <c r="DL92" s="48"/>
      <c r="DM92" s="48"/>
      <c r="DN92" s="48"/>
      <c r="DO92" s="48"/>
      <c r="DP92" s="48"/>
      <c r="DQ92" s="48"/>
      <c r="DR92" s="48"/>
      <c r="DS92" s="48"/>
      <c r="DT92" s="48"/>
      <c r="DU92" s="48"/>
      <c r="DV92" s="48"/>
      <c r="DW92" s="48"/>
      <c r="DX92" s="48"/>
      <c r="DY92" s="48"/>
      <c r="DZ92" s="48"/>
      <c r="EA92" s="48"/>
      <c r="EB92" s="48"/>
      <c r="EC92" s="48"/>
      <c r="ED92" s="48"/>
      <c r="EE92" s="48"/>
      <c r="EF92" s="48"/>
      <c r="EG92" s="48"/>
      <c r="EH92" s="48"/>
      <c r="EI92" s="48"/>
      <c r="EJ92" s="48"/>
      <c r="EK92" s="48"/>
      <c r="EL92" s="48"/>
      <c r="EM92" s="48"/>
      <c r="EN92" s="48"/>
      <c r="EO92" s="48"/>
      <c r="EP92" s="48"/>
      <c r="EQ92" s="48"/>
      <c r="ER92" s="48"/>
      <c r="ES92" s="48"/>
      <c r="ET92" s="48"/>
      <c r="EU92" s="48"/>
      <c r="EV92" s="48"/>
      <c r="EW92" s="48"/>
      <c r="EX92" s="48"/>
      <c r="EY92" s="48"/>
      <c r="EZ92" s="48"/>
      <c r="FA92" s="48"/>
      <c r="FB92" s="48"/>
      <c r="FC92" s="48"/>
      <c r="FD92" s="48"/>
      <c r="FE92" s="48"/>
      <c r="FF92" s="48"/>
      <c r="FG92" s="48"/>
      <c r="FH92" s="48"/>
      <c r="FI92" s="48"/>
      <c r="FJ92" s="48"/>
      <c r="FK92" s="48"/>
      <c r="FL92" s="48"/>
      <c r="FM92" s="48"/>
      <c r="FN92" s="48"/>
      <c r="FO92" s="48"/>
      <c r="FP92" s="48"/>
      <c r="FQ92" s="48"/>
      <c r="FR92" s="48"/>
      <c r="FS92" s="48"/>
      <c r="FT92" s="48"/>
      <c r="FU92" s="48"/>
      <c r="FV92" s="48"/>
      <c r="FW92" s="48"/>
      <c r="FX92" s="48"/>
      <c r="FY92" s="48"/>
      <c r="FZ92" s="48"/>
      <c r="GA92" s="48"/>
      <c r="GB92" s="48"/>
      <c r="GC92" s="48"/>
      <c r="GD92" s="48"/>
      <c r="GE92" s="48"/>
      <c r="GF92" s="48"/>
      <c r="GG92" s="48"/>
      <c r="GH92" s="48"/>
      <c r="GI92" s="48"/>
      <c r="GJ92" s="48"/>
      <c r="GK92" s="48"/>
      <c r="GL92" s="48"/>
      <c r="GM92" s="48"/>
      <c r="GN92" s="48"/>
      <c r="GO92" s="48"/>
      <c r="GP92" s="48"/>
      <c r="GQ92" s="48"/>
      <c r="GR92" s="48"/>
      <c r="GS92" s="48"/>
      <c r="GT92" s="48"/>
      <c r="GU92" s="48"/>
      <c r="GV92" s="48"/>
      <c r="GW92" s="48"/>
      <c r="GX92" s="48"/>
      <c r="GY92" s="48"/>
      <c r="GZ92" s="48"/>
      <c r="HA92" s="48"/>
      <c r="HB92" s="48"/>
    </row>
    <row r="93" spans="1:210" ht="15.75" customHeight="1">
      <c r="A93" s="5"/>
      <c r="B93" s="5"/>
      <c r="C93" s="5"/>
      <c r="D93" s="5"/>
      <c r="E93" s="5"/>
      <c r="F93" s="5"/>
      <c r="G93" s="49"/>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48"/>
      <c r="CQ93" s="48"/>
      <c r="CR93" s="48"/>
      <c r="CS93" s="48"/>
      <c r="CT93" s="48"/>
      <c r="CU93" s="48"/>
      <c r="CV93" s="48"/>
      <c r="CW93" s="48"/>
      <c r="CX93" s="48"/>
      <c r="CY93" s="48"/>
      <c r="CZ93" s="48"/>
      <c r="DA93" s="48"/>
      <c r="DB93" s="48"/>
      <c r="DC93" s="48"/>
      <c r="DD93" s="48"/>
      <c r="DE93" s="48"/>
      <c r="DF93" s="48"/>
      <c r="DG93" s="48"/>
      <c r="DH93" s="48"/>
      <c r="DI93" s="48"/>
      <c r="DJ93" s="48"/>
      <c r="DK93" s="48"/>
      <c r="DL93" s="48"/>
      <c r="DM93" s="48"/>
      <c r="DN93" s="48"/>
      <c r="DO93" s="48"/>
      <c r="DP93" s="48"/>
      <c r="DQ93" s="48"/>
      <c r="DR93" s="48"/>
      <c r="DS93" s="48"/>
      <c r="DT93" s="48"/>
      <c r="DU93" s="48"/>
      <c r="DV93" s="48"/>
      <c r="DW93" s="48"/>
      <c r="DX93" s="48"/>
      <c r="DY93" s="48"/>
      <c r="DZ93" s="48"/>
      <c r="EA93" s="48"/>
      <c r="EB93" s="48"/>
      <c r="EC93" s="48"/>
      <c r="ED93" s="48"/>
      <c r="EE93" s="48"/>
      <c r="EF93" s="48"/>
      <c r="EG93" s="48"/>
      <c r="EH93" s="48"/>
      <c r="EI93" s="48"/>
      <c r="EJ93" s="48"/>
      <c r="EK93" s="48"/>
      <c r="EL93" s="48"/>
      <c r="EM93" s="48"/>
      <c r="EN93" s="48"/>
      <c r="EO93" s="48"/>
      <c r="EP93" s="48"/>
      <c r="EQ93" s="48"/>
      <c r="ER93" s="48"/>
      <c r="ES93" s="48"/>
      <c r="ET93" s="48"/>
      <c r="EU93" s="48"/>
      <c r="EV93" s="48"/>
      <c r="EW93" s="48"/>
      <c r="EX93" s="48"/>
      <c r="EY93" s="48"/>
      <c r="EZ93" s="48"/>
      <c r="FA93" s="48"/>
      <c r="FB93" s="48"/>
      <c r="FC93" s="48"/>
      <c r="FD93" s="48"/>
      <c r="FE93" s="48"/>
      <c r="FF93" s="48"/>
      <c r="FG93" s="48"/>
      <c r="FH93" s="48"/>
      <c r="FI93" s="48"/>
      <c r="FJ93" s="48"/>
      <c r="FK93" s="48"/>
      <c r="FL93" s="48"/>
      <c r="FM93" s="48"/>
      <c r="FN93" s="48"/>
      <c r="FO93" s="48"/>
      <c r="FP93" s="48"/>
      <c r="FQ93" s="48"/>
      <c r="FR93" s="48"/>
      <c r="FS93" s="48"/>
      <c r="FT93" s="48"/>
      <c r="FU93" s="48"/>
      <c r="FV93" s="48"/>
      <c r="FW93" s="48"/>
      <c r="FX93" s="48"/>
      <c r="FY93" s="48"/>
      <c r="FZ93" s="48"/>
      <c r="GA93" s="48"/>
      <c r="GB93" s="48"/>
      <c r="GC93" s="48"/>
      <c r="GD93" s="48"/>
      <c r="GE93" s="48"/>
      <c r="GF93" s="48"/>
      <c r="GG93" s="48"/>
      <c r="GH93" s="48"/>
      <c r="GI93" s="48"/>
      <c r="GJ93" s="48"/>
      <c r="GK93" s="48"/>
      <c r="GL93" s="48"/>
      <c r="GM93" s="48"/>
      <c r="GN93" s="48"/>
      <c r="GO93" s="48"/>
      <c r="GP93" s="48"/>
      <c r="GQ93" s="48"/>
      <c r="GR93" s="48"/>
      <c r="GS93" s="48"/>
      <c r="GT93" s="48"/>
      <c r="GU93" s="48"/>
      <c r="GV93" s="48"/>
      <c r="GW93" s="48"/>
      <c r="GX93" s="48"/>
      <c r="GY93" s="48"/>
      <c r="GZ93" s="48"/>
      <c r="HA93" s="48"/>
      <c r="HB93" s="48"/>
    </row>
    <row r="94" spans="1:210" ht="15.75" customHeight="1">
      <c r="A94" s="5"/>
      <c r="B94" s="5"/>
      <c r="C94" s="5"/>
      <c r="D94" s="5"/>
      <c r="E94" s="5"/>
      <c r="F94" s="5"/>
      <c r="G94" s="49"/>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48"/>
      <c r="CQ94" s="48"/>
      <c r="CR94" s="48"/>
      <c r="CS94" s="48"/>
      <c r="CT94" s="48"/>
      <c r="CU94" s="48"/>
      <c r="CV94" s="48"/>
      <c r="CW94" s="48"/>
      <c r="CX94" s="48"/>
      <c r="CY94" s="48"/>
      <c r="CZ94" s="48"/>
      <c r="DA94" s="48"/>
      <c r="DB94" s="48"/>
      <c r="DC94" s="48"/>
      <c r="DD94" s="48"/>
      <c r="DE94" s="48"/>
      <c r="DF94" s="48"/>
      <c r="DG94" s="48"/>
      <c r="DH94" s="48"/>
      <c r="DI94" s="48"/>
      <c r="DJ94" s="48"/>
      <c r="DK94" s="48"/>
      <c r="DL94" s="48"/>
      <c r="DM94" s="48"/>
      <c r="DN94" s="48"/>
      <c r="DO94" s="48"/>
      <c r="DP94" s="48"/>
      <c r="DQ94" s="48"/>
      <c r="DR94" s="48"/>
      <c r="DS94" s="48"/>
      <c r="DT94" s="48"/>
      <c r="DU94" s="48"/>
      <c r="DV94" s="48"/>
      <c r="DW94" s="48"/>
      <c r="DX94" s="48"/>
      <c r="DY94" s="48"/>
      <c r="DZ94" s="48"/>
      <c r="EA94" s="48"/>
      <c r="EB94" s="48"/>
      <c r="EC94" s="48"/>
      <c r="ED94" s="48"/>
      <c r="EE94" s="48"/>
      <c r="EF94" s="48"/>
      <c r="EG94" s="48"/>
      <c r="EH94" s="48"/>
      <c r="EI94" s="48"/>
      <c r="EJ94" s="48"/>
      <c r="EK94" s="48"/>
      <c r="EL94" s="48"/>
      <c r="EM94" s="48"/>
      <c r="EN94" s="48"/>
      <c r="EO94" s="48"/>
      <c r="EP94" s="48"/>
      <c r="EQ94" s="48"/>
      <c r="ER94" s="48"/>
      <c r="ES94" s="48"/>
      <c r="ET94" s="48"/>
      <c r="EU94" s="48"/>
      <c r="EV94" s="48"/>
      <c r="EW94" s="48"/>
      <c r="EX94" s="48"/>
      <c r="EY94" s="48"/>
      <c r="EZ94" s="48"/>
      <c r="FA94" s="48"/>
      <c r="FB94" s="48"/>
      <c r="FC94" s="48"/>
      <c r="FD94" s="48"/>
      <c r="FE94" s="48"/>
      <c r="FF94" s="48"/>
      <c r="FG94" s="48"/>
      <c r="FH94" s="48"/>
      <c r="FI94" s="48"/>
      <c r="FJ94" s="48"/>
      <c r="FK94" s="48"/>
      <c r="FL94" s="48"/>
      <c r="FM94" s="48"/>
      <c r="FN94" s="48"/>
      <c r="FO94" s="48"/>
      <c r="FP94" s="48"/>
      <c r="FQ94" s="48"/>
      <c r="FR94" s="48"/>
      <c r="FS94" s="48"/>
      <c r="FT94" s="48"/>
      <c r="FU94" s="48"/>
      <c r="FV94" s="48"/>
      <c r="FW94" s="48"/>
      <c r="FX94" s="48"/>
      <c r="FY94" s="48"/>
      <c r="FZ94" s="48"/>
      <c r="GA94" s="48"/>
      <c r="GB94" s="48"/>
      <c r="GC94" s="48"/>
      <c r="GD94" s="48"/>
      <c r="GE94" s="48"/>
      <c r="GF94" s="48"/>
      <c r="GG94" s="48"/>
      <c r="GH94" s="48"/>
      <c r="GI94" s="48"/>
      <c r="GJ94" s="48"/>
      <c r="GK94" s="48"/>
      <c r="GL94" s="48"/>
      <c r="GM94" s="48"/>
      <c r="GN94" s="48"/>
      <c r="GO94" s="48"/>
      <c r="GP94" s="48"/>
      <c r="GQ94" s="48"/>
      <c r="GR94" s="48"/>
      <c r="GS94" s="48"/>
      <c r="GT94" s="48"/>
      <c r="GU94" s="48"/>
      <c r="GV94" s="48"/>
      <c r="GW94" s="48"/>
      <c r="GX94" s="48"/>
      <c r="GY94" s="48"/>
      <c r="GZ94" s="48"/>
      <c r="HA94" s="48"/>
      <c r="HB94" s="48"/>
    </row>
    <row r="95" spans="1:210" ht="15.75" customHeight="1">
      <c r="A95" s="5"/>
      <c r="B95" s="5"/>
      <c r="C95" s="5"/>
      <c r="D95" s="5"/>
      <c r="E95" s="5"/>
      <c r="F95" s="5"/>
      <c r="G95" s="49"/>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48"/>
      <c r="CQ95" s="48"/>
      <c r="CR95" s="48"/>
      <c r="CS95" s="48"/>
      <c r="CT95" s="48"/>
      <c r="CU95" s="48"/>
      <c r="CV95" s="48"/>
      <c r="CW95" s="48"/>
      <c r="CX95" s="48"/>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48"/>
      <c r="EE95" s="48"/>
      <c r="EF95" s="48"/>
      <c r="EG95" s="48"/>
      <c r="EH95" s="48"/>
      <c r="EI95" s="48"/>
      <c r="EJ95" s="48"/>
      <c r="EK95" s="48"/>
      <c r="EL95" s="48"/>
      <c r="EM95" s="48"/>
      <c r="EN95" s="48"/>
      <c r="EO95" s="48"/>
      <c r="EP95" s="48"/>
      <c r="EQ95" s="48"/>
      <c r="ER95" s="48"/>
      <c r="ES95" s="48"/>
      <c r="ET95" s="48"/>
      <c r="EU95" s="48"/>
      <c r="EV95" s="48"/>
      <c r="EW95" s="48"/>
      <c r="EX95" s="48"/>
      <c r="EY95" s="48"/>
      <c r="EZ95" s="48"/>
      <c r="FA95" s="48"/>
      <c r="FB95" s="48"/>
      <c r="FC95" s="48"/>
      <c r="FD95" s="48"/>
      <c r="FE95" s="48"/>
      <c r="FF95" s="48"/>
      <c r="FG95" s="48"/>
      <c r="FH95" s="48"/>
      <c r="FI95" s="48"/>
      <c r="FJ95" s="48"/>
      <c r="FK95" s="48"/>
      <c r="FL95" s="48"/>
      <c r="FM95" s="48"/>
      <c r="FN95" s="48"/>
      <c r="FO95" s="48"/>
      <c r="FP95" s="48"/>
      <c r="FQ95" s="48"/>
      <c r="FR95" s="48"/>
      <c r="FS95" s="48"/>
      <c r="FT95" s="48"/>
      <c r="FU95" s="48"/>
      <c r="FV95" s="48"/>
      <c r="FW95" s="48"/>
      <c r="FX95" s="48"/>
      <c r="FY95" s="48"/>
      <c r="FZ95" s="48"/>
      <c r="GA95" s="48"/>
      <c r="GB95" s="48"/>
      <c r="GC95" s="48"/>
      <c r="GD95" s="48"/>
      <c r="GE95" s="48"/>
      <c r="GF95" s="48"/>
      <c r="GG95" s="48"/>
      <c r="GH95" s="48"/>
      <c r="GI95" s="48"/>
      <c r="GJ95" s="48"/>
      <c r="GK95" s="48"/>
      <c r="GL95" s="48"/>
      <c r="GM95" s="48"/>
      <c r="GN95" s="48"/>
      <c r="GO95" s="48"/>
      <c r="GP95" s="48"/>
      <c r="GQ95" s="48"/>
      <c r="GR95" s="48"/>
      <c r="GS95" s="48"/>
      <c r="GT95" s="48"/>
      <c r="GU95" s="48"/>
      <c r="GV95" s="48"/>
      <c r="GW95" s="48"/>
      <c r="GX95" s="48"/>
      <c r="GY95" s="48"/>
      <c r="GZ95" s="48"/>
      <c r="HA95" s="48"/>
      <c r="HB95" s="48"/>
    </row>
    <row r="96" spans="1:210" ht="15.75" customHeight="1">
      <c r="A96" s="5"/>
      <c r="B96" s="5"/>
      <c r="C96" s="5"/>
      <c r="D96" s="5"/>
      <c r="E96" s="5"/>
      <c r="F96" s="5"/>
      <c r="G96" s="49"/>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48"/>
      <c r="CQ96" s="48"/>
      <c r="CR96" s="48"/>
      <c r="CS96" s="48"/>
      <c r="CT96" s="48"/>
      <c r="CU96" s="48"/>
      <c r="CV96" s="48"/>
      <c r="CW96" s="48"/>
      <c r="CX96" s="48"/>
      <c r="CY96" s="48"/>
      <c r="CZ96" s="48"/>
      <c r="DA96" s="48"/>
      <c r="DB96" s="48"/>
      <c r="DC96" s="48"/>
      <c r="DD96" s="48"/>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c r="EE96" s="48"/>
      <c r="EF96" s="48"/>
      <c r="EG96" s="48"/>
      <c r="EH96" s="48"/>
      <c r="EI96" s="48"/>
      <c r="EJ96" s="48"/>
      <c r="EK96" s="48"/>
      <c r="EL96" s="48"/>
      <c r="EM96" s="48"/>
      <c r="EN96" s="48"/>
      <c r="EO96" s="48"/>
      <c r="EP96" s="48"/>
      <c r="EQ96" s="48"/>
      <c r="ER96" s="48"/>
      <c r="ES96" s="48"/>
      <c r="ET96" s="48"/>
      <c r="EU96" s="48"/>
      <c r="EV96" s="48"/>
      <c r="EW96" s="48"/>
      <c r="EX96" s="48"/>
      <c r="EY96" s="48"/>
      <c r="EZ96" s="48"/>
      <c r="FA96" s="48"/>
      <c r="FB96" s="48"/>
      <c r="FC96" s="48"/>
      <c r="FD96" s="48"/>
      <c r="FE96" s="48"/>
      <c r="FF96" s="48"/>
      <c r="FG96" s="48"/>
      <c r="FH96" s="48"/>
      <c r="FI96" s="48"/>
      <c r="FJ96" s="48"/>
      <c r="FK96" s="48"/>
      <c r="FL96" s="48"/>
      <c r="FM96" s="48"/>
      <c r="FN96" s="48"/>
      <c r="FO96" s="48"/>
      <c r="FP96" s="48"/>
      <c r="FQ96" s="48"/>
      <c r="FR96" s="48"/>
      <c r="FS96" s="48"/>
      <c r="FT96" s="48"/>
      <c r="FU96" s="48"/>
      <c r="FV96" s="48"/>
      <c r="FW96" s="48"/>
      <c r="FX96" s="48"/>
      <c r="FY96" s="48"/>
      <c r="FZ96" s="48"/>
      <c r="GA96" s="48"/>
      <c r="GB96" s="48"/>
      <c r="GC96" s="48"/>
      <c r="GD96" s="48"/>
      <c r="GE96" s="48"/>
      <c r="GF96" s="48"/>
      <c r="GG96" s="48"/>
      <c r="GH96" s="48"/>
      <c r="GI96" s="48"/>
      <c r="GJ96" s="48"/>
      <c r="GK96" s="48"/>
      <c r="GL96" s="48"/>
      <c r="GM96" s="48"/>
      <c r="GN96" s="48"/>
      <c r="GO96" s="48"/>
      <c r="GP96" s="48"/>
      <c r="GQ96" s="48"/>
      <c r="GR96" s="48"/>
      <c r="GS96" s="48"/>
      <c r="GT96" s="48"/>
      <c r="GU96" s="48"/>
      <c r="GV96" s="48"/>
      <c r="GW96" s="48"/>
      <c r="GX96" s="48"/>
      <c r="GY96" s="48"/>
      <c r="GZ96" s="48"/>
      <c r="HA96" s="48"/>
      <c r="HB96" s="48"/>
    </row>
    <row r="97" spans="1:210" ht="15.75" customHeight="1">
      <c r="A97" s="5"/>
      <c r="B97" s="5"/>
      <c r="C97" s="5"/>
      <c r="D97" s="5"/>
      <c r="E97" s="5"/>
      <c r="F97" s="5"/>
      <c r="G97" s="49"/>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48"/>
      <c r="CQ97" s="48"/>
      <c r="CR97" s="48"/>
      <c r="CS97" s="48"/>
      <c r="CT97" s="48"/>
      <c r="CU97" s="48"/>
      <c r="CV97" s="48"/>
      <c r="CW97" s="48"/>
      <c r="CX97" s="48"/>
      <c r="CY97" s="48"/>
      <c r="CZ97" s="48"/>
      <c r="DA97" s="48"/>
      <c r="DB97" s="48"/>
      <c r="DC97" s="48"/>
      <c r="DD97" s="48"/>
      <c r="DE97" s="48"/>
      <c r="DF97" s="48"/>
      <c r="DG97" s="48"/>
      <c r="DH97" s="48"/>
      <c r="DI97" s="48"/>
      <c r="DJ97" s="48"/>
      <c r="DK97" s="48"/>
      <c r="DL97" s="48"/>
      <c r="DM97" s="48"/>
      <c r="DN97" s="48"/>
      <c r="DO97" s="48"/>
      <c r="DP97" s="48"/>
      <c r="DQ97" s="48"/>
      <c r="DR97" s="48"/>
      <c r="DS97" s="48"/>
      <c r="DT97" s="48"/>
      <c r="DU97" s="48"/>
      <c r="DV97" s="48"/>
      <c r="DW97" s="48"/>
      <c r="DX97" s="48"/>
      <c r="DY97" s="48"/>
      <c r="DZ97" s="48"/>
      <c r="EA97" s="48"/>
      <c r="EB97" s="48"/>
      <c r="EC97" s="48"/>
      <c r="ED97" s="48"/>
      <c r="EE97" s="48"/>
      <c r="EF97" s="48"/>
      <c r="EG97" s="48"/>
      <c r="EH97" s="48"/>
      <c r="EI97" s="48"/>
      <c r="EJ97" s="48"/>
      <c r="EK97" s="48"/>
      <c r="EL97" s="48"/>
      <c r="EM97" s="48"/>
      <c r="EN97" s="48"/>
      <c r="EO97" s="48"/>
      <c r="EP97" s="48"/>
      <c r="EQ97" s="48"/>
      <c r="ER97" s="48"/>
      <c r="ES97" s="48"/>
      <c r="ET97" s="48"/>
      <c r="EU97" s="48"/>
      <c r="EV97" s="48"/>
      <c r="EW97" s="48"/>
      <c r="EX97" s="48"/>
      <c r="EY97" s="48"/>
      <c r="EZ97" s="48"/>
      <c r="FA97" s="48"/>
      <c r="FB97" s="48"/>
      <c r="FC97" s="48"/>
      <c r="FD97" s="48"/>
      <c r="FE97" s="48"/>
      <c r="FF97" s="48"/>
      <c r="FG97" s="48"/>
      <c r="FH97" s="48"/>
      <c r="FI97" s="48"/>
      <c r="FJ97" s="48"/>
      <c r="FK97" s="48"/>
      <c r="FL97" s="48"/>
      <c r="FM97" s="48"/>
      <c r="FN97" s="48"/>
      <c r="FO97" s="48"/>
      <c r="FP97" s="48"/>
      <c r="FQ97" s="48"/>
      <c r="FR97" s="48"/>
      <c r="FS97" s="48"/>
      <c r="FT97" s="48"/>
      <c r="FU97" s="48"/>
      <c r="FV97" s="48"/>
      <c r="FW97" s="48"/>
      <c r="FX97" s="48"/>
      <c r="FY97" s="48"/>
      <c r="FZ97" s="48"/>
      <c r="GA97" s="48"/>
      <c r="GB97" s="48"/>
      <c r="GC97" s="48"/>
      <c r="GD97" s="48"/>
      <c r="GE97" s="48"/>
      <c r="GF97" s="48"/>
      <c r="GG97" s="48"/>
      <c r="GH97" s="48"/>
      <c r="GI97" s="48"/>
      <c r="GJ97" s="48"/>
      <c r="GK97" s="48"/>
      <c r="GL97" s="48"/>
      <c r="GM97" s="48"/>
      <c r="GN97" s="48"/>
      <c r="GO97" s="48"/>
      <c r="GP97" s="48"/>
      <c r="GQ97" s="48"/>
      <c r="GR97" s="48"/>
      <c r="GS97" s="48"/>
      <c r="GT97" s="48"/>
      <c r="GU97" s="48"/>
      <c r="GV97" s="48"/>
      <c r="GW97" s="48"/>
      <c r="GX97" s="48"/>
      <c r="GY97" s="48"/>
      <c r="GZ97" s="48"/>
      <c r="HA97" s="48"/>
      <c r="HB97" s="48"/>
    </row>
    <row r="98" spans="1:210" ht="15.75" customHeight="1">
      <c r="A98" s="5"/>
      <c r="B98" s="5"/>
      <c r="C98" s="5"/>
      <c r="D98" s="5"/>
      <c r="E98" s="5"/>
      <c r="F98" s="5"/>
      <c r="G98" s="49"/>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48"/>
      <c r="CQ98" s="48"/>
      <c r="CR98" s="48"/>
      <c r="CS98" s="48"/>
      <c r="CT98" s="48"/>
      <c r="CU98" s="48"/>
      <c r="CV98" s="48"/>
      <c r="CW98" s="48"/>
      <c r="CX98" s="48"/>
      <c r="CY98" s="48"/>
      <c r="CZ98" s="48"/>
      <c r="DA98" s="48"/>
      <c r="DB98" s="48"/>
      <c r="DC98" s="48"/>
      <c r="DD98" s="48"/>
      <c r="DE98" s="48"/>
      <c r="DF98" s="48"/>
      <c r="DG98" s="48"/>
      <c r="DH98" s="48"/>
      <c r="DI98" s="48"/>
      <c r="DJ98" s="48"/>
      <c r="DK98" s="48"/>
      <c r="DL98" s="48"/>
      <c r="DM98" s="48"/>
      <c r="DN98" s="48"/>
      <c r="DO98" s="48"/>
      <c r="DP98" s="48"/>
      <c r="DQ98" s="48"/>
      <c r="DR98" s="48"/>
      <c r="DS98" s="48"/>
      <c r="DT98" s="48"/>
      <c r="DU98" s="48"/>
      <c r="DV98" s="48"/>
      <c r="DW98" s="48"/>
      <c r="DX98" s="48"/>
      <c r="DY98" s="48"/>
      <c r="DZ98" s="48"/>
      <c r="EA98" s="48"/>
      <c r="EB98" s="48"/>
      <c r="EC98" s="48"/>
      <c r="ED98" s="48"/>
      <c r="EE98" s="48"/>
      <c r="EF98" s="48"/>
      <c r="EG98" s="48"/>
      <c r="EH98" s="48"/>
      <c r="EI98" s="48"/>
      <c r="EJ98" s="48"/>
      <c r="EK98" s="48"/>
      <c r="EL98" s="48"/>
      <c r="EM98" s="48"/>
      <c r="EN98" s="48"/>
      <c r="EO98" s="48"/>
      <c r="EP98" s="48"/>
      <c r="EQ98" s="48"/>
      <c r="ER98" s="48"/>
      <c r="ES98" s="48"/>
      <c r="ET98" s="48"/>
      <c r="EU98" s="48"/>
      <c r="EV98" s="48"/>
      <c r="EW98" s="48"/>
      <c r="EX98" s="48"/>
      <c r="EY98" s="48"/>
      <c r="EZ98" s="48"/>
      <c r="FA98" s="48"/>
      <c r="FB98" s="48"/>
      <c r="FC98" s="48"/>
      <c r="FD98" s="48"/>
      <c r="FE98" s="48"/>
      <c r="FF98" s="48"/>
      <c r="FG98" s="48"/>
      <c r="FH98" s="48"/>
      <c r="FI98" s="48"/>
      <c r="FJ98" s="48"/>
      <c r="FK98" s="48"/>
      <c r="FL98" s="48"/>
      <c r="FM98" s="48"/>
      <c r="FN98" s="48"/>
      <c r="FO98" s="48"/>
      <c r="FP98" s="48"/>
      <c r="FQ98" s="48"/>
      <c r="FR98" s="48"/>
      <c r="FS98" s="48"/>
      <c r="FT98" s="48"/>
      <c r="FU98" s="48"/>
      <c r="FV98" s="48"/>
      <c r="FW98" s="48"/>
      <c r="FX98" s="48"/>
      <c r="FY98" s="48"/>
      <c r="FZ98" s="48"/>
      <c r="GA98" s="48"/>
      <c r="GB98" s="48"/>
      <c r="GC98" s="48"/>
      <c r="GD98" s="48"/>
      <c r="GE98" s="48"/>
      <c r="GF98" s="48"/>
      <c r="GG98" s="48"/>
      <c r="GH98" s="48"/>
      <c r="GI98" s="48"/>
      <c r="GJ98" s="48"/>
      <c r="GK98" s="48"/>
      <c r="GL98" s="48"/>
      <c r="GM98" s="48"/>
      <c r="GN98" s="48"/>
      <c r="GO98" s="48"/>
      <c r="GP98" s="48"/>
      <c r="GQ98" s="48"/>
      <c r="GR98" s="48"/>
      <c r="GS98" s="48"/>
      <c r="GT98" s="48"/>
      <c r="GU98" s="48"/>
      <c r="GV98" s="48"/>
      <c r="GW98" s="48"/>
      <c r="GX98" s="48"/>
      <c r="GY98" s="48"/>
      <c r="GZ98" s="48"/>
      <c r="HA98" s="48"/>
      <c r="HB98" s="48"/>
    </row>
    <row r="99" spans="1:210" ht="15.75" customHeight="1">
      <c r="A99" s="5"/>
      <c r="B99" s="5"/>
      <c r="C99" s="5"/>
      <c r="D99" s="5"/>
      <c r="E99" s="5"/>
      <c r="F99" s="5"/>
      <c r="G99" s="49"/>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48"/>
      <c r="CQ99" s="48"/>
      <c r="CR99" s="48"/>
      <c r="CS99" s="48"/>
      <c r="CT99" s="48"/>
      <c r="CU99" s="48"/>
      <c r="CV99" s="48"/>
      <c r="CW99" s="48"/>
      <c r="CX99" s="48"/>
      <c r="CY99" s="48"/>
      <c r="CZ99" s="48"/>
      <c r="DA99" s="48"/>
      <c r="DB99" s="48"/>
      <c r="DC99" s="48"/>
      <c r="DD99" s="48"/>
      <c r="DE99" s="48"/>
      <c r="DF99" s="48"/>
      <c r="DG99" s="48"/>
      <c r="DH99" s="48"/>
      <c r="DI99" s="48"/>
      <c r="DJ99" s="48"/>
      <c r="DK99" s="48"/>
      <c r="DL99" s="48"/>
      <c r="DM99" s="48"/>
      <c r="DN99" s="48"/>
      <c r="DO99" s="48"/>
      <c r="DP99" s="48"/>
      <c r="DQ99" s="48"/>
      <c r="DR99" s="48"/>
      <c r="DS99" s="48"/>
      <c r="DT99" s="48"/>
      <c r="DU99" s="48"/>
      <c r="DV99" s="48"/>
      <c r="DW99" s="48"/>
      <c r="DX99" s="48"/>
      <c r="DY99" s="48"/>
      <c r="DZ99" s="48"/>
      <c r="EA99" s="48"/>
      <c r="EB99" s="48"/>
      <c r="EC99" s="48"/>
      <c r="ED99" s="48"/>
      <c r="EE99" s="48"/>
      <c r="EF99" s="48"/>
      <c r="EG99" s="48"/>
      <c r="EH99" s="48"/>
      <c r="EI99" s="48"/>
      <c r="EJ99" s="48"/>
      <c r="EK99" s="48"/>
      <c r="EL99" s="48"/>
      <c r="EM99" s="48"/>
      <c r="EN99" s="48"/>
      <c r="EO99" s="48"/>
      <c r="EP99" s="48"/>
      <c r="EQ99" s="48"/>
      <c r="ER99" s="48"/>
      <c r="ES99" s="48"/>
      <c r="ET99" s="48"/>
      <c r="EU99" s="48"/>
      <c r="EV99" s="48"/>
      <c r="EW99" s="48"/>
      <c r="EX99" s="48"/>
      <c r="EY99" s="48"/>
      <c r="EZ99" s="48"/>
      <c r="FA99" s="48"/>
      <c r="FB99" s="48"/>
      <c r="FC99" s="48"/>
      <c r="FD99" s="48"/>
      <c r="FE99" s="48"/>
      <c r="FF99" s="48"/>
      <c r="FG99" s="48"/>
      <c r="FH99" s="48"/>
      <c r="FI99" s="48"/>
      <c r="FJ99" s="48"/>
      <c r="FK99" s="48"/>
      <c r="FL99" s="48"/>
      <c r="FM99" s="48"/>
      <c r="FN99" s="48"/>
      <c r="FO99" s="48"/>
      <c r="FP99" s="48"/>
      <c r="FQ99" s="48"/>
      <c r="FR99" s="48"/>
      <c r="FS99" s="48"/>
      <c r="FT99" s="48"/>
      <c r="FU99" s="48"/>
      <c r="FV99" s="48"/>
      <c r="FW99" s="48"/>
      <c r="FX99" s="48"/>
      <c r="FY99" s="48"/>
      <c r="FZ99" s="48"/>
      <c r="GA99" s="48"/>
      <c r="GB99" s="48"/>
      <c r="GC99" s="48"/>
      <c r="GD99" s="48"/>
      <c r="GE99" s="48"/>
      <c r="GF99" s="48"/>
      <c r="GG99" s="48"/>
      <c r="GH99" s="48"/>
      <c r="GI99" s="48"/>
      <c r="GJ99" s="48"/>
      <c r="GK99" s="48"/>
      <c r="GL99" s="48"/>
      <c r="GM99" s="48"/>
      <c r="GN99" s="48"/>
      <c r="GO99" s="48"/>
      <c r="GP99" s="48"/>
      <c r="GQ99" s="48"/>
      <c r="GR99" s="48"/>
      <c r="GS99" s="48"/>
      <c r="GT99" s="48"/>
      <c r="GU99" s="48"/>
      <c r="GV99" s="48"/>
      <c r="GW99" s="48"/>
      <c r="GX99" s="48"/>
      <c r="GY99" s="48"/>
      <c r="GZ99" s="48"/>
      <c r="HA99" s="48"/>
      <c r="HB99" s="48"/>
    </row>
    <row r="100" spans="1:210" ht="15.75" customHeight="1">
      <c r="A100" s="5"/>
      <c r="B100" s="5"/>
      <c r="C100" s="5"/>
      <c r="D100" s="5"/>
      <c r="E100" s="5"/>
      <c r="F100" s="5"/>
      <c r="G100" s="49"/>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48"/>
      <c r="CQ100" s="48"/>
      <c r="CR100" s="48"/>
      <c r="CS100" s="48"/>
      <c r="CT100" s="48"/>
      <c r="CU100" s="48"/>
      <c r="CV100" s="48"/>
      <c r="CW100" s="48"/>
      <c r="CX100" s="48"/>
      <c r="CY100" s="48"/>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c r="DX100" s="48"/>
      <c r="DY100" s="48"/>
      <c r="DZ100" s="48"/>
      <c r="EA100" s="48"/>
      <c r="EB100" s="48"/>
      <c r="EC100" s="48"/>
      <c r="ED100" s="48"/>
      <c r="EE100" s="48"/>
      <c r="EF100" s="48"/>
      <c r="EG100" s="48"/>
      <c r="EH100" s="48"/>
      <c r="EI100" s="48"/>
      <c r="EJ100" s="48"/>
      <c r="EK100" s="48"/>
      <c r="EL100" s="48"/>
      <c r="EM100" s="48"/>
      <c r="EN100" s="48"/>
      <c r="EO100" s="48"/>
      <c r="EP100" s="48"/>
      <c r="EQ100" s="48"/>
      <c r="ER100" s="48"/>
      <c r="ES100" s="48"/>
      <c r="ET100" s="48"/>
      <c r="EU100" s="48"/>
      <c r="EV100" s="48"/>
      <c r="EW100" s="48"/>
      <c r="EX100" s="48"/>
      <c r="EY100" s="48"/>
      <c r="EZ100" s="48"/>
      <c r="FA100" s="48"/>
      <c r="FB100" s="48"/>
      <c r="FC100" s="48"/>
      <c r="FD100" s="48"/>
      <c r="FE100" s="48"/>
      <c r="FF100" s="48"/>
      <c r="FG100" s="48"/>
      <c r="FH100" s="48"/>
      <c r="FI100" s="48"/>
      <c r="FJ100" s="48"/>
      <c r="FK100" s="48"/>
      <c r="FL100" s="48"/>
      <c r="FM100" s="48"/>
      <c r="FN100" s="48"/>
      <c r="FO100" s="48"/>
      <c r="FP100" s="48"/>
      <c r="FQ100" s="48"/>
      <c r="FR100" s="48"/>
      <c r="FS100" s="48"/>
      <c r="FT100" s="48"/>
      <c r="FU100" s="48"/>
      <c r="FV100" s="48"/>
      <c r="FW100" s="48"/>
      <c r="FX100" s="48"/>
      <c r="FY100" s="48"/>
      <c r="FZ100" s="48"/>
      <c r="GA100" s="48"/>
      <c r="GB100" s="48"/>
      <c r="GC100" s="48"/>
      <c r="GD100" s="48"/>
      <c r="GE100" s="48"/>
      <c r="GF100" s="48"/>
      <c r="GG100" s="48"/>
      <c r="GH100" s="48"/>
      <c r="GI100" s="48"/>
      <c r="GJ100" s="48"/>
      <c r="GK100" s="48"/>
      <c r="GL100" s="48"/>
      <c r="GM100" s="48"/>
      <c r="GN100" s="48"/>
      <c r="GO100" s="48"/>
      <c r="GP100" s="48"/>
      <c r="GQ100" s="48"/>
      <c r="GR100" s="48"/>
      <c r="GS100" s="48"/>
      <c r="GT100" s="48"/>
      <c r="GU100" s="48"/>
      <c r="GV100" s="48"/>
      <c r="GW100" s="48"/>
      <c r="GX100" s="48"/>
      <c r="GY100" s="48"/>
      <c r="GZ100" s="48"/>
      <c r="HA100" s="48"/>
      <c r="HB100" s="48"/>
    </row>
    <row r="101" spans="1:210" ht="15.75" customHeight="1">
      <c r="A101" s="5"/>
      <c r="B101" s="5"/>
      <c r="C101" s="5"/>
      <c r="D101" s="5"/>
      <c r="E101" s="5"/>
      <c r="F101" s="5"/>
      <c r="G101" s="49"/>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48"/>
      <c r="CQ101" s="48"/>
      <c r="CR101" s="48"/>
      <c r="CS101" s="48"/>
      <c r="CT101" s="48"/>
      <c r="CU101" s="48"/>
      <c r="CV101" s="48"/>
      <c r="CW101" s="48"/>
      <c r="CX101" s="48"/>
      <c r="CY101" s="48"/>
      <c r="CZ101" s="48"/>
      <c r="DA101" s="48"/>
      <c r="DB101" s="48"/>
      <c r="DC101" s="48"/>
      <c r="DD101" s="48"/>
      <c r="DE101" s="48"/>
      <c r="DF101" s="48"/>
      <c r="DG101" s="48"/>
      <c r="DH101" s="48"/>
      <c r="DI101" s="48"/>
      <c r="DJ101" s="48"/>
      <c r="DK101" s="48"/>
      <c r="DL101" s="48"/>
      <c r="DM101" s="48"/>
      <c r="DN101" s="48"/>
      <c r="DO101" s="48"/>
      <c r="DP101" s="48"/>
      <c r="DQ101" s="48"/>
      <c r="DR101" s="48"/>
      <c r="DS101" s="48"/>
      <c r="DT101" s="48"/>
      <c r="DU101" s="48"/>
      <c r="DV101" s="48"/>
      <c r="DW101" s="48"/>
      <c r="DX101" s="48"/>
      <c r="DY101" s="48"/>
      <c r="DZ101" s="48"/>
      <c r="EA101" s="48"/>
      <c r="EB101" s="48"/>
      <c r="EC101" s="48"/>
      <c r="ED101" s="48"/>
      <c r="EE101" s="48"/>
      <c r="EF101" s="48"/>
      <c r="EG101" s="48"/>
      <c r="EH101" s="48"/>
      <c r="EI101" s="48"/>
      <c r="EJ101" s="48"/>
      <c r="EK101" s="48"/>
      <c r="EL101" s="48"/>
      <c r="EM101" s="48"/>
      <c r="EN101" s="48"/>
      <c r="EO101" s="48"/>
      <c r="EP101" s="48"/>
      <c r="EQ101" s="48"/>
      <c r="ER101" s="48"/>
      <c r="ES101" s="48"/>
      <c r="ET101" s="48"/>
      <c r="EU101" s="48"/>
      <c r="EV101" s="48"/>
      <c r="EW101" s="48"/>
      <c r="EX101" s="48"/>
      <c r="EY101" s="48"/>
      <c r="EZ101" s="48"/>
      <c r="FA101" s="48"/>
      <c r="FB101" s="48"/>
      <c r="FC101" s="48"/>
      <c r="FD101" s="48"/>
      <c r="FE101" s="48"/>
      <c r="FF101" s="48"/>
      <c r="FG101" s="48"/>
      <c r="FH101" s="48"/>
      <c r="FI101" s="48"/>
      <c r="FJ101" s="48"/>
      <c r="FK101" s="48"/>
      <c r="FL101" s="48"/>
      <c r="FM101" s="48"/>
      <c r="FN101" s="48"/>
      <c r="FO101" s="48"/>
      <c r="FP101" s="48"/>
      <c r="FQ101" s="48"/>
      <c r="FR101" s="48"/>
      <c r="FS101" s="48"/>
      <c r="FT101" s="48"/>
      <c r="FU101" s="48"/>
      <c r="FV101" s="48"/>
      <c r="FW101" s="48"/>
      <c r="FX101" s="48"/>
      <c r="FY101" s="48"/>
      <c r="FZ101" s="48"/>
      <c r="GA101" s="48"/>
      <c r="GB101" s="48"/>
      <c r="GC101" s="48"/>
      <c r="GD101" s="48"/>
      <c r="GE101" s="48"/>
      <c r="GF101" s="48"/>
      <c r="GG101" s="48"/>
      <c r="GH101" s="48"/>
      <c r="GI101" s="48"/>
      <c r="GJ101" s="48"/>
      <c r="GK101" s="48"/>
      <c r="GL101" s="48"/>
      <c r="GM101" s="48"/>
      <c r="GN101" s="48"/>
      <c r="GO101" s="48"/>
      <c r="GP101" s="48"/>
      <c r="GQ101" s="48"/>
      <c r="GR101" s="48"/>
      <c r="GS101" s="48"/>
      <c r="GT101" s="48"/>
      <c r="GU101" s="48"/>
      <c r="GV101" s="48"/>
      <c r="GW101" s="48"/>
      <c r="GX101" s="48"/>
      <c r="GY101" s="48"/>
      <c r="GZ101" s="48"/>
      <c r="HA101" s="48"/>
      <c r="HB101" s="48"/>
    </row>
    <row r="102" spans="1:210" ht="15.75" customHeight="1">
      <c r="A102" s="5"/>
      <c r="B102" s="5"/>
      <c r="C102" s="5"/>
      <c r="D102" s="5"/>
      <c r="E102" s="5"/>
      <c r="F102" s="5"/>
      <c r="G102" s="49"/>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48"/>
      <c r="CQ102" s="48"/>
      <c r="CR102" s="48"/>
      <c r="CS102" s="48"/>
      <c r="CT102" s="48"/>
      <c r="CU102" s="48"/>
      <c r="CV102" s="48"/>
      <c r="CW102" s="48"/>
      <c r="CX102" s="48"/>
      <c r="CY102" s="48"/>
      <c r="CZ102" s="48"/>
      <c r="DA102" s="48"/>
      <c r="DB102" s="48"/>
      <c r="DC102" s="48"/>
      <c r="DD102" s="48"/>
      <c r="DE102" s="48"/>
      <c r="DF102" s="48"/>
      <c r="DG102" s="48"/>
      <c r="DH102" s="48"/>
      <c r="DI102" s="48"/>
      <c r="DJ102" s="48"/>
      <c r="DK102" s="48"/>
      <c r="DL102" s="48"/>
      <c r="DM102" s="48"/>
      <c r="DN102" s="48"/>
      <c r="DO102" s="48"/>
      <c r="DP102" s="48"/>
      <c r="DQ102" s="48"/>
      <c r="DR102" s="48"/>
      <c r="DS102" s="48"/>
      <c r="DT102" s="48"/>
      <c r="DU102" s="48"/>
      <c r="DV102" s="48"/>
      <c r="DW102" s="48"/>
      <c r="DX102" s="48"/>
      <c r="DY102" s="48"/>
      <c r="DZ102" s="48"/>
      <c r="EA102" s="48"/>
      <c r="EB102" s="48"/>
      <c r="EC102" s="48"/>
      <c r="ED102" s="48"/>
      <c r="EE102" s="48"/>
      <c r="EF102" s="48"/>
      <c r="EG102" s="48"/>
      <c r="EH102" s="48"/>
      <c r="EI102" s="48"/>
      <c r="EJ102" s="48"/>
      <c r="EK102" s="48"/>
      <c r="EL102" s="48"/>
      <c r="EM102" s="48"/>
      <c r="EN102" s="48"/>
      <c r="EO102" s="48"/>
      <c r="EP102" s="48"/>
      <c r="EQ102" s="48"/>
      <c r="ER102" s="48"/>
      <c r="ES102" s="48"/>
      <c r="ET102" s="48"/>
      <c r="EU102" s="48"/>
      <c r="EV102" s="48"/>
      <c r="EW102" s="48"/>
      <c r="EX102" s="48"/>
      <c r="EY102" s="48"/>
      <c r="EZ102" s="48"/>
      <c r="FA102" s="48"/>
      <c r="FB102" s="48"/>
      <c r="FC102" s="48"/>
      <c r="FD102" s="48"/>
      <c r="FE102" s="48"/>
      <c r="FF102" s="48"/>
      <c r="FG102" s="48"/>
      <c r="FH102" s="48"/>
      <c r="FI102" s="48"/>
      <c r="FJ102" s="48"/>
      <c r="FK102" s="48"/>
      <c r="FL102" s="48"/>
      <c r="FM102" s="48"/>
      <c r="FN102" s="48"/>
      <c r="FO102" s="48"/>
      <c r="FP102" s="48"/>
      <c r="FQ102" s="48"/>
      <c r="FR102" s="48"/>
      <c r="FS102" s="48"/>
      <c r="FT102" s="48"/>
      <c r="FU102" s="48"/>
      <c r="FV102" s="48"/>
      <c r="FW102" s="48"/>
      <c r="FX102" s="48"/>
      <c r="FY102" s="48"/>
      <c r="FZ102" s="48"/>
      <c r="GA102" s="48"/>
      <c r="GB102" s="48"/>
      <c r="GC102" s="48"/>
      <c r="GD102" s="48"/>
      <c r="GE102" s="48"/>
      <c r="GF102" s="48"/>
      <c r="GG102" s="48"/>
      <c r="GH102" s="48"/>
      <c r="GI102" s="48"/>
      <c r="GJ102" s="48"/>
      <c r="GK102" s="48"/>
      <c r="GL102" s="48"/>
      <c r="GM102" s="48"/>
      <c r="GN102" s="48"/>
      <c r="GO102" s="48"/>
      <c r="GP102" s="48"/>
      <c r="GQ102" s="48"/>
      <c r="GR102" s="48"/>
      <c r="GS102" s="48"/>
      <c r="GT102" s="48"/>
      <c r="GU102" s="48"/>
      <c r="GV102" s="48"/>
      <c r="GW102" s="48"/>
      <c r="GX102" s="48"/>
      <c r="GY102" s="48"/>
      <c r="GZ102" s="48"/>
      <c r="HA102" s="48"/>
      <c r="HB102" s="48"/>
    </row>
    <row r="103" spans="1:210" ht="15.75" customHeight="1">
      <c r="A103" s="5"/>
      <c r="B103" s="5"/>
      <c r="C103" s="5"/>
      <c r="D103" s="5"/>
      <c r="E103" s="5"/>
      <c r="F103" s="5"/>
      <c r="G103" s="49"/>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48"/>
      <c r="CQ103" s="48"/>
      <c r="CR103" s="48"/>
      <c r="CS103" s="48"/>
      <c r="CT103" s="48"/>
      <c r="CU103" s="48"/>
      <c r="CV103" s="48"/>
      <c r="CW103" s="48"/>
      <c r="CX103" s="48"/>
      <c r="CY103" s="48"/>
      <c r="CZ103" s="48"/>
      <c r="DA103" s="48"/>
      <c r="DB103" s="48"/>
      <c r="DC103" s="48"/>
      <c r="DD103" s="48"/>
      <c r="DE103" s="48"/>
      <c r="DF103" s="48"/>
      <c r="DG103" s="48"/>
      <c r="DH103" s="48"/>
      <c r="DI103" s="48"/>
      <c r="DJ103" s="48"/>
      <c r="DK103" s="48"/>
      <c r="DL103" s="48"/>
      <c r="DM103" s="48"/>
      <c r="DN103" s="48"/>
      <c r="DO103" s="48"/>
      <c r="DP103" s="48"/>
      <c r="DQ103" s="48"/>
      <c r="DR103" s="48"/>
      <c r="DS103" s="48"/>
      <c r="DT103" s="48"/>
      <c r="DU103" s="48"/>
      <c r="DV103" s="48"/>
      <c r="DW103" s="48"/>
      <c r="DX103" s="48"/>
      <c r="DY103" s="48"/>
      <c r="DZ103" s="48"/>
      <c r="EA103" s="48"/>
      <c r="EB103" s="48"/>
      <c r="EC103" s="48"/>
      <c r="ED103" s="48"/>
      <c r="EE103" s="48"/>
      <c r="EF103" s="48"/>
      <c r="EG103" s="48"/>
      <c r="EH103" s="48"/>
      <c r="EI103" s="48"/>
      <c r="EJ103" s="48"/>
      <c r="EK103" s="48"/>
      <c r="EL103" s="48"/>
      <c r="EM103" s="48"/>
      <c r="EN103" s="48"/>
      <c r="EO103" s="48"/>
      <c r="EP103" s="48"/>
      <c r="EQ103" s="48"/>
      <c r="ER103" s="48"/>
      <c r="ES103" s="48"/>
      <c r="ET103" s="48"/>
      <c r="EU103" s="48"/>
      <c r="EV103" s="48"/>
      <c r="EW103" s="48"/>
      <c r="EX103" s="48"/>
      <c r="EY103" s="48"/>
      <c r="EZ103" s="48"/>
      <c r="FA103" s="48"/>
      <c r="FB103" s="48"/>
      <c r="FC103" s="48"/>
      <c r="FD103" s="48"/>
      <c r="FE103" s="48"/>
      <c r="FF103" s="48"/>
      <c r="FG103" s="48"/>
      <c r="FH103" s="48"/>
      <c r="FI103" s="48"/>
      <c r="FJ103" s="48"/>
      <c r="FK103" s="48"/>
      <c r="FL103" s="48"/>
      <c r="FM103" s="48"/>
      <c r="FN103" s="48"/>
      <c r="FO103" s="48"/>
      <c r="FP103" s="48"/>
      <c r="FQ103" s="48"/>
      <c r="FR103" s="48"/>
      <c r="FS103" s="48"/>
      <c r="FT103" s="48"/>
      <c r="FU103" s="48"/>
      <c r="FV103" s="48"/>
      <c r="FW103" s="48"/>
      <c r="FX103" s="48"/>
      <c r="FY103" s="48"/>
      <c r="FZ103" s="48"/>
      <c r="GA103" s="48"/>
      <c r="GB103" s="48"/>
      <c r="GC103" s="48"/>
      <c r="GD103" s="48"/>
      <c r="GE103" s="48"/>
      <c r="GF103" s="48"/>
      <c r="GG103" s="48"/>
      <c r="GH103" s="48"/>
      <c r="GI103" s="48"/>
      <c r="GJ103" s="48"/>
      <c r="GK103" s="48"/>
      <c r="GL103" s="48"/>
      <c r="GM103" s="48"/>
      <c r="GN103" s="48"/>
      <c r="GO103" s="48"/>
      <c r="GP103" s="48"/>
      <c r="GQ103" s="48"/>
      <c r="GR103" s="48"/>
      <c r="GS103" s="48"/>
      <c r="GT103" s="48"/>
      <c r="GU103" s="48"/>
      <c r="GV103" s="48"/>
      <c r="GW103" s="48"/>
      <c r="GX103" s="48"/>
      <c r="GY103" s="48"/>
      <c r="GZ103" s="48"/>
      <c r="HA103" s="48"/>
      <c r="HB103" s="48"/>
    </row>
    <row r="104" spans="1:210" ht="15.75" customHeight="1">
      <c r="A104" s="5"/>
      <c r="B104" s="5"/>
      <c r="C104" s="5"/>
      <c r="D104" s="5"/>
      <c r="E104" s="5"/>
      <c r="F104" s="5"/>
      <c r="G104" s="49"/>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48"/>
      <c r="CQ104" s="48"/>
      <c r="CR104" s="48"/>
      <c r="CS104" s="48"/>
      <c r="CT104" s="48"/>
      <c r="CU104" s="48"/>
      <c r="CV104" s="48"/>
      <c r="CW104" s="48"/>
      <c r="CX104" s="48"/>
      <c r="CY104" s="48"/>
      <c r="CZ104" s="48"/>
      <c r="DA104" s="48"/>
      <c r="DB104" s="48"/>
      <c r="DC104" s="48"/>
      <c r="DD104" s="48"/>
      <c r="DE104" s="48"/>
      <c r="DF104" s="48"/>
      <c r="DG104" s="48"/>
      <c r="DH104" s="48"/>
      <c r="DI104" s="48"/>
      <c r="DJ104" s="48"/>
      <c r="DK104" s="48"/>
      <c r="DL104" s="48"/>
      <c r="DM104" s="48"/>
      <c r="DN104" s="48"/>
      <c r="DO104" s="48"/>
      <c r="DP104" s="48"/>
      <c r="DQ104" s="48"/>
      <c r="DR104" s="48"/>
      <c r="DS104" s="48"/>
      <c r="DT104" s="48"/>
      <c r="DU104" s="48"/>
      <c r="DV104" s="48"/>
      <c r="DW104" s="48"/>
      <c r="DX104" s="48"/>
      <c r="DY104" s="48"/>
      <c r="DZ104" s="48"/>
      <c r="EA104" s="48"/>
      <c r="EB104" s="48"/>
      <c r="EC104" s="48"/>
      <c r="ED104" s="48"/>
      <c r="EE104" s="48"/>
      <c r="EF104" s="48"/>
      <c r="EG104" s="48"/>
      <c r="EH104" s="48"/>
      <c r="EI104" s="48"/>
      <c r="EJ104" s="48"/>
      <c r="EK104" s="48"/>
      <c r="EL104" s="48"/>
      <c r="EM104" s="48"/>
      <c r="EN104" s="48"/>
      <c r="EO104" s="48"/>
      <c r="EP104" s="48"/>
      <c r="EQ104" s="48"/>
      <c r="ER104" s="48"/>
      <c r="ES104" s="48"/>
      <c r="ET104" s="48"/>
      <c r="EU104" s="48"/>
      <c r="EV104" s="48"/>
      <c r="EW104" s="48"/>
      <c r="EX104" s="48"/>
      <c r="EY104" s="48"/>
      <c r="EZ104" s="48"/>
      <c r="FA104" s="48"/>
      <c r="FB104" s="48"/>
      <c r="FC104" s="48"/>
      <c r="FD104" s="48"/>
      <c r="FE104" s="48"/>
      <c r="FF104" s="48"/>
      <c r="FG104" s="48"/>
      <c r="FH104" s="48"/>
      <c r="FI104" s="48"/>
      <c r="FJ104" s="48"/>
      <c r="FK104" s="48"/>
      <c r="FL104" s="48"/>
      <c r="FM104" s="48"/>
      <c r="FN104" s="48"/>
      <c r="FO104" s="48"/>
      <c r="FP104" s="48"/>
      <c r="FQ104" s="48"/>
      <c r="FR104" s="48"/>
      <c r="FS104" s="48"/>
      <c r="FT104" s="48"/>
      <c r="FU104" s="48"/>
      <c r="FV104" s="48"/>
      <c r="FW104" s="48"/>
      <c r="FX104" s="48"/>
      <c r="FY104" s="48"/>
      <c r="FZ104" s="48"/>
      <c r="GA104" s="48"/>
      <c r="GB104" s="48"/>
      <c r="GC104" s="48"/>
      <c r="GD104" s="48"/>
      <c r="GE104" s="48"/>
      <c r="GF104" s="48"/>
      <c r="GG104" s="48"/>
      <c r="GH104" s="48"/>
      <c r="GI104" s="48"/>
      <c r="GJ104" s="48"/>
      <c r="GK104" s="48"/>
      <c r="GL104" s="48"/>
      <c r="GM104" s="48"/>
      <c r="GN104" s="48"/>
      <c r="GO104" s="48"/>
      <c r="GP104" s="48"/>
      <c r="GQ104" s="48"/>
      <c r="GR104" s="48"/>
      <c r="GS104" s="48"/>
      <c r="GT104" s="48"/>
      <c r="GU104" s="48"/>
      <c r="GV104" s="48"/>
      <c r="GW104" s="48"/>
      <c r="GX104" s="48"/>
      <c r="GY104" s="48"/>
      <c r="GZ104" s="48"/>
      <c r="HA104" s="48"/>
      <c r="HB104" s="48"/>
    </row>
    <row r="105" spans="1:210" ht="15.75" customHeight="1">
      <c r="A105" s="5"/>
      <c r="B105" s="5"/>
      <c r="C105" s="5"/>
      <c r="D105" s="5"/>
      <c r="E105" s="5"/>
      <c r="F105" s="5"/>
      <c r="G105" s="49"/>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48"/>
      <c r="CQ105" s="48"/>
      <c r="CR105" s="48"/>
      <c r="CS105" s="48"/>
      <c r="CT105" s="48"/>
      <c r="CU105" s="48"/>
      <c r="CV105" s="48"/>
      <c r="CW105" s="48"/>
      <c r="CX105" s="48"/>
      <c r="CY105" s="48"/>
      <c r="CZ105" s="48"/>
      <c r="DA105" s="48"/>
      <c r="DB105" s="48"/>
      <c r="DC105" s="48"/>
      <c r="DD105" s="48"/>
      <c r="DE105" s="48"/>
      <c r="DF105" s="48"/>
      <c r="DG105" s="48"/>
      <c r="DH105" s="48"/>
      <c r="DI105" s="48"/>
      <c r="DJ105" s="48"/>
      <c r="DK105" s="48"/>
      <c r="DL105" s="48"/>
      <c r="DM105" s="48"/>
      <c r="DN105" s="48"/>
      <c r="DO105" s="48"/>
      <c r="DP105" s="48"/>
      <c r="DQ105" s="48"/>
      <c r="DR105" s="48"/>
      <c r="DS105" s="48"/>
      <c r="DT105" s="48"/>
      <c r="DU105" s="48"/>
      <c r="DV105" s="48"/>
      <c r="DW105" s="48"/>
      <c r="DX105" s="48"/>
      <c r="DY105" s="48"/>
      <c r="DZ105" s="48"/>
      <c r="EA105" s="48"/>
      <c r="EB105" s="48"/>
      <c r="EC105" s="48"/>
      <c r="ED105" s="48"/>
      <c r="EE105" s="48"/>
      <c r="EF105" s="48"/>
      <c r="EG105" s="48"/>
      <c r="EH105" s="48"/>
      <c r="EI105" s="48"/>
      <c r="EJ105" s="48"/>
      <c r="EK105" s="48"/>
      <c r="EL105" s="48"/>
      <c r="EM105" s="48"/>
      <c r="EN105" s="48"/>
      <c r="EO105" s="48"/>
      <c r="EP105" s="48"/>
      <c r="EQ105" s="48"/>
      <c r="ER105" s="48"/>
      <c r="ES105" s="48"/>
      <c r="ET105" s="48"/>
      <c r="EU105" s="48"/>
      <c r="EV105" s="48"/>
      <c r="EW105" s="48"/>
      <c r="EX105" s="48"/>
      <c r="EY105" s="48"/>
      <c r="EZ105" s="48"/>
      <c r="FA105" s="48"/>
      <c r="FB105" s="48"/>
      <c r="FC105" s="48"/>
      <c r="FD105" s="48"/>
      <c r="FE105" s="48"/>
      <c r="FF105" s="48"/>
      <c r="FG105" s="48"/>
      <c r="FH105" s="48"/>
      <c r="FI105" s="48"/>
      <c r="FJ105" s="48"/>
      <c r="FK105" s="48"/>
      <c r="FL105" s="48"/>
      <c r="FM105" s="48"/>
      <c r="FN105" s="48"/>
      <c r="FO105" s="48"/>
      <c r="FP105" s="48"/>
      <c r="FQ105" s="48"/>
      <c r="FR105" s="48"/>
      <c r="FS105" s="48"/>
      <c r="FT105" s="48"/>
      <c r="FU105" s="48"/>
      <c r="FV105" s="48"/>
      <c r="FW105" s="48"/>
      <c r="FX105" s="48"/>
      <c r="FY105" s="48"/>
      <c r="FZ105" s="48"/>
      <c r="GA105" s="48"/>
      <c r="GB105" s="48"/>
      <c r="GC105" s="48"/>
      <c r="GD105" s="48"/>
      <c r="GE105" s="48"/>
      <c r="GF105" s="48"/>
      <c r="GG105" s="48"/>
      <c r="GH105" s="48"/>
      <c r="GI105" s="48"/>
      <c r="GJ105" s="48"/>
      <c r="GK105" s="48"/>
      <c r="GL105" s="48"/>
      <c r="GM105" s="48"/>
      <c r="GN105" s="48"/>
      <c r="GO105" s="48"/>
      <c r="GP105" s="48"/>
      <c r="GQ105" s="48"/>
      <c r="GR105" s="48"/>
      <c r="GS105" s="48"/>
      <c r="GT105" s="48"/>
      <c r="GU105" s="48"/>
      <c r="GV105" s="48"/>
      <c r="GW105" s="48"/>
      <c r="GX105" s="48"/>
      <c r="GY105" s="48"/>
      <c r="GZ105" s="48"/>
      <c r="HA105" s="48"/>
      <c r="HB105" s="48"/>
    </row>
    <row r="106" spans="1:210" ht="15.75" customHeight="1">
      <c r="A106" s="5"/>
      <c r="B106" s="5"/>
      <c r="C106" s="5"/>
      <c r="D106" s="5"/>
      <c r="E106" s="5"/>
      <c r="F106" s="5"/>
      <c r="G106" s="49"/>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48"/>
      <c r="CQ106" s="48"/>
      <c r="CR106" s="48"/>
      <c r="CS106" s="48"/>
      <c r="CT106" s="48"/>
      <c r="CU106" s="48"/>
      <c r="CV106" s="48"/>
      <c r="CW106" s="48"/>
      <c r="CX106" s="48"/>
      <c r="CY106" s="48"/>
      <c r="CZ106" s="48"/>
      <c r="DA106" s="48"/>
      <c r="DB106" s="48"/>
      <c r="DC106" s="48"/>
      <c r="DD106" s="48"/>
      <c r="DE106" s="48"/>
      <c r="DF106" s="48"/>
      <c r="DG106" s="48"/>
      <c r="DH106" s="48"/>
      <c r="DI106" s="48"/>
      <c r="DJ106" s="48"/>
      <c r="DK106" s="48"/>
      <c r="DL106" s="48"/>
      <c r="DM106" s="48"/>
      <c r="DN106" s="48"/>
      <c r="DO106" s="48"/>
      <c r="DP106" s="48"/>
      <c r="DQ106" s="48"/>
      <c r="DR106" s="48"/>
      <c r="DS106" s="48"/>
      <c r="DT106" s="48"/>
      <c r="DU106" s="48"/>
      <c r="DV106" s="48"/>
      <c r="DW106" s="48"/>
      <c r="DX106" s="48"/>
      <c r="DY106" s="48"/>
      <c r="DZ106" s="48"/>
      <c r="EA106" s="48"/>
      <c r="EB106" s="48"/>
      <c r="EC106" s="48"/>
      <c r="ED106" s="48"/>
      <c r="EE106" s="48"/>
      <c r="EF106" s="48"/>
      <c r="EG106" s="48"/>
      <c r="EH106" s="48"/>
      <c r="EI106" s="48"/>
      <c r="EJ106" s="48"/>
      <c r="EK106" s="48"/>
      <c r="EL106" s="48"/>
      <c r="EM106" s="48"/>
      <c r="EN106" s="48"/>
      <c r="EO106" s="48"/>
      <c r="EP106" s="48"/>
      <c r="EQ106" s="48"/>
      <c r="ER106" s="48"/>
      <c r="ES106" s="48"/>
      <c r="ET106" s="48"/>
      <c r="EU106" s="48"/>
      <c r="EV106" s="48"/>
      <c r="EW106" s="48"/>
      <c r="EX106" s="48"/>
      <c r="EY106" s="48"/>
      <c r="EZ106" s="48"/>
      <c r="FA106" s="48"/>
      <c r="FB106" s="48"/>
      <c r="FC106" s="48"/>
      <c r="FD106" s="48"/>
      <c r="FE106" s="48"/>
      <c r="FF106" s="48"/>
      <c r="FG106" s="48"/>
      <c r="FH106" s="48"/>
      <c r="FI106" s="48"/>
      <c r="FJ106" s="48"/>
      <c r="FK106" s="48"/>
      <c r="FL106" s="48"/>
      <c r="FM106" s="48"/>
      <c r="FN106" s="48"/>
      <c r="FO106" s="48"/>
      <c r="FP106" s="48"/>
      <c r="FQ106" s="48"/>
      <c r="FR106" s="48"/>
      <c r="FS106" s="48"/>
      <c r="FT106" s="48"/>
      <c r="FU106" s="48"/>
      <c r="FV106" s="48"/>
      <c r="FW106" s="48"/>
      <c r="FX106" s="48"/>
      <c r="FY106" s="48"/>
      <c r="FZ106" s="48"/>
      <c r="GA106" s="48"/>
      <c r="GB106" s="48"/>
      <c r="GC106" s="48"/>
      <c r="GD106" s="48"/>
      <c r="GE106" s="48"/>
      <c r="GF106" s="48"/>
      <c r="GG106" s="48"/>
      <c r="GH106" s="48"/>
      <c r="GI106" s="48"/>
      <c r="GJ106" s="48"/>
      <c r="GK106" s="48"/>
      <c r="GL106" s="48"/>
      <c r="GM106" s="48"/>
      <c r="GN106" s="48"/>
      <c r="GO106" s="48"/>
      <c r="GP106" s="48"/>
      <c r="GQ106" s="48"/>
      <c r="GR106" s="48"/>
      <c r="GS106" s="48"/>
      <c r="GT106" s="48"/>
      <c r="GU106" s="48"/>
      <c r="GV106" s="48"/>
      <c r="GW106" s="48"/>
      <c r="GX106" s="48"/>
      <c r="GY106" s="48"/>
      <c r="GZ106" s="48"/>
      <c r="HA106" s="48"/>
      <c r="HB106" s="48"/>
    </row>
    <row r="107" spans="1:210" ht="15.75" customHeight="1">
      <c r="A107" s="5"/>
      <c r="B107" s="5"/>
      <c r="C107" s="5"/>
      <c r="D107" s="5"/>
      <c r="E107" s="5"/>
      <c r="F107" s="5"/>
      <c r="G107" s="49"/>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48"/>
      <c r="CQ107" s="48"/>
      <c r="CR107" s="48"/>
      <c r="CS107" s="48"/>
      <c r="CT107" s="48"/>
      <c r="CU107" s="48"/>
      <c r="CV107" s="48"/>
      <c r="CW107" s="48"/>
      <c r="CX107" s="48"/>
      <c r="CY107" s="48"/>
      <c r="CZ107" s="48"/>
      <c r="DA107" s="48"/>
      <c r="DB107" s="48"/>
      <c r="DC107" s="48"/>
      <c r="DD107" s="48"/>
      <c r="DE107" s="48"/>
      <c r="DF107" s="48"/>
      <c r="DG107" s="48"/>
      <c r="DH107" s="48"/>
      <c r="DI107" s="48"/>
      <c r="DJ107" s="48"/>
      <c r="DK107" s="48"/>
      <c r="DL107" s="48"/>
      <c r="DM107" s="48"/>
      <c r="DN107" s="48"/>
      <c r="DO107" s="48"/>
      <c r="DP107" s="48"/>
      <c r="DQ107" s="48"/>
      <c r="DR107" s="48"/>
      <c r="DS107" s="48"/>
      <c r="DT107" s="48"/>
      <c r="DU107" s="48"/>
      <c r="DV107" s="48"/>
      <c r="DW107" s="48"/>
      <c r="DX107" s="48"/>
      <c r="DY107" s="48"/>
      <c r="DZ107" s="48"/>
      <c r="EA107" s="48"/>
      <c r="EB107" s="48"/>
      <c r="EC107" s="48"/>
      <c r="ED107" s="48"/>
      <c r="EE107" s="48"/>
      <c r="EF107" s="48"/>
      <c r="EG107" s="48"/>
      <c r="EH107" s="48"/>
      <c r="EI107" s="48"/>
      <c r="EJ107" s="48"/>
      <c r="EK107" s="48"/>
      <c r="EL107" s="48"/>
      <c r="EM107" s="48"/>
      <c r="EN107" s="48"/>
      <c r="EO107" s="48"/>
      <c r="EP107" s="48"/>
      <c r="EQ107" s="48"/>
      <c r="ER107" s="48"/>
      <c r="ES107" s="48"/>
      <c r="ET107" s="48"/>
      <c r="EU107" s="48"/>
      <c r="EV107" s="48"/>
      <c r="EW107" s="48"/>
      <c r="EX107" s="48"/>
      <c r="EY107" s="48"/>
      <c r="EZ107" s="48"/>
      <c r="FA107" s="48"/>
      <c r="FB107" s="48"/>
      <c r="FC107" s="48"/>
      <c r="FD107" s="48"/>
      <c r="FE107" s="48"/>
      <c r="FF107" s="48"/>
      <c r="FG107" s="48"/>
      <c r="FH107" s="48"/>
      <c r="FI107" s="48"/>
      <c r="FJ107" s="48"/>
      <c r="FK107" s="48"/>
      <c r="FL107" s="48"/>
      <c r="FM107" s="48"/>
      <c r="FN107" s="48"/>
      <c r="FO107" s="48"/>
      <c r="FP107" s="48"/>
      <c r="FQ107" s="48"/>
      <c r="FR107" s="48"/>
      <c r="FS107" s="48"/>
      <c r="FT107" s="48"/>
      <c r="FU107" s="48"/>
      <c r="FV107" s="48"/>
      <c r="FW107" s="48"/>
      <c r="FX107" s="48"/>
      <c r="FY107" s="48"/>
      <c r="FZ107" s="48"/>
      <c r="GA107" s="48"/>
      <c r="GB107" s="48"/>
      <c r="GC107" s="48"/>
      <c r="GD107" s="48"/>
      <c r="GE107" s="48"/>
      <c r="GF107" s="48"/>
      <c r="GG107" s="48"/>
      <c r="GH107" s="48"/>
      <c r="GI107" s="48"/>
      <c r="GJ107" s="48"/>
      <c r="GK107" s="48"/>
      <c r="GL107" s="48"/>
      <c r="GM107" s="48"/>
      <c r="GN107" s="48"/>
      <c r="GO107" s="48"/>
      <c r="GP107" s="48"/>
      <c r="GQ107" s="48"/>
      <c r="GR107" s="48"/>
      <c r="GS107" s="48"/>
      <c r="GT107" s="48"/>
      <c r="GU107" s="48"/>
      <c r="GV107" s="48"/>
      <c r="GW107" s="48"/>
      <c r="GX107" s="48"/>
      <c r="GY107" s="48"/>
      <c r="GZ107" s="48"/>
      <c r="HA107" s="48"/>
      <c r="HB107" s="48"/>
    </row>
    <row r="108" spans="1:210" ht="15.75" customHeight="1">
      <c r="A108" s="5"/>
      <c r="B108" s="5"/>
      <c r="C108" s="5"/>
      <c r="D108" s="5"/>
      <c r="E108" s="5"/>
      <c r="F108" s="5"/>
      <c r="G108" s="49"/>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48"/>
      <c r="CQ108" s="48"/>
      <c r="CR108" s="48"/>
      <c r="CS108" s="48"/>
      <c r="CT108" s="48"/>
      <c r="CU108" s="48"/>
      <c r="CV108" s="48"/>
      <c r="CW108" s="48"/>
      <c r="CX108" s="48"/>
      <c r="CY108" s="48"/>
      <c r="CZ108" s="48"/>
      <c r="DA108" s="48"/>
      <c r="DB108" s="48"/>
      <c r="DC108" s="48"/>
      <c r="DD108" s="48"/>
      <c r="DE108" s="48"/>
      <c r="DF108" s="48"/>
      <c r="DG108" s="48"/>
      <c r="DH108" s="48"/>
      <c r="DI108" s="48"/>
      <c r="DJ108" s="48"/>
      <c r="DK108" s="48"/>
      <c r="DL108" s="48"/>
      <c r="DM108" s="48"/>
      <c r="DN108" s="48"/>
      <c r="DO108" s="48"/>
      <c r="DP108" s="48"/>
      <c r="DQ108" s="48"/>
      <c r="DR108" s="48"/>
      <c r="DS108" s="48"/>
      <c r="DT108" s="48"/>
      <c r="DU108" s="48"/>
      <c r="DV108" s="48"/>
      <c r="DW108" s="48"/>
      <c r="DX108" s="48"/>
      <c r="DY108" s="48"/>
      <c r="DZ108" s="48"/>
      <c r="EA108" s="48"/>
      <c r="EB108" s="48"/>
      <c r="EC108" s="48"/>
      <c r="ED108" s="48"/>
      <c r="EE108" s="48"/>
      <c r="EF108" s="48"/>
      <c r="EG108" s="48"/>
      <c r="EH108" s="48"/>
      <c r="EI108" s="48"/>
      <c r="EJ108" s="48"/>
      <c r="EK108" s="48"/>
      <c r="EL108" s="48"/>
      <c r="EM108" s="48"/>
      <c r="EN108" s="48"/>
      <c r="EO108" s="48"/>
      <c r="EP108" s="48"/>
      <c r="EQ108" s="48"/>
      <c r="ER108" s="48"/>
      <c r="ES108" s="48"/>
      <c r="ET108" s="48"/>
      <c r="EU108" s="48"/>
      <c r="EV108" s="48"/>
      <c r="EW108" s="48"/>
      <c r="EX108" s="48"/>
      <c r="EY108" s="48"/>
      <c r="EZ108" s="48"/>
      <c r="FA108" s="48"/>
      <c r="FB108" s="48"/>
      <c r="FC108" s="48"/>
      <c r="FD108" s="48"/>
      <c r="FE108" s="48"/>
      <c r="FF108" s="48"/>
      <c r="FG108" s="48"/>
      <c r="FH108" s="48"/>
      <c r="FI108" s="48"/>
      <c r="FJ108" s="48"/>
      <c r="FK108" s="48"/>
      <c r="FL108" s="48"/>
      <c r="FM108" s="48"/>
      <c r="FN108" s="48"/>
      <c r="FO108" s="48"/>
      <c r="FP108" s="48"/>
      <c r="FQ108" s="48"/>
      <c r="FR108" s="48"/>
      <c r="FS108" s="48"/>
      <c r="FT108" s="48"/>
      <c r="FU108" s="48"/>
      <c r="FV108" s="48"/>
      <c r="FW108" s="48"/>
      <c r="FX108" s="48"/>
      <c r="FY108" s="48"/>
      <c r="FZ108" s="48"/>
      <c r="GA108" s="48"/>
      <c r="GB108" s="48"/>
      <c r="GC108" s="48"/>
      <c r="GD108" s="48"/>
      <c r="GE108" s="48"/>
      <c r="GF108" s="48"/>
      <c r="GG108" s="48"/>
      <c r="GH108" s="48"/>
      <c r="GI108" s="48"/>
      <c r="GJ108" s="48"/>
      <c r="GK108" s="48"/>
      <c r="GL108" s="48"/>
      <c r="GM108" s="48"/>
      <c r="GN108" s="48"/>
      <c r="GO108" s="48"/>
      <c r="GP108" s="48"/>
      <c r="GQ108" s="48"/>
      <c r="GR108" s="48"/>
      <c r="GS108" s="48"/>
      <c r="GT108" s="48"/>
      <c r="GU108" s="48"/>
      <c r="GV108" s="48"/>
      <c r="GW108" s="48"/>
      <c r="GX108" s="48"/>
      <c r="GY108" s="48"/>
      <c r="GZ108" s="48"/>
      <c r="HA108" s="48"/>
      <c r="HB108" s="48"/>
    </row>
    <row r="109" spans="1:210" ht="15.75" customHeight="1">
      <c r="A109" s="5"/>
      <c r="B109" s="5"/>
      <c r="C109" s="5"/>
      <c r="D109" s="5"/>
      <c r="E109" s="5"/>
      <c r="F109" s="5"/>
      <c r="G109" s="49"/>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48"/>
      <c r="CQ109" s="48"/>
      <c r="CR109" s="48"/>
      <c r="CS109" s="48"/>
      <c r="CT109" s="48"/>
      <c r="CU109" s="48"/>
      <c r="CV109" s="48"/>
      <c r="CW109" s="48"/>
      <c r="CX109" s="48"/>
      <c r="CY109" s="48"/>
      <c r="CZ109" s="48"/>
      <c r="DA109" s="48"/>
      <c r="DB109" s="48"/>
      <c r="DC109" s="48"/>
      <c r="DD109" s="48"/>
      <c r="DE109" s="48"/>
      <c r="DF109" s="48"/>
      <c r="DG109" s="48"/>
      <c r="DH109" s="48"/>
      <c r="DI109" s="48"/>
      <c r="DJ109" s="48"/>
      <c r="DK109" s="48"/>
      <c r="DL109" s="48"/>
      <c r="DM109" s="48"/>
      <c r="DN109" s="48"/>
      <c r="DO109" s="48"/>
      <c r="DP109" s="48"/>
      <c r="DQ109" s="48"/>
      <c r="DR109" s="48"/>
      <c r="DS109" s="48"/>
      <c r="DT109" s="48"/>
      <c r="DU109" s="48"/>
      <c r="DV109" s="48"/>
      <c r="DW109" s="48"/>
      <c r="DX109" s="48"/>
      <c r="DY109" s="48"/>
      <c r="DZ109" s="48"/>
      <c r="EA109" s="48"/>
      <c r="EB109" s="48"/>
      <c r="EC109" s="48"/>
      <c r="ED109" s="48"/>
      <c r="EE109" s="48"/>
      <c r="EF109" s="48"/>
      <c r="EG109" s="48"/>
      <c r="EH109" s="48"/>
      <c r="EI109" s="48"/>
      <c r="EJ109" s="48"/>
      <c r="EK109" s="48"/>
      <c r="EL109" s="48"/>
      <c r="EM109" s="48"/>
      <c r="EN109" s="48"/>
      <c r="EO109" s="48"/>
      <c r="EP109" s="48"/>
      <c r="EQ109" s="48"/>
      <c r="ER109" s="48"/>
      <c r="ES109" s="48"/>
      <c r="ET109" s="48"/>
      <c r="EU109" s="48"/>
      <c r="EV109" s="48"/>
      <c r="EW109" s="48"/>
      <c r="EX109" s="48"/>
      <c r="EY109" s="48"/>
      <c r="EZ109" s="48"/>
      <c r="FA109" s="48"/>
      <c r="FB109" s="48"/>
      <c r="FC109" s="48"/>
      <c r="FD109" s="48"/>
      <c r="FE109" s="48"/>
      <c r="FF109" s="48"/>
      <c r="FG109" s="48"/>
      <c r="FH109" s="48"/>
      <c r="FI109" s="48"/>
      <c r="FJ109" s="48"/>
      <c r="FK109" s="48"/>
      <c r="FL109" s="48"/>
      <c r="FM109" s="48"/>
      <c r="FN109" s="48"/>
      <c r="FO109" s="48"/>
      <c r="FP109" s="48"/>
      <c r="FQ109" s="48"/>
      <c r="FR109" s="48"/>
      <c r="FS109" s="48"/>
      <c r="FT109" s="48"/>
      <c r="FU109" s="48"/>
      <c r="FV109" s="48"/>
      <c r="FW109" s="48"/>
      <c r="FX109" s="48"/>
      <c r="FY109" s="48"/>
      <c r="FZ109" s="48"/>
      <c r="GA109" s="48"/>
      <c r="GB109" s="48"/>
      <c r="GC109" s="48"/>
      <c r="GD109" s="48"/>
      <c r="GE109" s="48"/>
      <c r="GF109" s="48"/>
      <c r="GG109" s="48"/>
      <c r="GH109" s="48"/>
      <c r="GI109" s="48"/>
      <c r="GJ109" s="48"/>
      <c r="GK109" s="48"/>
      <c r="GL109" s="48"/>
      <c r="GM109" s="48"/>
      <c r="GN109" s="48"/>
      <c r="GO109" s="48"/>
      <c r="GP109" s="48"/>
      <c r="GQ109" s="48"/>
      <c r="GR109" s="48"/>
      <c r="GS109" s="48"/>
      <c r="GT109" s="48"/>
      <c r="GU109" s="48"/>
      <c r="GV109" s="48"/>
      <c r="GW109" s="48"/>
      <c r="GX109" s="48"/>
      <c r="GY109" s="48"/>
      <c r="GZ109" s="48"/>
      <c r="HA109" s="48"/>
      <c r="HB109" s="48"/>
    </row>
    <row r="110" spans="1:210" ht="15.75" customHeight="1">
      <c r="A110" s="5"/>
      <c r="B110" s="5"/>
      <c r="C110" s="5"/>
      <c r="D110" s="5"/>
      <c r="E110" s="5"/>
      <c r="F110" s="5"/>
      <c r="G110" s="49"/>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48"/>
      <c r="CQ110" s="48"/>
      <c r="CR110" s="48"/>
      <c r="CS110" s="48"/>
      <c r="CT110" s="48"/>
      <c r="CU110" s="48"/>
      <c r="CV110" s="48"/>
      <c r="CW110" s="48"/>
      <c r="CX110" s="48"/>
      <c r="CY110" s="48"/>
      <c r="CZ110" s="48"/>
      <c r="DA110" s="48"/>
      <c r="DB110" s="48"/>
      <c r="DC110" s="48"/>
      <c r="DD110" s="48"/>
      <c r="DE110" s="48"/>
      <c r="DF110" s="48"/>
      <c r="DG110" s="48"/>
      <c r="DH110" s="48"/>
      <c r="DI110" s="48"/>
      <c r="DJ110" s="48"/>
      <c r="DK110" s="48"/>
      <c r="DL110" s="48"/>
      <c r="DM110" s="48"/>
      <c r="DN110" s="48"/>
      <c r="DO110" s="48"/>
      <c r="DP110" s="48"/>
      <c r="DQ110" s="48"/>
      <c r="DR110" s="48"/>
      <c r="DS110" s="48"/>
      <c r="DT110" s="48"/>
      <c r="DU110" s="48"/>
      <c r="DV110" s="48"/>
      <c r="DW110" s="48"/>
      <c r="DX110" s="48"/>
      <c r="DY110" s="48"/>
      <c r="DZ110" s="48"/>
      <c r="EA110" s="48"/>
      <c r="EB110" s="48"/>
      <c r="EC110" s="48"/>
      <c r="ED110" s="48"/>
      <c r="EE110" s="48"/>
      <c r="EF110" s="48"/>
      <c r="EG110" s="48"/>
      <c r="EH110" s="48"/>
      <c r="EI110" s="48"/>
      <c r="EJ110" s="48"/>
      <c r="EK110" s="48"/>
      <c r="EL110" s="48"/>
      <c r="EM110" s="48"/>
      <c r="EN110" s="48"/>
      <c r="EO110" s="48"/>
      <c r="EP110" s="48"/>
      <c r="EQ110" s="48"/>
      <c r="ER110" s="48"/>
      <c r="ES110" s="48"/>
      <c r="ET110" s="48"/>
      <c r="EU110" s="48"/>
      <c r="EV110" s="48"/>
      <c r="EW110" s="48"/>
      <c r="EX110" s="48"/>
      <c r="EY110" s="48"/>
      <c r="EZ110" s="48"/>
      <c r="FA110" s="48"/>
      <c r="FB110" s="48"/>
      <c r="FC110" s="48"/>
      <c r="FD110" s="48"/>
      <c r="FE110" s="48"/>
      <c r="FF110" s="48"/>
      <c r="FG110" s="48"/>
      <c r="FH110" s="48"/>
      <c r="FI110" s="48"/>
      <c r="FJ110" s="48"/>
      <c r="FK110" s="48"/>
      <c r="FL110" s="48"/>
      <c r="FM110" s="48"/>
      <c r="FN110" s="48"/>
      <c r="FO110" s="48"/>
      <c r="FP110" s="48"/>
      <c r="FQ110" s="48"/>
      <c r="FR110" s="48"/>
      <c r="FS110" s="48"/>
      <c r="FT110" s="48"/>
      <c r="FU110" s="48"/>
      <c r="FV110" s="48"/>
      <c r="FW110" s="48"/>
      <c r="FX110" s="48"/>
      <c r="FY110" s="48"/>
      <c r="FZ110" s="48"/>
      <c r="GA110" s="48"/>
      <c r="GB110" s="48"/>
      <c r="GC110" s="48"/>
      <c r="GD110" s="48"/>
      <c r="GE110" s="48"/>
      <c r="GF110" s="48"/>
      <c r="GG110" s="48"/>
      <c r="GH110" s="48"/>
      <c r="GI110" s="48"/>
      <c r="GJ110" s="48"/>
      <c r="GK110" s="48"/>
      <c r="GL110" s="48"/>
      <c r="GM110" s="48"/>
      <c r="GN110" s="48"/>
      <c r="GO110" s="48"/>
      <c r="GP110" s="48"/>
      <c r="GQ110" s="48"/>
      <c r="GR110" s="48"/>
      <c r="GS110" s="48"/>
      <c r="GT110" s="48"/>
      <c r="GU110" s="48"/>
      <c r="GV110" s="48"/>
      <c r="GW110" s="48"/>
      <c r="GX110" s="48"/>
      <c r="GY110" s="48"/>
      <c r="GZ110" s="48"/>
      <c r="HA110" s="48"/>
      <c r="HB110" s="48"/>
    </row>
    <row r="111" spans="1:210" ht="15.75" customHeight="1">
      <c r="A111" s="5"/>
      <c r="B111" s="5"/>
      <c r="C111" s="5"/>
      <c r="D111" s="5"/>
      <c r="E111" s="5"/>
      <c r="F111" s="5"/>
      <c r="G111" s="49"/>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48"/>
      <c r="CQ111" s="48"/>
      <c r="CR111" s="48"/>
      <c r="CS111" s="48"/>
      <c r="CT111" s="48"/>
      <c r="CU111" s="48"/>
      <c r="CV111" s="48"/>
      <c r="CW111" s="48"/>
      <c r="CX111" s="48"/>
      <c r="CY111" s="48"/>
      <c r="CZ111" s="48"/>
      <c r="DA111" s="48"/>
      <c r="DB111" s="48"/>
      <c r="DC111" s="48"/>
      <c r="DD111" s="48"/>
      <c r="DE111" s="48"/>
      <c r="DF111" s="48"/>
      <c r="DG111" s="48"/>
      <c r="DH111" s="48"/>
      <c r="DI111" s="48"/>
      <c r="DJ111" s="48"/>
      <c r="DK111" s="48"/>
      <c r="DL111" s="48"/>
      <c r="DM111" s="48"/>
      <c r="DN111" s="48"/>
      <c r="DO111" s="48"/>
      <c r="DP111" s="48"/>
      <c r="DQ111" s="48"/>
      <c r="DR111" s="48"/>
      <c r="DS111" s="48"/>
      <c r="DT111" s="48"/>
      <c r="DU111" s="48"/>
      <c r="DV111" s="48"/>
      <c r="DW111" s="48"/>
      <c r="DX111" s="48"/>
      <c r="DY111" s="48"/>
      <c r="DZ111" s="48"/>
      <c r="EA111" s="48"/>
      <c r="EB111" s="48"/>
      <c r="EC111" s="48"/>
      <c r="ED111" s="48"/>
      <c r="EE111" s="48"/>
      <c r="EF111" s="48"/>
      <c r="EG111" s="48"/>
      <c r="EH111" s="48"/>
      <c r="EI111" s="48"/>
      <c r="EJ111" s="48"/>
      <c r="EK111" s="48"/>
      <c r="EL111" s="48"/>
      <c r="EM111" s="48"/>
      <c r="EN111" s="48"/>
      <c r="EO111" s="48"/>
      <c r="EP111" s="48"/>
      <c r="EQ111" s="48"/>
      <c r="ER111" s="48"/>
      <c r="ES111" s="48"/>
      <c r="ET111" s="48"/>
      <c r="EU111" s="48"/>
      <c r="EV111" s="48"/>
      <c r="EW111" s="48"/>
      <c r="EX111" s="48"/>
      <c r="EY111" s="48"/>
      <c r="EZ111" s="48"/>
      <c r="FA111" s="48"/>
      <c r="FB111" s="48"/>
      <c r="FC111" s="48"/>
      <c r="FD111" s="48"/>
      <c r="FE111" s="48"/>
      <c r="FF111" s="48"/>
      <c r="FG111" s="48"/>
      <c r="FH111" s="48"/>
      <c r="FI111" s="48"/>
      <c r="FJ111" s="48"/>
      <c r="FK111" s="48"/>
      <c r="FL111" s="48"/>
      <c r="FM111" s="48"/>
      <c r="FN111" s="48"/>
      <c r="FO111" s="48"/>
      <c r="FP111" s="48"/>
      <c r="FQ111" s="48"/>
      <c r="FR111" s="48"/>
      <c r="FS111" s="48"/>
      <c r="FT111" s="48"/>
      <c r="FU111" s="48"/>
      <c r="FV111" s="48"/>
      <c r="FW111" s="48"/>
      <c r="FX111" s="48"/>
      <c r="FY111" s="48"/>
      <c r="FZ111" s="48"/>
      <c r="GA111" s="48"/>
      <c r="GB111" s="48"/>
      <c r="GC111" s="48"/>
      <c r="GD111" s="48"/>
      <c r="GE111" s="48"/>
      <c r="GF111" s="48"/>
      <c r="GG111" s="48"/>
      <c r="GH111" s="48"/>
      <c r="GI111" s="48"/>
      <c r="GJ111" s="48"/>
      <c r="GK111" s="48"/>
      <c r="GL111" s="48"/>
      <c r="GM111" s="48"/>
      <c r="GN111" s="48"/>
      <c r="GO111" s="48"/>
      <c r="GP111" s="48"/>
      <c r="GQ111" s="48"/>
      <c r="GR111" s="48"/>
      <c r="GS111" s="48"/>
      <c r="GT111" s="48"/>
      <c r="GU111" s="48"/>
      <c r="GV111" s="48"/>
      <c r="GW111" s="48"/>
      <c r="GX111" s="48"/>
      <c r="GY111" s="48"/>
      <c r="GZ111" s="48"/>
      <c r="HA111" s="48"/>
      <c r="HB111" s="48"/>
    </row>
    <row r="112" spans="1:210" ht="15.75" customHeight="1">
      <c r="A112" s="5"/>
      <c r="B112" s="5"/>
      <c r="C112" s="5"/>
      <c r="D112" s="5"/>
      <c r="E112" s="5"/>
      <c r="F112" s="5"/>
      <c r="G112" s="49"/>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48"/>
      <c r="CQ112" s="48"/>
      <c r="CR112" s="48"/>
      <c r="CS112" s="48"/>
      <c r="CT112" s="48"/>
      <c r="CU112" s="48"/>
      <c r="CV112" s="48"/>
      <c r="CW112" s="48"/>
      <c r="CX112" s="48"/>
      <c r="CY112" s="48"/>
      <c r="CZ112" s="48"/>
      <c r="DA112" s="48"/>
      <c r="DB112" s="48"/>
      <c r="DC112" s="48"/>
      <c r="DD112" s="48"/>
      <c r="DE112" s="48"/>
      <c r="DF112" s="48"/>
      <c r="DG112" s="48"/>
      <c r="DH112" s="48"/>
      <c r="DI112" s="48"/>
      <c r="DJ112" s="48"/>
      <c r="DK112" s="48"/>
      <c r="DL112" s="48"/>
      <c r="DM112" s="48"/>
      <c r="DN112" s="48"/>
      <c r="DO112" s="48"/>
      <c r="DP112" s="48"/>
      <c r="DQ112" s="48"/>
      <c r="DR112" s="48"/>
      <c r="DS112" s="48"/>
      <c r="DT112" s="48"/>
      <c r="DU112" s="48"/>
      <c r="DV112" s="48"/>
      <c r="DW112" s="48"/>
      <c r="DX112" s="48"/>
      <c r="DY112" s="48"/>
      <c r="DZ112" s="48"/>
      <c r="EA112" s="48"/>
      <c r="EB112" s="48"/>
      <c r="EC112" s="48"/>
      <c r="ED112" s="48"/>
      <c r="EE112" s="48"/>
      <c r="EF112" s="48"/>
      <c r="EG112" s="48"/>
      <c r="EH112" s="48"/>
      <c r="EI112" s="48"/>
      <c r="EJ112" s="48"/>
      <c r="EK112" s="48"/>
      <c r="EL112" s="48"/>
      <c r="EM112" s="48"/>
      <c r="EN112" s="48"/>
      <c r="EO112" s="48"/>
      <c r="EP112" s="48"/>
      <c r="EQ112" s="48"/>
      <c r="ER112" s="48"/>
      <c r="ES112" s="48"/>
      <c r="ET112" s="48"/>
      <c r="EU112" s="48"/>
      <c r="EV112" s="48"/>
      <c r="EW112" s="48"/>
      <c r="EX112" s="48"/>
      <c r="EY112" s="48"/>
      <c r="EZ112" s="48"/>
      <c r="FA112" s="48"/>
      <c r="FB112" s="48"/>
      <c r="FC112" s="48"/>
      <c r="FD112" s="48"/>
      <c r="FE112" s="48"/>
      <c r="FF112" s="48"/>
      <c r="FG112" s="48"/>
      <c r="FH112" s="48"/>
      <c r="FI112" s="48"/>
      <c r="FJ112" s="48"/>
      <c r="FK112" s="48"/>
      <c r="FL112" s="48"/>
      <c r="FM112" s="48"/>
      <c r="FN112" s="48"/>
      <c r="FO112" s="48"/>
      <c r="FP112" s="48"/>
      <c r="FQ112" s="48"/>
      <c r="FR112" s="48"/>
      <c r="FS112" s="48"/>
      <c r="FT112" s="48"/>
      <c r="FU112" s="48"/>
      <c r="FV112" s="48"/>
      <c r="FW112" s="48"/>
      <c r="FX112" s="48"/>
      <c r="FY112" s="48"/>
      <c r="FZ112" s="48"/>
      <c r="GA112" s="48"/>
      <c r="GB112" s="48"/>
      <c r="GC112" s="48"/>
      <c r="GD112" s="48"/>
      <c r="GE112" s="48"/>
      <c r="GF112" s="48"/>
      <c r="GG112" s="48"/>
      <c r="GH112" s="48"/>
      <c r="GI112" s="48"/>
      <c r="GJ112" s="48"/>
      <c r="GK112" s="48"/>
      <c r="GL112" s="48"/>
      <c r="GM112" s="48"/>
      <c r="GN112" s="48"/>
      <c r="GO112" s="48"/>
      <c r="GP112" s="48"/>
      <c r="GQ112" s="48"/>
      <c r="GR112" s="48"/>
      <c r="GS112" s="48"/>
      <c r="GT112" s="48"/>
      <c r="GU112" s="48"/>
      <c r="GV112" s="48"/>
      <c r="GW112" s="48"/>
      <c r="GX112" s="48"/>
      <c r="GY112" s="48"/>
      <c r="GZ112" s="48"/>
      <c r="HA112" s="48"/>
      <c r="HB112" s="48"/>
    </row>
    <row r="113" spans="1:210" ht="15.75" customHeight="1">
      <c r="A113" s="5"/>
      <c r="B113" s="5"/>
      <c r="C113" s="5"/>
      <c r="D113" s="5"/>
      <c r="E113" s="5"/>
      <c r="F113" s="5"/>
      <c r="G113" s="49"/>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48"/>
      <c r="CQ113" s="48"/>
      <c r="CR113" s="48"/>
      <c r="CS113" s="48"/>
      <c r="CT113" s="48"/>
      <c r="CU113" s="48"/>
      <c r="CV113" s="48"/>
      <c r="CW113" s="48"/>
      <c r="CX113" s="48"/>
      <c r="CY113" s="48"/>
      <c r="CZ113" s="48"/>
      <c r="DA113" s="48"/>
      <c r="DB113" s="48"/>
      <c r="DC113" s="48"/>
      <c r="DD113" s="48"/>
      <c r="DE113" s="48"/>
      <c r="DF113" s="48"/>
      <c r="DG113" s="48"/>
      <c r="DH113" s="48"/>
      <c r="DI113" s="48"/>
      <c r="DJ113" s="48"/>
      <c r="DK113" s="48"/>
      <c r="DL113" s="48"/>
      <c r="DM113" s="48"/>
      <c r="DN113" s="48"/>
      <c r="DO113" s="48"/>
      <c r="DP113" s="48"/>
      <c r="DQ113" s="48"/>
      <c r="DR113" s="48"/>
      <c r="DS113" s="48"/>
      <c r="DT113" s="48"/>
      <c r="DU113" s="48"/>
      <c r="DV113" s="48"/>
      <c r="DW113" s="48"/>
      <c r="DX113" s="48"/>
      <c r="DY113" s="48"/>
      <c r="DZ113" s="48"/>
      <c r="EA113" s="48"/>
      <c r="EB113" s="48"/>
      <c r="EC113" s="48"/>
      <c r="ED113" s="48"/>
      <c r="EE113" s="48"/>
      <c r="EF113" s="48"/>
      <c r="EG113" s="48"/>
      <c r="EH113" s="48"/>
      <c r="EI113" s="48"/>
      <c r="EJ113" s="48"/>
      <c r="EK113" s="48"/>
      <c r="EL113" s="48"/>
      <c r="EM113" s="48"/>
      <c r="EN113" s="48"/>
      <c r="EO113" s="48"/>
      <c r="EP113" s="48"/>
      <c r="EQ113" s="48"/>
      <c r="ER113" s="48"/>
      <c r="ES113" s="48"/>
      <c r="ET113" s="48"/>
      <c r="EU113" s="48"/>
      <c r="EV113" s="48"/>
      <c r="EW113" s="48"/>
      <c r="EX113" s="48"/>
      <c r="EY113" s="48"/>
      <c r="EZ113" s="48"/>
      <c r="FA113" s="48"/>
      <c r="FB113" s="48"/>
      <c r="FC113" s="48"/>
      <c r="FD113" s="48"/>
      <c r="FE113" s="48"/>
      <c r="FF113" s="48"/>
      <c r="FG113" s="48"/>
      <c r="FH113" s="48"/>
      <c r="FI113" s="48"/>
      <c r="FJ113" s="48"/>
      <c r="FK113" s="48"/>
      <c r="FL113" s="48"/>
      <c r="FM113" s="48"/>
      <c r="FN113" s="48"/>
      <c r="FO113" s="48"/>
      <c r="FP113" s="48"/>
      <c r="FQ113" s="48"/>
      <c r="FR113" s="48"/>
      <c r="FS113" s="48"/>
      <c r="FT113" s="48"/>
      <c r="FU113" s="48"/>
      <c r="FV113" s="48"/>
      <c r="FW113" s="48"/>
      <c r="FX113" s="48"/>
      <c r="FY113" s="48"/>
      <c r="FZ113" s="48"/>
      <c r="GA113" s="48"/>
      <c r="GB113" s="48"/>
      <c r="GC113" s="48"/>
      <c r="GD113" s="48"/>
      <c r="GE113" s="48"/>
      <c r="GF113" s="48"/>
      <c r="GG113" s="48"/>
      <c r="GH113" s="48"/>
      <c r="GI113" s="48"/>
      <c r="GJ113" s="48"/>
      <c r="GK113" s="48"/>
      <c r="GL113" s="48"/>
      <c r="GM113" s="48"/>
      <c r="GN113" s="48"/>
      <c r="GO113" s="48"/>
      <c r="GP113" s="48"/>
      <c r="GQ113" s="48"/>
      <c r="GR113" s="48"/>
      <c r="GS113" s="48"/>
      <c r="GT113" s="48"/>
      <c r="GU113" s="48"/>
      <c r="GV113" s="48"/>
      <c r="GW113" s="48"/>
      <c r="GX113" s="48"/>
      <c r="GY113" s="48"/>
      <c r="GZ113" s="48"/>
      <c r="HA113" s="48"/>
      <c r="HB113" s="48"/>
    </row>
    <row r="114" spans="1:210" ht="15.75" customHeight="1">
      <c r="A114" s="5"/>
      <c r="B114" s="5"/>
      <c r="C114" s="5"/>
      <c r="D114" s="5"/>
      <c r="E114" s="5"/>
      <c r="F114" s="5"/>
      <c r="G114" s="49"/>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48"/>
      <c r="CQ114" s="48"/>
      <c r="CR114" s="48"/>
      <c r="CS114" s="48"/>
      <c r="CT114" s="48"/>
      <c r="CU114" s="48"/>
      <c r="CV114" s="48"/>
      <c r="CW114" s="48"/>
      <c r="CX114" s="48"/>
      <c r="CY114" s="48"/>
      <c r="CZ114" s="48"/>
      <c r="DA114" s="48"/>
      <c r="DB114" s="48"/>
      <c r="DC114" s="48"/>
      <c r="DD114" s="48"/>
      <c r="DE114" s="48"/>
      <c r="DF114" s="48"/>
      <c r="DG114" s="48"/>
      <c r="DH114" s="48"/>
      <c r="DI114" s="48"/>
      <c r="DJ114" s="48"/>
      <c r="DK114" s="48"/>
      <c r="DL114" s="48"/>
      <c r="DM114" s="48"/>
      <c r="DN114" s="48"/>
      <c r="DO114" s="48"/>
      <c r="DP114" s="48"/>
      <c r="DQ114" s="48"/>
      <c r="DR114" s="48"/>
      <c r="DS114" s="48"/>
      <c r="DT114" s="48"/>
      <c r="DU114" s="48"/>
      <c r="DV114" s="48"/>
      <c r="DW114" s="48"/>
      <c r="DX114" s="48"/>
      <c r="DY114" s="48"/>
      <c r="DZ114" s="48"/>
      <c r="EA114" s="48"/>
      <c r="EB114" s="48"/>
      <c r="EC114" s="48"/>
      <c r="ED114" s="48"/>
      <c r="EE114" s="48"/>
      <c r="EF114" s="48"/>
      <c r="EG114" s="48"/>
      <c r="EH114" s="48"/>
      <c r="EI114" s="48"/>
      <c r="EJ114" s="48"/>
      <c r="EK114" s="48"/>
      <c r="EL114" s="48"/>
      <c r="EM114" s="48"/>
      <c r="EN114" s="48"/>
      <c r="EO114" s="48"/>
      <c r="EP114" s="48"/>
      <c r="EQ114" s="48"/>
      <c r="ER114" s="48"/>
      <c r="ES114" s="48"/>
      <c r="ET114" s="48"/>
      <c r="EU114" s="48"/>
      <c r="EV114" s="48"/>
      <c r="EW114" s="48"/>
      <c r="EX114" s="48"/>
      <c r="EY114" s="48"/>
      <c r="EZ114" s="48"/>
      <c r="FA114" s="48"/>
      <c r="FB114" s="48"/>
      <c r="FC114" s="48"/>
      <c r="FD114" s="48"/>
      <c r="FE114" s="48"/>
      <c r="FF114" s="48"/>
      <c r="FG114" s="48"/>
      <c r="FH114" s="48"/>
      <c r="FI114" s="48"/>
      <c r="FJ114" s="48"/>
      <c r="FK114" s="48"/>
      <c r="FL114" s="48"/>
      <c r="FM114" s="48"/>
      <c r="FN114" s="48"/>
      <c r="FO114" s="48"/>
      <c r="FP114" s="48"/>
      <c r="FQ114" s="48"/>
      <c r="FR114" s="48"/>
      <c r="FS114" s="48"/>
      <c r="FT114" s="48"/>
      <c r="FU114" s="48"/>
      <c r="FV114" s="48"/>
      <c r="FW114" s="48"/>
      <c r="FX114" s="48"/>
      <c r="FY114" s="48"/>
      <c r="FZ114" s="48"/>
      <c r="GA114" s="48"/>
      <c r="GB114" s="48"/>
      <c r="GC114" s="48"/>
      <c r="GD114" s="48"/>
      <c r="GE114" s="48"/>
      <c r="GF114" s="48"/>
      <c r="GG114" s="48"/>
      <c r="GH114" s="48"/>
      <c r="GI114" s="48"/>
      <c r="GJ114" s="48"/>
      <c r="GK114" s="48"/>
      <c r="GL114" s="48"/>
      <c r="GM114" s="48"/>
      <c r="GN114" s="48"/>
      <c r="GO114" s="48"/>
      <c r="GP114" s="48"/>
      <c r="GQ114" s="48"/>
      <c r="GR114" s="48"/>
      <c r="GS114" s="48"/>
      <c r="GT114" s="48"/>
      <c r="GU114" s="48"/>
      <c r="GV114" s="48"/>
      <c r="GW114" s="48"/>
      <c r="GX114" s="48"/>
      <c r="GY114" s="48"/>
      <c r="GZ114" s="48"/>
      <c r="HA114" s="48"/>
      <c r="HB114" s="48"/>
    </row>
    <row r="115" spans="1:210" ht="15.75" customHeight="1">
      <c r="A115" s="5"/>
      <c r="B115" s="5"/>
      <c r="C115" s="5"/>
      <c r="D115" s="5"/>
      <c r="E115" s="5"/>
      <c r="F115" s="5"/>
      <c r="G115" s="49"/>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48"/>
      <c r="CQ115" s="48"/>
      <c r="CR115" s="48"/>
      <c r="CS115" s="48"/>
      <c r="CT115" s="48"/>
      <c r="CU115" s="48"/>
      <c r="CV115" s="48"/>
      <c r="CW115" s="48"/>
      <c r="CX115" s="48"/>
      <c r="CY115" s="48"/>
      <c r="CZ115" s="48"/>
      <c r="DA115" s="48"/>
      <c r="DB115" s="48"/>
      <c r="DC115" s="48"/>
      <c r="DD115" s="48"/>
      <c r="DE115" s="48"/>
      <c r="DF115" s="48"/>
      <c r="DG115" s="48"/>
      <c r="DH115" s="48"/>
      <c r="DI115" s="48"/>
      <c r="DJ115" s="48"/>
      <c r="DK115" s="48"/>
      <c r="DL115" s="48"/>
      <c r="DM115" s="48"/>
      <c r="DN115" s="48"/>
      <c r="DO115" s="48"/>
      <c r="DP115" s="48"/>
      <c r="DQ115" s="48"/>
      <c r="DR115" s="48"/>
      <c r="DS115" s="48"/>
      <c r="DT115" s="48"/>
      <c r="DU115" s="48"/>
      <c r="DV115" s="48"/>
      <c r="DW115" s="48"/>
      <c r="DX115" s="48"/>
      <c r="DY115" s="48"/>
      <c r="DZ115" s="48"/>
      <c r="EA115" s="48"/>
      <c r="EB115" s="48"/>
      <c r="EC115" s="48"/>
      <c r="ED115" s="48"/>
      <c r="EE115" s="48"/>
      <c r="EF115" s="48"/>
      <c r="EG115" s="48"/>
      <c r="EH115" s="48"/>
      <c r="EI115" s="48"/>
      <c r="EJ115" s="48"/>
      <c r="EK115" s="48"/>
      <c r="EL115" s="48"/>
      <c r="EM115" s="48"/>
      <c r="EN115" s="48"/>
      <c r="EO115" s="48"/>
      <c r="EP115" s="48"/>
      <c r="EQ115" s="48"/>
      <c r="ER115" s="48"/>
      <c r="ES115" s="48"/>
      <c r="ET115" s="48"/>
      <c r="EU115" s="48"/>
      <c r="EV115" s="48"/>
      <c r="EW115" s="48"/>
      <c r="EX115" s="48"/>
      <c r="EY115" s="48"/>
      <c r="EZ115" s="48"/>
      <c r="FA115" s="48"/>
      <c r="FB115" s="48"/>
      <c r="FC115" s="48"/>
      <c r="FD115" s="48"/>
      <c r="FE115" s="48"/>
      <c r="FF115" s="48"/>
      <c r="FG115" s="48"/>
      <c r="FH115" s="48"/>
      <c r="FI115" s="48"/>
      <c r="FJ115" s="48"/>
      <c r="FK115" s="48"/>
      <c r="FL115" s="48"/>
      <c r="FM115" s="48"/>
      <c r="FN115" s="48"/>
      <c r="FO115" s="48"/>
      <c r="FP115" s="48"/>
      <c r="FQ115" s="48"/>
      <c r="FR115" s="48"/>
      <c r="FS115" s="48"/>
      <c r="FT115" s="48"/>
      <c r="FU115" s="48"/>
      <c r="FV115" s="48"/>
      <c r="FW115" s="48"/>
      <c r="FX115" s="48"/>
      <c r="FY115" s="48"/>
      <c r="FZ115" s="48"/>
      <c r="GA115" s="48"/>
      <c r="GB115" s="48"/>
      <c r="GC115" s="48"/>
      <c r="GD115" s="48"/>
      <c r="GE115" s="48"/>
      <c r="GF115" s="48"/>
      <c r="GG115" s="48"/>
      <c r="GH115" s="48"/>
      <c r="GI115" s="48"/>
      <c r="GJ115" s="48"/>
      <c r="GK115" s="48"/>
      <c r="GL115" s="48"/>
      <c r="GM115" s="48"/>
      <c r="GN115" s="48"/>
      <c r="GO115" s="48"/>
      <c r="GP115" s="48"/>
      <c r="GQ115" s="48"/>
      <c r="GR115" s="48"/>
      <c r="GS115" s="48"/>
      <c r="GT115" s="48"/>
      <c r="GU115" s="48"/>
      <c r="GV115" s="48"/>
      <c r="GW115" s="48"/>
      <c r="GX115" s="48"/>
      <c r="GY115" s="48"/>
      <c r="GZ115" s="48"/>
      <c r="HA115" s="48"/>
      <c r="HB115" s="48"/>
    </row>
    <row r="116" spans="1:210" ht="15.75" customHeight="1">
      <c r="A116" s="5"/>
      <c r="B116" s="5"/>
      <c r="C116" s="5"/>
      <c r="D116" s="5"/>
      <c r="E116" s="5"/>
      <c r="F116" s="5"/>
      <c r="G116" s="49"/>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48"/>
      <c r="CQ116" s="48"/>
      <c r="CR116" s="48"/>
      <c r="CS116" s="48"/>
      <c r="CT116" s="48"/>
      <c r="CU116" s="48"/>
      <c r="CV116" s="48"/>
      <c r="CW116" s="48"/>
      <c r="CX116" s="48"/>
      <c r="CY116" s="48"/>
      <c r="CZ116" s="48"/>
      <c r="DA116" s="48"/>
      <c r="DB116" s="48"/>
      <c r="DC116" s="48"/>
      <c r="DD116" s="48"/>
      <c r="DE116" s="48"/>
      <c r="DF116" s="48"/>
      <c r="DG116" s="48"/>
      <c r="DH116" s="48"/>
      <c r="DI116" s="48"/>
      <c r="DJ116" s="48"/>
      <c r="DK116" s="48"/>
      <c r="DL116" s="48"/>
      <c r="DM116" s="48"/>
      <c r="DN116" s="48"/>
      <c r="DO116" s="48"/>
      <c r="DP116" s="48"/>
      <c r="DQ116" s="48"/>
      <c r="DR116" s="48"/>
      <c r="DS116" s="48"/>
      <c r="DT116" s="48"/>
      <c r="DU116" s="48"/>
      <c r="DV116" s="48"/>
      <c r="DW116" s="48"/>
      <c r="DX116" s="48"/>
      <c r="DY116" s="48"/>
      <c r="DZ116" s="48"/>
      <c r="EA116" s="48"/>
      <c r="EB116" s="48"/>
      <c r="EC116" s="48"/>
      <c r="ED116" s="48"/>
      <c r="EE116" s="48"/>
      <c r="EF116" s="48"/>
      <c r="EG116" s="48"/>
      <c r="EH116" s="48"/>
      <c r="EI116" s="48"/>
      <c r="EJ116" s="48"/>
      <c r="EK116" s="48"/>
      <c r="EL116" s="48"/>
      <c r="EM116" s="48"/>
      <c r="EN116" s="48"/>
      <c r="EO116" s="48"/>
      <c r="EP116" s="48"/>
      <c r="EQ116" s="48"/>
      <c r="ER116" s="48"/>
      <c r="ES116" s="48"/>
      <c r="ET116" s="48"/>
      <c r="EU116" s="48"/>
      <c r="EV116" s="48"/>
      <c r="EW116" s="48"/>
      <c r="EX116" s="48"/>
      <c r="EY116" s="48"/>
      <c r="EZ116" s="48"/>
      <c r="FA116" s="48"/>
      <c r="FB116" s="48"/>
      <c r="FC116" s="48"/>
      <c r="FD116" s="48"/>
      <c r="FE116" s="48"/>
      <c r="FF116" s="48"/>
      <c r="FG116" s="48"/>
      <c r="FH116" s="48"/>
      <c r="FI116" s="48"/>
      <c r="FJ116" s="48"/>
      <c r="FK116" s="48"/>
      <c r="FL116" s="48"/>
      <c r="FM116" s="48"/>
      <c r="FN116" s="48"/>
      <c r="FO116" s="48"/>
      <c r="FP116" s="48"/>
      <c r="FQ116" s="48"/>
      <c r="FR116" s="48"/>
      <c r="FS116" s="48"/>
      <c r="FT116" s="48"/>
      <c r="FU116" s="48"/>
      <c r="FV116" s="48"/>
      <c r="FW116" s="48"/>
      <c r="FX116" s="48"/>
      <c r="FY116" s="48"/>
      <c r="FZ116" s="48"/>
      <c r="GA116" s="48"/>
      <c r="GB116" s="48"/>
      <c r="GC116" s="48"/>
      <c r="GD116" s="48"/>
      <c r="GE116" s="48"/>
      <c r="GF116" s="48"/>
      <c r="GG116" s="48"/>
      <c r="GH116" s="48"/>
      <c r="GI116" s="48"/>
      <c r="GJ116" s="48"/>
      <c r="GK116" s="48"/>
      <c r="GL116" s="48"/>
      <c r="GM116" s="48"/>
      <c r="GN116" s="48"/>
      <c r="GO116" s="48"/>
      <c r="GP116" s="48"/>
      <c r="GQ116" s="48"/>
      <c r="GR116" s="48"/>
      <c r="GS116" s="48"/>
      <c r="GT116" s="48"/>
      <c r="GU116" s="48"/>
      <c r="GV116" s="48"/>
      <c r="GW116" s="48"/>
      <c r="GX116" s="48"/>
      <c r="GY116" s="48"/>
      <c r="GZ116" s="48"/>
      <c r="HA116" s="48"/>
      <c r="HB116" s="48"/>
    </row>
    <row r="117" spans="1:210" ht="15.75" customHeight="1">
      <c r="A117" s="5"/>
      <c r="B117" s="5"/>
      <c r="C117" s="5"/>
      <c r="D117" s="5"/>
      <c r="E117" s="5"/>
      <c r="F117" s="5"/>
      <c r="G117" s="49"/>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48"/>
      <c r="CQ117" s="48"/>
      <c r="CR117" s="48"/>
      <c r="CS117" s="48"/>
      <c r="CT117" s="48"/>
      <c r="CU117" s="48"/>
      <c r="CV117" s="48"/>
      <c r="CW117" s="48"/>
      <c r="CX117" s="48"/>
      <c r="CY117" s="48"/>
      <c r="CZ117" s="48"/>
      <c r="DA117" s="48"/>
      <c r="DB117" s="48"/>
      <c r="DC117" s="48"/>
      <c r="DD117" s="48"/>
      <c r="DE117" s="48"/>
      <c r="DF117" s="48"/>
      <c r="DG117" s="48"/>
      <c r="DH117" s="48"/>
      <c r="DI117" s="48"/>
      <c r="DJ117" s="48"/>
      <c r="DK117" s="48"/>
      <c r="DL117" s="48"/>
      <c r="DM117" s="48"/>
      <c r="DN117" s="48"/>
      <c r="DO117" s="48"/>
      <c r="DP117" s="48"/>
      <c r="DQ117" s="48"/>
      <c r="DR117" s="48"/>
      <c r="DS117" s="48"/>
      <c r="DT117" s="48"/>
      <c r="DU117" s="48"/>
      <c r="DV117" s="48"/>
      <c r="DW117" s="48"/>
      <c r="DX117" s="48"/>
      <c r="DY117" s="48"/>
      <c r="DZ117" s="48"/>
      <c r="EA117" s="48"/>
      <c r="EB117" s="48"/>
      <c r="EC117" s="48"/>
      <c r="ED117" s="48"/>
      <c r="EE117" s="48"/>
      <c r="EF117" s="48"/>
      <c r="EG117" s="48"/>
      <c r="EH117" s="48"/>
      <c r="EI117" s="48"/>
      <c r="EJ117" s="48"/>
      <c r="EK117" s="48"/>
      <c r="EL117" s="48"/>
      <c r="EM117" s="48"/>
      <c r="EN117" s="48"/>
      <c r="EO117" s="48"/>
      <c r="EP117" s="48"/>
      <c r="EQ117" s="48"/>
      <c r="ER117" s="48"/>
      <c r="ES117" s="48"/>
      <c r="ET117" s="48"/>
      <c r="EU117" s="48"/>
      <c r="EV117" s="48"/>
      <c r="EW117" s="48"/>
      <c r="EX117" s="48"/>
      <c r="EY117" s="48"/>
      <c r="EZ117" s="48"/>
      <c r="FA117" s="48"/>
      <c r="FB117" s="48"/>
      <c r="FC117" s="48"/>
      <c r="FD117" s="48"/>
      <c r="FE117" s="48"/>
      <c r="FF117" s="48"/>
      <c r="FG117" s="48"/>
      <c r="FH117" s="48"/>
      <c r="FI117" s="48"/>
      <c r="FJ117" s="48"/>
      <c r="FK117" s="48"/>
      <c r="FL117" s="48"/>
      <c r="FM117" s="48"/>
      <c r="FN117" s="48"/>
      <c r="FO117" s="48"/>
      <c r="FP117" s="48"/>
      <c r="FQ117" s="48"/>
      <c r="FR117" s="48"/>
      <c r="FS117" s="48"/>
      <c r="FT117" s="48"/>
      <c r="FU117" s="48"/>
      <c r="FV117" s="48"/>
      <c r="FW117" s="48"/>
      <c r="FX117" s="48"/>
      <c r="FY117" s="48"/>
      <c r="FZ117" s="48"/>
      <c r="GA117" s="48"/>
      <c r="GB117" s="48"/>
      <c r="GC117" s="48"/>
      <c r="GD117" s="48"/>
      <c r="GE117" s="48"/>
      <c r="GF117" s="48"/>
      <c r="GG117" s="48"/>
      <c r="GH117" s="48"/>
      <c r="GI117" s="48"/>
      <c r="GJ117" s="48"/>
      <c r="GK117" s="48"/>
      <c r="GL117" s="48"/>
      <c r="GM117" s="48"/>
      <c r="GN117" s="48"/>
      <c r="GO117" s="48"/>
      <c r="GP117" s="48"/>
      <c r="GQ117" s="48"/>
      <c r="GR117" s="48"/>
      <c r="GS117" s="48"/>
      <c r="GT117" s="48"/>
      <c r="GU117" s="48"/>
      <c r="GV117" s="48"/>
      <c r="GW117" s="48"/>
      <c r="GX117" s="48"/>
      <c r="GY117" s="48"/>
      <c r="GZ117" s="48"/>
      <c r="HA117" s="48"/>
      <c r="HB117" s="48"/>
    </row>
    <row r="118" spans="1:210" ht="15.75" customHeight="1">
      <c r="A118" s="5"/>
      <c r="B118" s="5"/>
      <c r="C118" s="5"/>
      <c r="D118" s="5"/>
      <c r="E118" s="5"/>
      <c r="F118" s="5"/>
      <c r="G118" s="49"/>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48"/>
      <c r="CQ118" s="48"/>
      <c r="CR118" s="48"/>
      <c r="CS118" s="48"/>
      <c r="CT118" s="48"/>
      <c r="CU118" s="48"/>
      <c r="CV118" s="48"/>
      <c r="CW118" s="48"/>
      <c r="CX118" s="48"/>
      <c r="CY118" s="48"/>
      <c r="CZ118" s="48"/>
      <c r="DA118" s="48"/>
      <c r="DB118" s="48"/>
      <c r="DC118" s="48"/>
      <c r="DD118" s="48"/>
      <c r="DE118" s="48"/>
      <c r="DF118" s="48"/>
      <c r="DG118" s="48"/>
      <c r="DH118" s="48"/>
      <c r="DI118" s="48"/>
      <c r="DJ118" s="48"/>
      <c r="DK118" s="48"/>
      <c r="DL118" s="48"/>
      <c r="DM118" s="48"/>
      <c r="DN118" s="48"/>
      <c r="DO118" s="48"/>
      <c r="DP118" s="48"/>
      <c r="DQ118" s="48"/>
      <c r="DR118" s="48"/>
      <c r="DS118" s="48"/>
      <c r="DT118" s="48"/>
      <c r="DU118" s="48"/>
      <c r="DV118" s="48"/>
      <c r="DW118" s="48"/>
      <c r="DX118" s="48"/>
      <c r="DY118" s="48"/>
      <c r="DZ118" s="48"/>
      <c r="EA118" s="48"/>
      <c r="EB118" s="48"/>
      <c r="EC118" s="48"/>
      <c r="ED118" s="48"/>
      <c r="EE118" s="48"/>
      <c r="EF118" s="48"/>
      <c r="EG118" s="48"/>
      <c r="EH118" s="48"/>
      <c r="EI118" s="48"/>
      <c r="EJ118" s="48"/>
      <c r="EK118" s="48"/>
      <c r="EL118" s="48"/>
      <c r="EM118" s="48"/>
      <c r="EN118" s="48"/>
      <c r="EO118" s="48"/>
      <c r="EP118" s="48"/>
      <c r="EQ118" s="48"/>
      <c r="ER118" s="48"/>
      <c r="ES118" s="48"/>
      <c r="ET118" s="48"/>
      <c r="EU118" s="48"/>
      <c r="EV118" s="48"/>
      <c r="EW118" s="48"/>
      <c r="EX118" s="48"/>
      <c r="EY118" s="48"/>
      <c r="EZ118" s="48"/>
      <c r="FA118" s="48"/>
      <c r="FB118" s="48"/>
      <c r="FC118" s="48"/>
      <c r="FD118" s="48"/>
      <c r="FE118" s="48"/>
      <c r="FF118" s="48"/>
      <c r="FG118" s="48"/>
      <c r="FH118" s="48"/>
      <c r="FI118" s="48"/>
      <c r="FJ118" s="48"/>
      <c r="FK118" s="48"/>
      <c r="FL118" s="48"/>
      <c r="FM118" s="48"/>
      <c r="FN118" s="48"/>
      <c r="FO118" s="48"/>
      <c r="FP118" s="48"/>
      <c r="FQ118" s="48"/>
      <c r="FR118" s="48"/>
      <c r="FS118" s="48"/>
      <c r="FT118" s="48"/>
      <c r="FU118" s="48"/>
      <c r="FV118" s="48"/>
      <c r="FW118" s="48"/>
      <c r="FX118" s="48"/>
      <c r="FY118" s="48"/>
      <c r="FZ118" s="48"/>
      <c r="GA118" s="48"/>
      <c r="GB118" s="48"/>
      <c r="GC118" s="48"/>
      <c r="GD118" s="48"/>
      <c r="GE118" s="48"/>
      <c r="GF118" s="48"/>
      <c r="GG118" s="48"/>
      <c r="GH118" s="48"/>
      <c r="GI118" s="48"/>
      <c r="GJ118" s="48"/>
      <c r="GK118" s="48"/>
      <c r="GL118" s="48"/>
      <c r="GM118" s="48"/>
      <c r="GN118" s="48"/>
      <c r="GO118" s="48"/>
      <c r="GP118" s="48"/>
      <c r="GQ118" s="48"/>
      <c r="GR118" s="48"/>
      <c r="GS118" s="48"/>
      <c r="GT118" s="48"/>
      <c r="GU118" s="48"/>
      <c r="GV118" s="48"/>
      <c r="GW118" s="48"/>
      <c r="GX118" s="48"/>
      <c r="GY118" s="48"/>
      <c r="GZ118" s="48"/>
      <c r="HA118" s="48"/>
      <c r="HB118" s="48"/>
    </row>
    <row r="119" spans="1:210" ht="15.75" customHeight="1">
      <c r="A119" s="5"/>
      <c r="B119" s="5"/>
      <c r="C119" s="5"/>
      <c r="D119" s="5"/>
      <c r="E119" s="5"/>
      <c r="F119" s="5"/>
      <c r="G119" s="49"/>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48"/>
      <c r="CQ119" s="48"/>
      <c r="CR119" s="48"/>
      <c r="CS119" s="48"/>
      <c r="CT119" s="48"/>
      <c r="CU119" s="48"/>
      <c r="CV119" s="48"/>
      <c r="CW119" s="48"/>
      <c r="CX119" s="48"/>
      <c r="CY119" s="48"/>
      <c r="CZ119" s="48"/>
      <c r="DA119" s="48"/>
      <c r="DB119" s="48"/>
      <c r="DC119" s="48"/>
      <c r="DD119" s="48"/>
      <c r="DE119" s="48"/>
      <c r="DF119" s="48"/>
      <c r="DG119" s="48"/>
      <c r="DH119" s="48"/>
      <c r="DI119" s="48"/>
      <c r="DJ119" s="48"/>
      <c r="DK119" s="48"/>
      <c r="DL119" s="48"/>
      <c r="DM119" s="48"/>
      <c r="DN119" s="48"/>
      <c r="DO119" s="48"/>
      <c r="DP119" s="48"/>
      <c r="DQ119" s="48"/>
      <c r="DR119" s="48"/>
      <c r="DS119" s="48"/>
      <c r="DT119" s="48"/>
      <c r="DU119" s="48"/>
      <c r="DV119" s="48"/>
      <c r="DW119" s="48"/>
      <c r="DX119" s="48"/>
      <c r="DY119" s="48"/>
      <c r="DZ119" s="48"/>
      <c r="EA119" s="48"/>
      <c r="EB119" s="48"/>
      <c r="EC119" s="48"/>
      <c r="ED119" s="48"/>
      <c r="EE119" s="48"/>
      <c r="EF119" s="48"/>
      <c r="EG119" s="48"/>
      <c r="EH119" s="48"/>
      <c r="EI119" s="48"/>
      <c r="EJ119" s="48"/>
      <c r="EK119" s="48"/>
      <c r="EL119" s="48"/>
      <c r="EM119" s="48"/>
      <c r="EN119" s="48"/>
      <c r="EO119" s="48"/>
      <c r="EP119" s="48"/>
      <c r="EQ119" s="48"/>
      <c r="ER119" s="48"/>
      <c r="ES119" s="48"/>
      <c r="ET119" s="48"/>
      <c r="EU119" s="48"/>
      <c r="EV119" s="48"/>
      <c r="EW119" s="48"/>
      <c r="EX119" s="48"/>
      <c r="EY119" s="48"/>
      <c r="EZ119" s="48"/>
      <c r="FA119" s="48"/>
      <c r="FB119" s="48"/>
      <c r="FC119" s="48"/>
      <c r="FD119" s="48"/>
      <c r="FE119" s="48"/>
      <c r="FF119" s="48"/>
      <c r="FG119" s="48"/>
      <c r="FH119" s="48"/>
      <c r="FI119" s="48"/>
      <c r="FJ119" s="48"/>
      <c r="FK119" s="48"/>
      <c r="FL119" s="48"/>
      <c r="FM119" s="48"/>
      <c r="FN119" s="48"/>
      <c r="FO119" s="48"/>
      <c r="FP119" s="48"/>
      <c r="FQ119" s="48"/>
      <c r="FR119" s="48"/>
      <c r="FS119" s="48"/>
      <c r="FT119" s="48"/>
      <c r="FU119" s="48"/>
      <c r="FV119" s="48"/>
      <c r="FW119" s="48"/>
      <c r="FX119" s="48"/>
      <c r="FY119" s="48"/>
      <c r="FZ119" s="48"/>
      <c r="GA119" s="48"/>
      <c r="GB119" s="48"/>
      <c r="GC119" s="48"/>
      <c r="GD119" s="48"/>
      <c r="GE119" s="48"/>
      <c r="GF119" s="48"/>
      <c r="GG119" s="48"/>
      <c r="GH119" s="48"/>
      <c r="GI119" s="48"/>
      <c r="GJ119" s="48"/>
      <c r="GK119" s="48"/>
      <c r="GL119" s="48"/>
      <c r="GM119" s="48"/>
      <c r="GN119" s="48"/>
      <c r="GO119" s="48"/>
      <c r="GP119" s="48"/>
      <c r="GQ119" s="48"/>
      <c r="GR119" s="48"/>
      <c r="GS119" s="48"/>
      <c r="GT119" s="48"/>
      <c r="GU119" s="48"/>
      <c r="GV119" s="48"/>
      <c r="GW119" s="48"/>
      <c r="GX119" s="48"/>
      <c r="GY119" s="48"/>
      <c r="GZ119" s="48"/>
      <c r="HA119" s="48"/>
      <c r="HB119" s="48"/>
    </row>
    <row r="120" spans="1:210" ht="15.75" customHeight="1">
      <c r="A120" s="5"/>
      <c r="B120" s="5"/>
      <c r="C120" s="5"/>
      <c r="D120" s="5"/>
      <c r="E120" s="5"/>
      <c r="F120" s="5"/>
      <c r="G120" s="49"/>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48"/>
      <c r="CQ120" s="48"/>
      <c r="CR120" s="48"/>
      <c r="CS120" s="48"/>
      <c r="CT120" s="48"/>
      <c r="CU120" s="48"/>
      <c r="CV120" s="48"/>
      <c r="CW120" s="48"/>
      <c r="CX120" s="48"/>
      <c r="CY120" s="48"/>
      <c r="CZ120" s="48"/>
      <c r="DA120" s="48"/>
      <c r="DB120" s="48"/>
      <c r="DC120" s="48"/>
      <c r="DD120" s="48"/>
      <c r="DE120" s="48"/>
      <c r="DF120" s="48"/>
      <c r="DG120" s="48"/>
      <c r="DH120" s="48"/>
      <c r="DI120" s="48"/>
      <c r="DJ120" s="48"/>
      <c r="DK120" s="48"/>
      <c r="DL120" s="48"/>
      <c r="DM120" s="48"/>
      <c r="DN120" s="48"/>
      <c r="DO120" s="48"/>
      <c r="DP120" s="48"/>
      <c r="DQ120" s="48"/>
      <c r="DR120" s="48"/>
      <c r="DS120" s="48"/>
      <c r="DT120" s="48"/>
      <c r="DU120" s="48"/>
      <c r="DV120" s="48"/>
      <c r="DW120" s="48"/>
      <c r="DX120" s="48"/>
      <c r="DY120" s="48"/>
      <c r="DZ120" s="48"/>
      <c r="EA120" s="48"/>
      <c r="EB120" s="48"/>
      <c r="EC120" s="48"/>
      <c r="ED120" s="48"/>
      <c r="EE120" s="48"/>
      <c r="EF120" s="48"/>
      <c r="EG120" s="48"/>
      <c r="EH120" s="48"/>
      <c r="EI120" s="48"/>
      <c r="EJ120" s="48"/>
      <c r="EK120" s="48"/>
      <c r="EL120" s="48"/>
      <c r="EM120" s="48"/>
      <c r="EN120" s="48"/>
      <c r="EO120" s="48"/>
      <c r="EP120" s="48"/>
      <c r="EQ120" s="48"/>
      <c r="ER120" s="48"/>
      <c r="ES120" s="48"/>
      <c r="ET120" s="48"/>
      <c r="EU120" s="48"/>
      <c r="EV120" s="48"/>
      <c r="EW120" s="48"/>
      <c r="EX120" s="48"/>
      <c r="EY120" s="48"/>
      <c r="EZ120" s="48"/>
      <c r="FA120" s="48"/>
      <c r="FB120" s="48"/>
      <c r="FC120" s="48"/>
      <c r="FD120" s="48"/>
      <c r="FE120" s="48"/>
      <c r="FF120" s="48"/>
      <c r="FG120" s="48"/>
      <c r="FH120" s="48"/>
      <c r="FI120" s="48"/>
      <c r="FJ120" s="48"/>
      <c r="FK120" s="48"/>
      <c r="FL120" s="48"/>
      <c r="FM120" s="48"/>
      <c r="FN120" s="48"/>
      <c r="FO120" s="48"/>
      <c r="FP120" s="48"/>
      <c r="FQ120" s="48"/>
      <c r="FR120" s="48"/>
      <c r="FS120" s="48"/>
      <c r="FT120" s="48"/>
      <c r="FU120" s="48"/>
      <c r="FV120" s="48"/>
      <c r="FW120" s="48"/>
      <c r="FX120" s="48"/>
      <c r="FY120" s="48"/>
      <c r="FZ120" s="48"/>
      <c r="GA120" s="48"/>
      <c r="GB120" s="48"/>
      <c r="GC120" s="48"/>
      <c r="GD120" s="48"/>
      <c r="GE120" s="48"/>
      <c r="GF120" s="48"/>
      <c r="GG120" s="48"/>
      <c r="GH120" s="48"/>
      <c r="GI120" s="48"/>
      <c r="GJ120" s="48"/>
      <c r="GK120" s="48"/>
      <c r="GL120" s="48"/>
      <c r="GM120" s="48"/>
      <c r="GN120" s="48"/>
      <c r="GO120" s="48"/>
      <c r="GP120" s="48"/>
      <c r="GQ120" s="48"/>
      <c r="GR120" s="48"/>
      <c r="GS120" s="48"/>
      <c r="GT120" s="48"/>
      <c r="GU120" s="48"/>
      <c r="GV120" s="48"/>
      <c r="GW120" s="48"/>
      <c r="GX120" s="48"/>
      <c r="GY120" s="48"/>
      <c r="GZ120" s="48"/>
      <c r="HA120" s="48"/>
      <c r="HB120" s="48"/>
    </row>
    <row r="121" spans="1:210" ht="15.75" customHeight="1">
      <c r="A121" s="5"/>
      <c r="B121" s="5"/>
      <c r="C121" s="5"/>
      <c r="D121" s="5"/>
      <c r="E121" s="5"/>
      <c r="F121" s="5"/>
      <c r="G121" s="49"/>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48"/>
      <c r="CQ121" s="48"/>
      <c r="CR121" s="48"/>
      <c r="CS121" s="48"/>
      <c r="CT121" s="48"/>
      <c r="CU121" s="48"/>
      <c r="CV121" s="48"/>
      <c r="CW121" s="48"/>
      <c r="CX121" s="48"/>
      <c r="CY121" s="48"/>
      <c r="CZ121" s="48"/>
      <c r="DA121" s="48"/>
      <c r="DB121" s="48"/>
      <c r="DC121" s="48"/>
      <c r="DD121" s="48"/>
      <c r="DE121" s="48"/>
      <c r="DF121" s="48"/>
      <c r="DG121" s="48"/>
      <c r="DH121" s="48"/>
      <c r="DI121" s="48"/>
      <c r="DJ121" s="48"/>
      <c r="DK121" s="48"/>
      <c r="DL121" s="48"/>
      <c r="DM121" s="48"/>
      <c r="DN121" s="48"/>
      <c r="DO121" s="48"/>
      <c r="DP121" s="48"/>
      <c r="DQ121" s="48"/>
      <c r="DR121" s="48"/>
      <c r="DS121" s="48"/>
      <c r="DT121" s="48"/>
      <c r="DU121" s="48"/>
      <c r="DV121" s="48"/>
      <c r="DW121" s="48"/>
      <c r="DX121" s="48"/>
      <c r="DY121" s="48"/>
      <c r="DZ121" s="48"/>
      <c r="EA121" s="48"/>
      <c r="EB121" s="48"/>
      <c r="EC121" s="48"/>
      <c r="ED121" s="48"/>
      <c r="EE121" s="48"/>
      <c r="EF121" s="48"/>
      <c r="EG121" s="48"/>
      <c r="EH121" s="48"/>
      <c r="EI121" s="48"/>
      <c r="EJ121" s="48"/>
      <c r="EK121" s="48"/>
      <c r="EL121" s="48"/>
      <c r="EM121" s="48"/>
      <c r="EN121" s="48"/>
      <c r="EO121" s="48"/>
      <c r="EP121" s="48"/>
      <c r="EQ121" s="48"/>
      <c r="ER121" s="48"/>
      <c r="ES121" s="48"/>
      <c r="ET121" s="48"/>
      <c r="EU121" s="48"/>
      <c r="EV121" s="48"/>
      <c r="EW121" s="48"/>
      <c r="EX121" s="48"/>
      <c r="EY121" s="48"/>
      <c r="EZ121" s="48"/>
      <c r="FA121" s="48"/>
      <c r="FB121" s="48"/>
      <c r="FC121" s="48"/>
      <c r="FD121" s="48"/>
      <c r="FE121" s="48"/>
      <c r="FF121" s="48"/>
      <c r="FG121" s="48"/>
      <c r="FH121" s="48"/>
      <c r="FI121" s="48"/>
      <c r="FJ121" s="48"/>
      <c r="FK121" s="48"/>
      <c r="FL121" s="48"/>
      <c r="FM121" s="48"/>
      <c r="FN121" s="48"/>
      <c r="FO121" s="48"/>
      <c r="FP121" s="48"/>
      <c r="FQ121" s="48"/>
      <c r="FR121" s="48"/>
      <c r="FS121" s="48"/>
      <c r="FT121" s="48"/>
      <c r="FU121" s="48"/>
      <c r="FV121" s="48"/>
      <c r="FW121" s="48"/>
      <c r="FX121" s="48"/>
      <c r="FY121" s="48"/>
      <c r="FZ121" s="48"/>
      <c r="GA121" s="48"/>
      <c r="GB121" s="48"/>
      <c r="GC121" s="48"/>
      <c r="GD121" s="48"/>
      <c r="GE121" s="48"/>
      <c r="GF121" s="48"/>
      <c r="GG121" s="48"/>
      <c r="GH121" s="48"/>
      <c r="GI121" s="48"/>
      <c r="GJ121" s="48"/>
      <c r="GK121" s="48"/>
      <c r="GL121" s="48"/>
      <c r="GM121" s="48"/>
      <c r="GN121" s="48"/>
      <c r="GO121" s="48"/>
      <c r="GP121" s="48"/>
      <c r="GQ121" s="48"/>
      <c r="GR121" s="48"/>
      <c r="GS121" s="48"/>
      <c r="GT121" s="48"/>
      <c r="GU121" s="48"/>
      <c r="GV121" s="48"/>
      <c r="GW121" s="48"/>
      <c r="GX121" s="48"/>
      <c r="GY121" s="48"/>
      <c r="GZ121" s="48"/>
      <c r="HA121" s="48"/>
      <c r="HB121" s="48"/>
    </row>
    <row r="122" spans="1:210" ht="15.75" customHeight="1">
      <c r="A122" s="5"/>
      <c r="B122" s="5"/>
      <c r="C122" s="5"/>
      <c r="D122" s="5"/>
      <c r="E122" s="5"/>
      <c r="F122" s="5"/>
      <c r="G122" s="49"/>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48"/>
      <c r="CQ122" s="48"/>
      <c r="CR122" s="48"/>
      <c r="CS122" s="48"/>
      <c r="CT122" s="48"/>
      <c r="CU122" s="48"/>
      <c r="CV122" s="48"/>
      <c r="CW122" s="48"/>
      <c r="CX122" s="48"/>
      <c r="CY122" s="48"/>
      <c r="CZ122" s="48"/>
      <c r="DA122" s="48"/>
      <c r="DB122" s="48"/>
      <c r="DC122" s="48"/>
      <c r="DD122" s="48"/>
      <c r="DE122" s="48"/>
      <c r="DF122" s="48"/>
      <c r="DG122" s="48"/>
      <c r="DH122" s="48"/>
      <c r="DI122" s="48"/>
      <c r="DJ122" s="48"/>
      <c r="DK122" s="48"/>
      <c r="DL122" s="48"/>
      <c r="DM122" s="48"/>
      <c r="DN122" s="48"/>
      <c r="DO122" s="48"/>
      <c r="DP122" s="48"/>
      <c r="DQ122" s="48"/>
      <c r="DR122" s="48"/>
      <c r="DS122" s="48"/>
      <c r="DT122" s="48"/>
      <c r="DU122" s="48"/>
      <c r="DV122" s="48"/>
      <c r="DW122" s="48"/>
      <c r="DX122" s="48"/>
      <c r="DY122" s="48"/>
      <c r="DZ122" s="48"/>
      <c r="EA122" s="48"/>
      <c r="EB122" s="48"/>
      <c r="EC122" s="48"/>
      <c r="ED122" s="48"/>
      <c r="EE122" s="48"/>
      <c r="EF122" s="48"/>
      <c r="EG122" s="48"/>
      <c r="EH122" s="48"/>
      <c r="EI122" s="48"/>
      <c r="EJ122" s="48"/>
      <c r="EK122" s="48"/>
      <c r="EL122" s="48"/>
      <c r="EM122" s="48"/>
      <c r="EN122" s="48"/>
      <c r="EO122" s="48"/>
      <c r="EP122" s="48"/>
      <c r="EQ122" s="48"/>
      <c r="ER122" s="48"/>
      <c r="ES122" s="48"/>
      <c r="ET122" s="48"/>
      <c r="EU122" s="48"/>
      <c r="EV122" s="48"/>
      <c r="EW122" s="48"/>
      <c r="EX122" s="48"/>
      <c r="EY122" s="48"/>
      <c r="EZ122" s="48"/>
      <c r="FA122" s="48"/>
      <c r="FB122" s="48"/>
      <c r="FC122" s="48"/>
      <c r="FD122" s="48"/>
      <c r="FE122" s="48"/>
      <c r="FF122" s="48"/>
      <c r="FG122" s="48"/>
      <c r="FH122" s="48"/>
      <c r="FI122" s="48"/>
      <c r="FJ122" s="48"/>
      <c r="FK122" s="48"/>
      <c r="FL122" s="48"/>
      <c r="FM122" s="48"/>
      <c r="FN122" s="48"/>
      <c r="FO122" s="48"/>
      <c r="FP122" s="48"/>
      <c r="FQ122" s="48"/>
      <c r="FR122" s="48"/>
      <c r="FS122" s="48"/>
      <c r="FT122" s="48"/>
      <c r="FU122" s="48"/>
      <c r="FV122" s="48"/>
      <c r="FW122" s="48"/>
      <c r="FX122" s="48"/>
      <c r="FY122" s="48"/>
      <c r="FZ122" s="48"/>
      <c r="GA122" s="48"/>
      <c r="GB122" s="48"/>
      <c r="GC122" s="48"/>
      <c r="GD122" s="48"/>
      <c r="GE122" s="48"/>
      <c r="GF122" s="48"/>
      <c r="GG122" s="48"/>
      <c r="GH122" s="48"/>
      <c r="GI122" s="48"/>
      <c r="GJ122" s="48"/>
      <c r="GK122" s="48"/>
      <c r="GL122" s="48"/>
      <c r="GM122" s="48"/>
      <c r="GN122" s="48"/>
      <c r="GO122" s="48"/>
      <c r="GP122" s="48"/>
      <c r="GQ122" s="48"/>
      <c r="GR122" s="48"/>
      <c r="GS122" s="48"/>
      <c r="GT122" s="48"/>
      <c r="GU122" s="48"/>
      <c r="GV122" s="48"/>
      <c r="GW122" s="48"/>
      <c r="GX122" s="48"/>
      <c r="GY122" s="48"/>
      <c r="GZ122" s="48"/>
      <c r="HA122" s="48"/>
      <c r="HB122" s="48"/>
    </row>
    <row r="123" spans="1:210" ht="15.75" customHeight="1">
      <c r="A123" s="5"/>
      <c r="B123" s="5"/>
      <c r="C123" s="5"/>
      <c r="D123" s="5"/>
      <c r="E123" s="5"/>
      <c r="F123" s="5"/>
      <c r="G123" s="49"/>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48"/>
      <c r="CQ123" s="48"/>
      <c r="CR123" s="48"/>
      <c r="CS123" s="48"/>
      <c r="CT123" s="48"/>
      <c r="CU123" s="48"/>
      <c r="CV123" s="48"/>
      <c r="CW123" s="48"/>
      <c r="CX123" s="48"/>
      <c r="CY123" s="48"/>
      <c r="CZ123" s="48"/>
      <c r="DA123" s="48"/>
      <c r="DB123" s="48"/>
      <c r="DC123" s="48"/>
      <c r="DD123" s="48"/>
      <c r="DE123" s="48"/>
      <c r="DF123" s="48"/>
      <c r="DG123" s="48"/>
      <c r="DH123" s="48"/>
      <c r="DI123" s="48"/>
      <c r="DJ123" s="48"/>
      <c r="DK123" s="48"/>
      <c r="DL123" s="48"/>
      <c r="DM123" s="48"/>
      <c r="DN123" s="48"/>
      <c r="DO123" s="48"/>
      <c r="DP123" s="48"/>
      <c r="DQ123" s="48"/>
      <c r="DR123" s="48"/>
      <c r="DS123" s="48"/>
      <c r="DT123" s="48"/>
      <c r="DU123" s="48"/>
      <c r="DV123" s="48"/>
      <c r="DW123" s="48"/>
      <c r="DX123" s="48"/>
      <c r="DY123" s="48"/>
      <c r="DZ123" s="48"/>
      <c r="EA123" s="48"/>
      <c r="EB123" s="48"/>
      <c r="EC123" s="48"/>
      <c r="ED123" s="48"/>
      <c r="EE123" s="48"/>
      <c r="EF123" s="48"/>
      <c r="EG123" s="48"/>
      <c r="EH123" s="48"/>
      <c r="EI123" s="48"/>
      <c r="EJ123" s="48"/>
      <c r="EK123" s="48"/>
      <c r="EL123" s="48"/>
      <c r="EM123" s="48"/>
      <c r="EN123" s="48"/>
      <c r="EO123" s="48"/>
      <c r="EP123" s="48"/>
      <c r="EQ123" s="48"/>
      <c r="ER123" s="48"/>
      <c r="ES123" s="48"/>
      <c r="ET123" s="48"/>
      <c r="EU123" s="48"/>
      <c r="EV123" s="48"/>
      <c r="EW123" s="48"/>
      <c r="EX123" s="48"/>
      <c r="EY123" s="48"/>
      <c r="EZ123" s="48"/>
      <c r="FA123" s="48"/>
      <c r="FB123" s="48"/>
      <c r="FC123" s="48"/>
      <c r="FD123" s="48"/>
      <c r="FE123" s="48"/>
      <c r="FF123" s="48"/>
      <c r="FG123" s="48"/>
      <c r="FH123" s="48"/>
      <c r="FI123" s="48"/>
      <c r="FJ123" s="48"/>
      <c r="FK123" s="48"/>
      <c r="FL123" s="48"/>
      <c r="FM123" s="48"/>
      <c r="FN123" s="48"/>
      <c r="FO123" s="48"/>
      <c r="FP123" s="48"/>
      <c r="FQ123" s="48"/>
      <c r="FR123" s="48"/>
      <c r="FS123" s="48"/>
      <c r="FT123" s="48"/>
      <c r="FU123" s="48"/>
      <c r="FV123" s="48"/>
      <c r="FW123" s="48"/>
      <c r="FX123" s="48"/>
      <c r="FY123" s="48"/>
      <c r="FZ123" s="48"/>
      <c r="GA123" s="48"/>
      <c r="GB123" s="48"/>
      <c r="GC123" s="48"/>
      <c r="GD123" s="48"/>
      <c r="GE123" s="48"/>
      <c r="GF123" s="48"/>
      <c r="GG123" s="48"/>
      <c r="GH123" s="48"/>
      <c r="GI123" s="48"/>
      <c r="GJ123" s="48"/>
      <c r="GK123" s="48"/>
      <c r="GL123" s="48"/>
      <c r="GM123" s="48"/>
      <c r="GN123" s="48"/>
      <c r="GO123" s="48"/>
      <c r="GP123" s="48"/>
      <c r="GQ123" s="48"/>
      <c r="GR123" s="48"/>
      <c r="GS123" s="48"/>
      <c r="GT123" s="48"/>
      <c r="GU123" s="48"/>
      <c r="GV123" s="48"/>
      <c r="GW123" s="48"/>
      <c r="GX123" s="48"/>
      <c r="GY123" s="48"/>
      <c r="GZ123" s="48"/>
      <c r="HA123" s="48"/>
      <c r="HB123" s="48"/>
    </row>
    <row r="124" spans="1:210" ht="15.75" customHeight="1">
      <c r="A124" s="5"/>
      <c r="B124" s="5"/>
      <c r="C124" s="5"/>
      <c r="D124" s="5"/>
      <c r="E124" s="5"/>
      <c r="F124" s="5"/>
      <c r="G124" s="49"/>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48"/>
      <c r="CQ124" s="48"/>
      <c r="CR124" s="48"/>
      <c r="CS124" s="48"/>
      <c r="CT124" s="48"/>
      <c r="CU124" s="48"/>
      <c r="CV124" s="48"/>
      <c r="CW124" s="48"/>
      <c r="CX124" s="48"/>
      <c r="CY124" s="48"/>
      <c r="CZ124" s="48"/>
      <c r="DA124" s="48"/>
      <c r="DB124" s="48"/>
      <c r="DC124" s="48"/>
      <c r="DD124" s="48"/>
      <c r="DE124" s="48"/>
      <c r="DF124" s="48"/>
      <c r="DG124" s="48"/>
      <c r="DH124" s="48"/>
      <c r="DI124" s="48"/>
      <c r="DJ124" s="48"/>
      <c r="DK124" s="48"/>
      <c r="DL124" s="48"/>
      <c r="DM124" s="48"/>
      <c r="DN124" s="48"/>
      <c r="DO124" s="48"/>
      <c r="DP124" s="48"/>
      <c r="DQ124" s="48"/>
      <c r="DR124" s="48"/>
      <c r="DS124" s="48"/>
      <c r="DT124" s="48"/>
      <c r="DU124" s="48"/>
      <c r="DV124" s="48"/>
      <c r="DW124" s="48"/>
      <c r="DX124" s="48"/>
      <c r="DY124" s="48"/>
      <c r="DZ124" s="48"/>
      <c r="EA124" s="48"/>
      <c r="EB124" s="48"/>
      <c r="EC124" s="48"/>
      <c r="ED124" s="48"/>
      <c r="EE124" s="48"/>
      <c r="EF124" s="48"/>
      <c r="EG124" s="48"/>
      <c r="EH124" s="48"/>
      <c r="EI124" s="48"/>
      <c r="EJ124" s="48"/>
      <c r="EK124" s="48"/>
      <c r="EL124" s="48"/>
      <c r="EM124" s="48"/>
      <c r="EN124" s="48"/>
      <c r="EO124" s="48"/>
      <c r="EP124" s="48"/>
      <c r="EQ124" s="48"/>
      <c r="ER124" s="48"/>
      <c r="ES124" s="48"/>
      <c r="ET124" s="48"/>
      <c r="EU124" s="48"/>
      <c r="EV124" s="48"/>
      <c r="EW124" s="48"/>
      <c r="EX124" s="48"/>
      <c r="EY124" s="48"/>
      <c r="EZ124" s="48"/>
      <c r="FA124" s="48"/>
      <c r="FB124" s="48"/>
      <c r="FC124" s="48"/>
      <c r="FD124" s="48"/>
      <c r="FE124" s="48"/>
      <c r="FF124" s="48"/>
      <c r="FG124" s="48"/>
      <c r="FH124" s="48"/>
      <c r="FI124" s="48"/>
      <c r="FJ124" s="48"/>
      <c r="FK124" s="48"/>
      <c r="FL124" s="48"/>
      <c r="FM124" s="48"/>
      <c r="FN124" s="48"/>
      <c r="FO124" s="48"/>
      <c r="FP124" s="48"/>
      <c r="FQ124" s="48"/>
      <c r="FR124" s="48"/>
      <c r="FS124" s="48"/>
      <c r="FT124" s="48"/>
      <c r="FU124" s="48"/>
      <c r="FV124" s="48"/>
      <c r="FW124" s="48"/>
      <c r="FX124" s="48"/>
      <c r="FY124" s="48"/>
      <c r="FZ124" s="48"/>
      <c r="GA124" s="48"/>
      <c r="GB124" s="48"/>
      <c r="GC124" s="48"/>
      <c r="GD124" s="48"/>
      <c r="GE124" s="48"/>
      <c r="GF124" s="48"/>
      <c r="GG124" s="48"/>
      <c r="GH124" s="48"/>
      <c r="GI124" s="48"/>
      <c r="GJ124" s="48"/>
      <c r="GK124" s="48"/>
      <c r="GL124" s="48"/>
      <c r="GM124" s="48"/>
      <c r="GN124" s="48"/>
      <c r="GO124" s="48"/>
      <c r="GP124" s="48"/>
      <c r="GQ124" s="48"/>
      <c r="GR124" s="48"/>
      <c r="GS124" s="48"/>
      <c r="GT124" s="48"/>
      <c r="GU124" s="48"/>
      <c r="GV124" s="48"/>
      <c r="GW124" s="48"/>
      <c r="GX124" s="48"/>
      <c r="GY124" s="48"/>
      <c r="GZ124" s="48"/>
      <c r="HA124" s="48"/>
      <c r="HB124" s="48"/>
    </row>
    <row r="125" spans="1:210" ht="15.75" customHeight="1">
      <c r="A125" s="5"/>
      <c r="B125" s="5"/>
      <c r="C125" s="5"/>
      <c r="D125" s="5"/>
      <c r="E125" s="5"/>
      <c r="F125" s="5"/>
      <c r="G125" s="49"/>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48"/>
      <c r="CQ125" s="48"/>
      <c r="CR125" s="48"/>
      <c r="CS125" s="48"/>
      <c r="CT125" s="48"/>
      <c r="CU125" s="48"/>
      <c r="CV125" s="48"/>
      <c r="CW125" s="48"/>
      <c r="CX125" s="48"/>
      <c r="CY125" s="48"/>
      <c r="CZ125" s="48"/>
      <c r="DA125" s="48"/>
      <c r="DB125" s="48"/>
      <c r="DC125" s="48"/>
      <c r="DD125" s="48"/>
      <c r="DE125" s="48"/>
      <c r="DF125" s="48"/>
      <c r="DG125" s="48"/>
      <c r="DH125" s="48"/>
      <c r="DI125" s="48"/>
      <c r="DJ125" s="48"/>
      <c r="DK125" s="48"/>
      <c r="DL125" s="48"/>
      <c r="DM125" s="48"/>
      <c r="DN125" s="48"/>
      <c r="DO125" s="48"/>
      <c r="DP125" s="48"/>
      <c r="DQ125" s="48"/>
      <c r="DR125" s="48"/>
      <c r="DS125" s="48"/>
      <c r="DT125" s="48"/>
      <c r="DU125" s="48"/>
      <c r="DV125" s="48"/>
      <c r="DW125" s="48"/>
      <c r="DX125" s="48"/>
      <c r="DY125" s="48"/>
      <c r="DZ125" s="48"/>
      <c r="EA125" s="48"/>
      <c r="EB125" s="48"/>
      <c r="EC125" s="48"/>
      <c r="ED125" s="48"/>
      <c r="EE125" s="48"/>
      <c r="EF125" s="48"/>
      <c r="EG125" s="48"/>
      <c r="EH125" s="48"/>
      <c r="EI125" s="48"/>
      <c r="EJ125" s="48"/>
      <c r="EK125" s="48"/>
      <c r="EL125" s="48"/>
      <c r="EM125" s="48"/>
      <c r="EN125" s="48"/>
      <c r="EO125" s="48"/>
      <c r="EP125" s="48"/>
      <c r="EQ125" s="48"/>
      <c r="ER125" s="48"/>
      <c r="ES125" s="48"/>
      <c r="ET125" s="48"/>
      <c r="EU125" s="48"/>
      <c r="EV125" s="48"/>
      <c r="EW125" s="48"/>
      <c r="EX125" s="48"/>
      <c r="EY125" s="48"/>
      <c r="EZ125" s="48"/>
      <c r="FA125" s="48"/>
      <c r="FB125" s="48"/>
      <c r="FC125" s="48"/>
      <c r="FD125" s="48"/>
      <c r="FE125" s="48"/>
      <c r="FF125" s="48"/>
      <c r="FG125" s="48"/>
      <c r="FH125" s="48"/>
      <c r="FI125" s="48"/>
      <c r="FJ125" s="48"/>
      <c r="FK125" s="48"/>
      <c r="FL125" s="48"/>
      <c r="FM125" s="48"/>
      <c r="FN125" s="48"/>
      <c r="FO125" s="48"/>
      <c r="FP125" s="48"/>
      <c r="FQ125" s="48"/>
      <c r="FR125" s="48"/>
      <c r="FS125" s="48"/>
      <c r="FT125" s="48"/>
      <c r="FU125" s="48"/>
      <c r="FV125" s="48"/>
      <c r="FW125" s="48"/>
      <c r="FX125" s="48"/>
      <c r="FY125" s="48"/>
      <c r="FZ125" s="48"/>
      <c r="GA125" s="48"/>
      <c r="GB125" s="48"/>
      <c r="GC125" s="48"/>
      <c r="GD125" s="48"/>
      <c r="GE125" s="48"/>
      <c r="GF125" s="48"/>
      <c r="GG125" s="48"/>
      <c r="GH125" s="48"/>
      <c r="GI125" s="48"/>
      <c r="GJ125" s="48"/>
      <c r="GK125" s="48"/>
      <c r="GL125" s="48"/>
      <c r="GM125" s="48"/>
      <c r="GN125" s="48"/>
      <c r="GO125" s="48"/>
      <c r="GP125" s="48"/>
      <c r="GQ125" s="48"/>
      <c r="GR125" s="48"/>
      <c r="GS125" s="48"/>
      <c r="GT125" s="48"/>
      <c r="GU125" s="48"/>
      <c r="GV125" s="48"/>
      <c r="GW125" s="48"/>
      <c r="GX125" s="48"/>
      <c r="GY125" s="48"/>
      <c r="GZ125" s="48"/>
      <c r="HA125" s="48"/>
      <c r="HB125" s="48"/>
    </row>
    <row r="126" spans="1:210" ht="15.75" customHeight="1">
      <c r="A126" s="5"/>
      <c r="B126" s="5"/>
      <c r="C126" s="5"/>
      <c r="D126" s="5"/>
      <c r="E126" s="5"/>
      <c r="F126" s="5"/>
      <c r="G126" s="49"/>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48"/>
      <c r="CQ126" s="48"/>
      <c r="CR126" s="48"/>
      <c r="CS126" s="48"/>
      <c r="CT126" s="48"/>
      <c r="CU126" s="48"/>
      <c r="CV126" s="48"/>
      <c r="CW126" s="48"/>
      <c r="CX126" s="48"/>
      <c r="CY126" s="48"/>
      <c r="CZ126" s="48"/>
      <c r="DA126" s="48"/>
      <c r="DB126" s="48"/>
      <c r="DC126" s="48"/>
      <c r="DD126" s="48"/>
      <c r="DE126" s="48"/>
      <c r="DF126" s="48"/>
      <c r="DG126" s="48"/>
      <c r="DH126" s="48"/>
      <c r="DI126" s="48"/>
      <c r="DJ126" s="48"/>
      <c r="DK126" s="48"/>
      <c r="DL126" s="48"/>
      <c r="DM126" s="48"/>
      <c r="DN126" s="48"/>
      <c r="DO126" s="48"/>
      <c r="DP126" s="48"/>
      <c r="DQ126" s="48"/>
      <c r="DR126" s="48"/>
      <c r="DS126" s="48"/>
      <c r="DT126" s="48"/>
      <c r="DU126" s="48"/>
      <c r="DV126" s="48"/>
      <c r="DW126" s="48"/>
      <c r="DX126" s="48"/>
      <c r="DY126" s="48"/>
      <c r="DZ126" s="48"/>
      <c r="EA126" s="48"/>
      <c r="EB126" s="48"/>
      <c r="EC126" s="48"/>
      <c r="ED126" s="48"/>
      <c r="EE126" s="48"/>
      <c r="EF126" s="48"/>
      <c r="EG126" s="48"/>
      <c r="EH126" s="48"/>
      <c r="EI126" s="48"/>
      <c r="EJ126" s="48"/>
      <c r="EK126" s="48"/>
      <c r="EL126" s="48"/>
      <c r="EM126" s="48"/>
      <c r="EN126" s="48"/>
      <c r="EO126" s="48"/>
      <c r="EP126" s="48"/>
      <c r="EQ126" s="48"/>
      <c r="ER126" s="48"/>
      <c r="ES126" s="48"/>
      <c r="ET126" s="48"/>
      <c r="EU126" s="48"/>
      <c r="EV126" s="48"/>
      <c r="EW126" s="48"/>
      <c r="EX126" s="48"/>
      <c r="EY126" s="48"/>
      <c r="EZ126" s="48"/>
      <c r="FA126" s="48"/>
      <c r="FB126" s="48"/>
      <c r="FC126" s="48"/>
      <c r="FD126" s="48"/>
      <c r="FE126" s="48"/>
      <c r="FF126" s="48"/>
      <c r="FG126" s="48"/>
      <c r="FH126" s="48"/>
      <c r="FI126" s="48"/>
      <c r="FJ126" s="48"/>
      <c r="FK126" s="48"/>
      <c r="FL126" s="48"/>
      <c r="FM126" s="48"/>
      <c r="FN126" s="48"/>
      <c r="FO126" s="48"/>
      <c r="FP126" s="48"/>
      <c r="FQ126" s="48"/>
      <c r="FR126" s="48"/>
      <c r="FS126" s="48"/>
      <c r="FT126" s="48"/>
      <c r="FU126" s="48"/>
      <c r="FV126" s="48"/>
      <c r="FW126" s="48"/>
      <c r="FX126" s="48"/>
      <c r="FY126" s="48"/>
      <c r="FZ126" s="48"/>
      <c r="GA126" s="48"/>
      <c r="GB126" s="48"/>
      <c r="GC126" s="48"/>
      <c r="GD126" s="48"/>
      <c r="GE126" s="48"/>
      <c r="GF126" s="48"/>
      <c r="GG126" s="48"/>
      <c r="GH126" s="48"/>
      <c r="GI126" s="48"/>
      <c r="GJ126" s="48"/>
      <c r="GK126" s="48"/>
      <c r="GL126" s="48"/>
      <c r="GM126" s="48"/>
      <c r="GN126" s="48"/>
      <c r="GO126" s="48"/>
      <c r="GP126" s="48"/>
      <c r="GQ126" s="48"/>
      <c r="GR126" s="48"/>
      <c r="GS126" s="48"/>
      <c r="GT126" s="48"/>
      <c r="GU126" s="48"/>
      <c r="GV126" s="48"/>
      <c r="GW126" s="48"/>
      <c r="GX126" s="48"/>
      <c r="GY126" s="48"/>
      <c r="GZ126" s="48"/>
      <c r="HA126" s="48"/>
      <c r="HB126" s="48"/>
    </row>
    <row r="127" spans="1:210" ht="15.75" customHeight="1">
      <c r="A127" s="5"/>
      <c r="B127" s="5"/>
      <c r="C127" s="5"/>
      <c r="D127" s="5"/>
      <c r="E127" s="5"/>
      <c r="F127" s="5"/>
      <c r="G127" s="49"/>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48"/>
      <c r="CQ127" s="48"/>
      <c r="CR127" s="48"/>
      <c r="CS127" s="48"/>
      <c r="CT127" s="48"/>
      <c r="CU127" s="48"/>
      <c r="CV127" s="48"/>
      <c r="CW127" s="48"/>
      <c r="CX127" s="48"/>
      <c r="CY127" s="48"/>
      <c r="CZ127" s="48"/>
      <c r="DA127" s="48"/>
      <c r="DB127" s="48"/>
      <c r="DC127" s="48"/>
      <c r="DD127" s="48"/>
      <c r="DE127" s="48"/>
      <c r="DF127" s="48"/>
      <c r="DG127" s="48"/>
      <c r="DH127" s="48"/>
      <c r="DI127" s="48"/>
      <c r="DJ127" s="48"/>
      <c r="DK127" s="48"/>
      <c r="DL127" s="48"/>
      <c r="DM127" s="48"/>
      <c r="DN127" s="48"/>
      <c r="DO127" s="48"/>
      <c r="DP127" s="48"/>
      <c r="DQ127" s="48"/>
      <c r="DR127" s="48"/>
      <c r="DS127" s="48"/>
      <c r="DT127" s="48"/>
      <c r="DU127" s="48"/>
      <c r="DV127" s="48"/>
      <c r="DW127" s="48"/>
      <c r="DX127" s="48"/>
      <c r="DY127" s="48"/>
      <c r="DZ127" s="48"/>
      <c r="EA127" s="48"/>
      <c r="EB127" s="48"/>
      <c r="EC127" s="48"/>
      <c r="ED127" s="48"/>
      <c r="EE127" s="48"/>
      <c r="EF127" s="48"/>
      <c r="EG127" s="48"/>
      <c r="EH127" s="48"/>
      <c r="EI127" s="48"/>
      <c r="EJ127" s="48"/>
      <c r="EK127" s="48"/>
      <c r="EL127" s="48"/>
      <c r="EM127" s="48"/>
      <c r="EN127" s="48"/>
      <c r="EO127" s="48"/>
      <c r="EP127" s="48"/>
      <c r="EQ127" s="48"/>
      <c r="ER127" s="48"/>
      <c r="ES127" s="48"/>
      <c r="ET127" s="48"/>
      <c r="EU127" s="48"/>
      <c r="EV127" s="48"/>
      <c r="EW127" s="48"/>
      <c r="EX127" s="48"/>
      <c r="EY127" s="48"/>
      <c r="EZ127" s="48"/>
      <c r="FA127" s="48"/>
      <c r="FB127" s="48"/>
      <c r="FC127" s="48"/>
      <c r="FD127" s="48"/>
      <c r="FE127" s="48"/>
      <c r="FF127" s="48"/>
      <c r="FG127" s="48"/>
      <c r="FH127" s="48"/>
      <c r="FI127" s="48"/>
      <c r="FJ127" s="48"/>
      <c r="FK127" s="48"/>
      <c r="FL127" s="48"/>
      <c r="FM127" s="48"/>
      <c r="FN127" s="48"/>
      <c r="FO127" s="48"/>
      <c r="FP127" s="48"/>
      <c r="FQ127" s="48"/>
      <c r="FR127" s="48"/>
      <c r="FS127" s="48"/>
      <c r="FT127" s="48"/>
      <c r="FU127" s="48"/>
      <c r="FV127" s="48"/>
      <c r="FW127" s="48"/>
      <c r="FX127" s="48"/>
      <c r="FY127" s="48"/>
      <c r="FZ127" s="48"/>
      <c r="GA127" s="48"/>
      <c r="GB127" s="48"/>
      <c r="GC127" s="48"/>
      <c r="GD127" s="48"/>
      <c r="GE127" s="48"/>
      <c r="GF127" s="48"/>
      <c r="GG127" s="48"/>
      <c r="GH127" s="48"/>
      <c r="GI127" s="48"/>
      <c r="GJ127" s="48"/>
      <c r="GK127" s="48"/>
      <c r="GL127" s="48"/>
      <c r="GM127" s="48"/>
      <c r="GN127" s="48"/>
      <c r="GO127" s="48"/>
      <c r="GP127" s="48"/>
      <c r="GQ127" s="48"/>
      <c r="GR127" s="48"/>
      <c r="GS127" s="48"/>
      <c r="GT127" s="48"/>
      <c r="GU127" s="48"/>
      <c r="GV127" s="48"/>
      <c r="GW127" s="48"/>
      <c r="GX127" s="48"/>
      <c r="GY127" s="48"/>
      <c r="GZ127" s="48"/>
      <c r="HA127" s="48"/>
      <c r="HB127" s="48"/>
    </row>
    <row r="128" spans="1:210" ht="15.75" customHeight="1">
      <c r="A128" s="5"/>
      <c r="B128" s="5"/>
      <c r="C128" s="5"/>
      <c r="D128" s="5"/>
      <c r="E128" s="5"/>
      <c r="F128" s="5"/>
      <c r="G128" s="49"/>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48"/>
      <c r="CQ128" s="48"/>
      <c r="CR128" s="48"/>
      <c r="CS128" s="48"/>
      <c r="CT128" s="48"/>
      <c r="CU128" s="48"/>
      <c r="CV128" s="48"/>
      <c r="CW128" s="48"/>
      <c r="CX128" s="48"/>
      <c r="CY128" s="48"/>
      <c r="CZ128" s="48"/>
      <c r="DA128" s="48"/>
      <c r="DB128" s="48"/>
      <c r="DC128" s="48"/>
      <c r="DD128" s="48"/>
      <c r="DE128" s="48"/>
      <c r="DF128" s="48"/>
      <c r="DG128" s="48"/>
      <c r="DH128" s="48"/>
      <c r="DI128" s="48"/>
      <c r="DJ128" s="48"/>
      <c r="DK128" s="48"/>
      <c r="DL128" s="48"/>
      <c r="DM128" s="48"/>
      <c r="DN128" s="48"/>
      <c r="DO128" s="48"/>
      <c r="DP128" s="48"/>
      <c r="DQ128" s="48"/>
      <c r="DR128" s="48"/>
      <c r="DS128" s="48"/>
      <c r="DT128" s="48"/>
      <c r="DU128" s="48"/>
      <c r="DV128" s="48"/>
      <c r="DW128" s="48"/>
      <c r="DX128" s="48"/>
      <c r="DY128" s="48"/>
      <c r="DZ128" s="48"/>
      <c r="EA128" s="48"/>
      <c r="EB128" s="48"/>
      <c r="EC128" s="48"/>
      <c r="ED128" s="48"/>
      <c r="EE128" s="48"/>
      <c r="EF128" s="48"/>
      <c r="EG128" s="48"/>
      <c r="EH128" s="48"/>
      <c r="EI128" s="48"/>
      <c r="EJ128" s="48"/>
      <c r="EK128" s="48"/>
      <c r="EL128" s="48"/>
      <c r="EM128" s="48"/>
      <c r="EN128" s="48"/>
      <c r="EO128" s="48"/>
      <c r="EP128" s="48"/>
      <c r="EQ128" s="48"/>
      <c r="ER128" s="48"/>
      <c r="ES128" s="48"/>
      <c r="ET128" s="48"/>
      <c r="EU128" s="48"/>
      <c r="EV128" s="48"/>
      <c r="EW128" s="48"/>
      <c r="EX128" s="48"/>
      <c r="EY128" s="48"/>
      <c r="EZ128" s="48"/>
      <c r="FA128" s="48"/>
      <c r="FB128" s="48"/>
      <c r="FC128" s="48"/>
      <c r="FD128" s="48"/>
      <c r="FE128" s="48"/>
      <c r="FF128" s="48"/>
      <c r="FG128" s="48"/>
      <c r="FH128" s="48"/>
      <c r="FI128" s="48"/>
      <c r="FJ128" s="48"/>
      <c r="FK128" s="48"/>
      <c r="FL128" s="48"/>
      <c r="FM128" s="48"/>
      <c r="FN128" s="48"/>
      <c r="FO128" s="48"/>
      <c r="FP128" s="48"/>
      <c r="FQ128" s="48"/>
      <c r="FR128" s="48"/>
      <c r="FS128" s="48"/>
      <c r="FT128" s="48"/>
      <c r="FU128" s="48"/>
      <c r="FV128" s="48"/>
      <c r="FW128" s="48"/>
      <c r="FX128" s="48"/>
      <c r="FY128" s="48"/>
      <c r="FZ128" s="48"/>
      <c r="GA128" s="48"/>
      <c r="GB128" s="48"/>
      <c r="GC128" s="48"/>
      <c r="GD128" s="48"/>
      <c r="GE128" s="48"/>
      <c r="GF128" s="48"/>
      <c r="GG128" s="48"/>
      <c r="GH128" s="48"/>
      <c r="GI128" s="48"/>
      <c r="GJ128" s="48"/>
      <c r="GK128" s="48"/>
      <c r="GL128" s="48"/>
      <c r="GM128" s="48"/>
      <c r="GN128" s="48"/>
      <c r="GO128" s="48"/>
      <c r="GP128" s="48"/>
      <c r="GQ128" s="48"/>
      <c r="GR128" s="48"/>
      <c r="GS128" s="48"/>
      <c r="GT128" s="48"/>
      <c r="GU128" s="48"/>
      <c r="GV128" s="48"/>
      <c r="GW128" s="48"/>
      <c r="GX128" s="48"/>
      <c r="GY128" s="48"/>
      <c r="GZ128" s="48"/>
      <c r="HA128" s="48"/>
      <c r="HB128" s="48"/>
    </row>
    <row r="129" spans="1:210" ht="15.75" customHeight="1">
      <c r="A129" s="5"/>
      <c r="B129" s="5"/>
      <c r="C129" s="5"/>
      <c r="D129" s="5"/>
      <c r="E129" s="5"/>
      <c r="F129" s="5"/>
      <c r="G129" s="49"/>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48"/>
      <c r="CQ129" s="48"/>
      <c r="CR129" s="48"/>
      <c r="CS129" s="48"/>
      <c r="CT129" s="48"/>
      <c r="CU129" s="48"/>
      <c r="CV129" s="48"/>
      <c r="CW129" s="48"/>
      <c r="CX129" s="48"/>
      <c r="CY129" s="48"/>
      <c r="CZ129" s="48"/>
      <c r="DA129" s="48"/>
      <c r="DB129" s="48"/>
      <c r="DC129" s="48"/>
      <c r="DD129" s="48"/>
      <c r="DE129" s="48"/>
      <c r="DF129" s="48"/>
      <c r="DG129" s="48"/>
      <c r="DH129" s="48"/>
      <c r="DI129" s="48"/>
      <c r="DJ129" s="48"/>
      <c r="DK129" s="48"/>
      <c r="DL129" s="48"/>
      <c r="DM129" s="48"/>
      <c r="DN129" s="48"/>
      <c r="DO129" s="48"/>
      <c r="DP129" s="48"/>
      <c r="DQ129" s="48"/>
      <c r="DR129" s="48"/>
      <c r="DS129" s="48"/>
      <c r="DT129" s="48"/>
      <c r="DU129" s="48"/>
      <c r="DV129" s="48"/>
      <c r="DW129" s="48"/>
      <c r="DX129" s="48"/>
      <c r="DY129" s="48"/>
      <c r="DZ129" s="48"/>
      <c r="EA129" s="48"/>
      <c r="EB129" s="48"/>
      <c r="EC129" s="48"/>
      <c r="ED129" s="48"/>
      <c r="EE129" s="48"/>
      <c r="EF129" s="48"/>
      <c r="EG129" s="48"/>
      <c r="EH129" s="48"/>
      <c r="EI129" s="48"/>
      <c r="EJ129" s="48"/>
      <c r="EK129" s="48"/>
      <c r="EL129" s="48"/>
      <c r="EM129" s="48"/>
      <c r="EN129" s="48"/>
      <c r="EO129" s="48"/>
      <c r="EP129" s="48"/>
      <c r="EQ129" s="48"/>
      <c r="ER129" s="48"/>
      <c r="ES129" s="48"/>
      <c r="ET129" s="48"/>
      <c r="EU129" s="48"/>
      <c r="EV129" s="48"/>
      <c r="EW129" s="48"/>
      <c r="EX129" s="48"/>
      <c r="EY129" s="48"/>
      <c r="EZ129" s="48"/>
      <c r="FA129" s="48"/>
      <c r="FB129" s="48"/>
      <c r="FC129" s="48"/>
      <c r="FD129" s="48"/>
      <c r="FE129" s="48"/>
      <c r="FF129" s="48"/>
      <c r="FG129" s="48"/>
      <c r="FH129" s="48"/>
      <c r="FI129" s="48"/>
      <c r="FJ129" s="48"/>
      <c r="FK129" s="48"/>
      <c r="FL129" s="48"/>
      <c r="FM129" s="48"/>
      <c r="FN129" s="48"/>
      <c r="FO129" s="48"/>
      <c r="FP129" s="48"/>
      <c r="FQ129" s="48"/>
      <c r="FR129" s="48"/>
      <c r="FS129" s="48"/>
      <c r="FT129" s="48"/>
      <c r="FU129" s="48"/>
      <c r="FV129" s="48"/>
      <c r="FW129" s="48"/>
      <c r="FX129" s="48"/>
      <c r="FY129" s="48"/>
      <c r="FZ129" s="48"/>
      <c r="GA129" s="48"/>
      <c r="GB129" s="48"/>
      <c r="GC129" s="48"/>
      <c r="GD129" s="48"/>
      <c r="GE129" s="48"/>
      <c r="GF129" s="48"/>
      <c r="GG129" s="48"/>
      <c r="GH129" s="48"/>
      <c r="GI129" s="48"/>
      <c r="GJ129" s="48"/>
      <c r="GK129" s="48"/>
      <c r="GL129" s="48"/>
      <c r="GM129" s="48"/>
      <c r="GN129" s="48"/>
      <c r="GO129" s="48"/>
      <c r="GP129" s="48"/>
      <c r="GQ129" s="48"/>
      <c r="GR129" s="48"/>
      <c r="GS129" s="48"/>
      <c r="GT129" s="48"/>
      <c r="GU129" s="48"/>
      <c r="GV129" s="48"/>
      <c r="GW129" s="48"/>
      <c r="GX129" s="48"/>
      <c r="GY129" s="48"/>
      <c r="GZ129" s="48"/>
      <c r="HA129" s="48"/>
      <c r="HB129" s="48"/>
    </row>
    <row r="130" spans="1:210" ht="15.75" customHeight="1">
      <c r="A130" s="5"/>
      <c r="B130" s="5"/>
      <c r="C130" s="5"/>
      <c r="D130" s="5"/>
      <c r="E130" s="5"/>
      <c r="F130" s="5"/>
      <c r="G130" s="49"/>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48"/>
      <c r="CQ130" s="48"/>
      <c r="CR130" s="48"/>
      <c r="CS130" s="48"/>
      <c r="CT130" s="48"/>
      <c r="CU130" s="48"/>
      <c r="CV130" s="48"/>
      <c r="CW130" s="48"/>
      <c r="CX130" s="48"/>
      <c r="CY130" s="48"/>
      <c r="CZ130" s="48"/>
      <c r="DA130" s="48"/>
      <c r="DB130" s="48"/>
      <c r="DC130" s="48"/>
      <c r="DD130" s="48"/>
      <c r="DE130" s="48"/>
      <c r="DF130" s="48"/>
      <c r="DG130" s="48"/>
      <c r="DH130" s="48"/>
      <c r="DI130" s="48"/>
      <c r="DJ130" s="48"/>
      <c r="DK130" s="48"/>
      <c r="DL130" s="48"/>
      <c r="DM130" s="48"/>
      <c r="DN130" s="48"/>
      <c r="DO130" s="48"/>
      <c r="DP130" s="48"/>
      <c r="DQ130" s="48"/>
      <c r="DR130" s="48"/>
      <c r="DS130" s="48"/>
      <c r="DT130" s="48"/>
      <c r="DU130" s="48"/>
      <c r="DV130" s="48"/>
      <c r="DW130" s="48"/>
      <c r="DX130" s="48"/>
      <c r="DY130" s="48"/>
      <c r="DZ130" s="48"/>
      <c r="EA130" s="48"/>
      <c r="EB130" s="48"/>
      <c r="EC130" s="48"/>
      <c r="ED130" s="48"/>
      <c r="EE130" s="48"/>
      <c r="EF130" s="48"/>
      <c r="EG130" s="48"/>
      <c r="EH130" s="48"/>
      <c r="EI130" s="48"/>
      <c r="EJ130" s="48"/>
      <c r="EK130" s="48"/>
      <c r="EL130" s="48"/>
      <c r="EM130" s="48"/>
      <c r="EN130" s="48"/>
      <c r="EO130" s="48"/>
      <c r="EP130" s="48"/>
      <c r="EQ130" s="48"/>
      <c r="ER130" s="48"/>
      <c r="ES130" s="48"/>
      <c r="ET130" s="48"/>
      <c r="EU130" s="48"/>
      <c r="EV130" s="48"/>
      <c r="EW130" s="48"/>
      <c r="EX130" s="48"/>
      <c r="EY130" s="48"/>
      <c r="EZ130" s="48"/>
      <c r="FA130" s="48"/>
      <c r="FB130" s="48"/>
      <c r="FC130" s="48"/>
      <c r="FD130" s="48"/>
      <c r="FE130" s="48"/>
      <c r="FF130" s="48"/>
      <c r="FG130" s="48"/>
      <c r="FH130" s="48"/>
      <c r="FI130" s="48"/>
      <c r="FJ130" s="48"/>
      <c r="FK130" s="48"/>
      <c r="FL130" s="48"/>
      <c r="FM130" s="48"/>
      <c r="FN130" s="48"/>
      <c r="FO130" s="48"/>
      <c r="FP130" s="48"/>
      <c r="FQ130" s="48"/>
      <c r="FR130" s="48"/>
      <c r="FS130" s="48"/>
      <c r="FT130" s="48"/>
      <c r="FU130" s="48"/>
      <c r="FV130" s="48"/>
      <c r="FW130" s="48"/>
      <c r="FX130" s="48"/>
      <c r="FY130" s="48"/>
      <c r="FZ130" s="48"/>
      <c r="GA130" s="48"/>
      <c r="GB130" s="48"/>
      <c r="GC130" s="48"/>
      <c r="GD130" s="48"/>
      <c r="GE130" s="48"/>
      <c r="GF130" s="48"/>
      <c r="GG130" s="48"/>
      <c r="GH130" s="48"/>
      <c r="GI130" s="48"/>
      <c r="GJ130" s="48"/>
      <c r="GK130" s="48"/>
      <c r="GL130" s="48"/>
      <c r="GM130" s="48"/>
      <c r="GN130" s="48"/>
      <c r="GO130" s="48"/>
      <c r="GP130" s="48"/>
      <c r="GQ130" s="48"/>
      <c r="GR130" s="48"/>
      <c r="GS130" s="48"/>
      <c r="GT130" s="48"/>
      <c r="GU130" s="48"/>
      <c r="GV130" s="48"/>
      <c r="GW130" s="48"/>
      <c r="GX130" s="48"/>
      <c r="GY130" s="48"/>
      <c r="GZ130" s="48"/>
      <c r="HA130" s="48"/>
      <c r="HB130" s="48"/>
    </row>
    <row r="131" spans="1:210" ht="15.75" customHeight="1">
      <c r="A131" s="5"/>
      <c r="B131" s="5"/>
      <c r="C131" s="5"/>
      <c r="D131" s="5"/>
      <c r="E131" s="5"/>
      <c r="F131" s="5"/>
      <c r="G131" s="49"/>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48"/>
      <c r="CQ131" s="48"/>
      <c r="CR131" s="48"/>
      <c r="CS131" s="48"/>
      <c r="CT131" s="48"/>
      <c r="CU131" s="48"/>
      <c r="CV131" s="48"/>
      <c r="CW131" s="48"/>
      <c r="CX131" s="48"/>
      <c r="CY131" s="48"/>
      <c r="CZ131" s="48"/>
      <c r="DA131" s="48"/>
      <c r="DB131" s="48"/>
      <c r="DC131" s="48"/>
      <c r="DD131" s="48"/>
      <c r="DE131" s="48"/>
      <c r="DF131" s="48"/>
      <c r="DG131" s="48"/>
      <c r="DH131" s="48"/>
      <c r="DI131" s="48"/>
      <c r="DJ131" s="48"/>
      <c r="DK131" s="48"/>
      <c r="DL131" s="48"/>
      <c r="DM131" s="48"/>
      <c r="DN131" s="48"/>
      <c r="DO131" s="48"/>
      <c r="DP131" s="48"/>
      <c r="DQ131" s="48"/>
      <c r="DR131" s="48"/>
      <c r="DS131" s="48"/>
      <c r="DT131" s="48"/>
      <c r="DU131" s="48"/>
      <c r="DV131" s="48"/>
      <c r="DW131" s="48"/>
      <c r="DX131" s="48"/>
      <c r="DY131" s="48"/>
      <c r="DZ131" s="48"/>
      <c r="EA131" s="48"/>
      <c r="EB131" s="48"/>
      <c r="EC131" s="48"/>
      <c r="ED131" s="48"/>
      <c r="EE131" s="48"/>
      <c r="EF131" s="48"/>
      <c r="EG131" s="48"/>
      <c r="EH131" s="48"/>
      <c r="EI131" s="48"/>
      <c r="EJ131" s="48"/>
      <c r="EK131" s="48"/>
      <c r="EL131" s="48"/>
      <c r="EM131" s="48"/>
      <c r="EN131" s="48"/>
      <c r="EO131" s="48"/>
      <c r="EP131" s="48"/>
      <c r="EQ131" s="48"/>
      <c r="ER131" s="48"/>
      <c r="ES131" s="48"/>
      <c r="ET131" s="48"/>
      <c r="EU131" s="48"/>
      <c r="EV131" s="48"/>
      <c r="EW131" s="48"/>
      <c r="EX131" s="48"/>
      <c r="EY131" s="48"/>
      <c r="EZ131" s="48"/>
      <c r="FA131" s="48"/>
      <c r="FB131" s="48"/>
      <c r="FC131" s="48"/>
      <c r="FD131" s="48"/>
      <c r="FE131" s="48"/>
      <c r="FF131" s="48"/>
      <c r="FG131" s="48"/>
      <c r="FH131" s="48"/>
      <c r="FI131" s="48"/>
      <c r="FJ131" s="48"/>
      <c r="FK131" s="48"/>
      <c r="FL131" s="48"/>
      <c r="FM131" s="48"/>
      <c r="FN131" s="48"/>
      <c r="FO131" s="48"/>
      <c r="FP131" s="48"/>
      <c r="FQ131" s="48"/>
      <c r="FR131" s="48"/>
      <c r="FS131" s="48"/>
      <c r="FT131" s="48"/>
      <c r="FU131" s="48"/>
      <c r="FV131" s="48"/>
      <c r="FW131" s="48"/>
      <c r="FX131" s="48"/>
      <c r="FY131" s="48"/>
      <c r="FZ131" s="48"/>
      <c r="GA131" s="48"/>
      <c r="GB131" s="48"/>
      <c r="GC131" s="48"/>
      <c r="GD131" s="48"/>
      <c r="GE131" s="48"/>
      <c r="GF131" s="48"/>
      <c r="GG131" s="48"/>
      <c r="GH131" s="48"/>
      <c r="GI131" s="48"/>
      <c r="GJ131" s="48"/>
      <c r="GK131" s="48"/>
      <c r="GL131" s="48"/>
      <c r="GM131" s="48"/>
      <c r="GN131" s="48"/>
      <c r="GO131" s="48"/>
      <c r="GP131" s="48"/>
      <c r="GQ131" s="48"/>
      <c r="GR131" s="48"/>
      <c r="GS131" s="48"/>
      <c r="GT131" s="48"/>
      <c r="GU131" s="48"/>
      <c r="GV131" s="48"/>
      <c r="GW131" s="48"/>
      <c r="GX131" s="48"/>
      <c r="GY131" s="48"/>
      <c r="GZ131" s="48"/>
      <c r="HA131" s="48"/>
      <c r="HB131" s="48"/>
    </row>
    <row r="132" spans="1:210" ht="15.75" customHeight="1">
      <c r="A132" s="5"/>
      <c r="B132" s="5"/>
      <c r="C132" s="5"/>
      <c r="D132" s="5"/>
      <c r="E132" s="5"/>
      <c r="F132" s="5"/>
      <c r="G132" s="49"/>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48"/>
      <c r="CQ132" s="48"/>
      <c r="CR132" s="48"/>
      <c r="CS132" s="48"/>
      <c r="CT132" s="48"/>
      <c r="CU132" s="48"/>
      <c r="CV132" s="48"/>
      <c r="CW132" s="48"/>
      <c r="CX132" s="48"/>
      <c r="CY132" s="48"/>
      <c r="CZ132" s="48"/>
      <c r="DA132" s="48"/>
      <c r="DB132" s="48"/>
      <c r="DC132" s="48"/>
      <c r="DD132" s="48"/>
      <c r="DE132" s="48"/>
      <c r="DF132" s="48"/>
      <c r="DG132" s="48"/>
      <c r="DH132" s="48"/>
      <c r="DI132" s="48"/>
      <c r="DJ132" s="48"/>
      <c r="DK132" s="48"/>
      <c r="DL132" s="48"/>
      <c r="DM132" s="48"/>
      <c r="DN132" s="48"/>
      <c r="DO132" s="48"/>
      <c r="DP132" s="48"/>
      <c r="DQ132" s="48"/>
      <c r="DR132" s="48"/>
      <c r="DS132" s="48"/>
      <c r="DT132" s="48"/>
      <c r="DU132" s="48"/>
      <c r="DV132" s="48"/>
      <c r="DW132" s="48"/>
      <c r="DX132" s="48"/>
      <c r="DY132" s="48"/>
      <c r="DZ132" s="48"/>
      <c r="EA132" s="48"/>
      <c r="EB132" s="48"/>
      <c r="EC132" s="48"/>
      <c r="ED132" s="48"/>
      <c r="EE132" s="48"/>
      <c r="EF132" s="48"/>
      <c r="EG132" s="48"/>
      <c r="EH132" s="48"/>
      <c r="EI132" s="48"/>
      <c r="EJ132" s="48"/>
      <c r="EK132" s="48"/>
      <c r="EL132" s="48"/>
      <c r="EM132" s="48"/>
      <c r="EN132" s="48"/>
      <c r="EO132" s="48"/>
      <c r="EP132" s="48"/>
      <c r="EQ132" s="48"/>
      <c r="ER132" s="48"/>
      <c r="ES132" s="48"/>
      <c r="ET132" s="48"/>
      <c r="EU132" s="48"/>
      <c r="EV132" s="48"/>
      <c r="EW132" s="48"/>
      <c r="EX132" s="48"/>
      <c r="EY132" s="48"/>
      <c r="EZ132" s="48"/>
      <c r="FA132" s="48"/>
      <c r="FB132" s="48"/>
      <c r="FC132" s="48"/>
      <c r="FD132" s="48"/>
      <c r="FE132" s="48"/>
      <c r="FF132" s="48"/>
      <c r="FG132" s="48"/>
      <c r="FH132" s="48"/>
      <c r="FI132" s="48"/>
      <c r="FJ132" s="48"/>
      <c r="FK132" s="48"/>
      <c r="FL132" s="48"/>
      <c r="FM132" s="48"/>
      <c r="FN132" s="48"/>
      <c r="FO132" s="48"/>
      <c r="FP132" s="48"/>
      <c r="FQ132" s="48"/>
      <c r="FR132" s="48"/>
      <c r="FS132" s="48"/>
      <c r="FT132" s="48"/>
      <c r="FU132" s="48"/>
      <c r="FV132" s="48"/>
      <c r="FW132" s="48"/>
      <c r="FX132" s="48"/>
      <c r="FY132" s="48"/>
      <c r="FZ132" s="48"/>
      <c r="GA132" s="48"/>
      <c r="GB132" s="48"/>
      <c r="GC132" s="48"/>
      <c r="GD132" s="48"/>
      <c r="GE132" s="48"/>
      <c r="GF132" s="48"/>
      <c r="GG132" s="48"/>
      <c r="GH132" s="48"/>
      <c r="GI132" s="48"/>
      <c r="GJ132" s="48"/>
      <c r="GK132" s="48"/>
      <c r="GL132" s="48"/>
      <c r="GM132" s="48"/>
      <c r="GN132" s="48"/>
      <c r="GO132" s="48"/>
      <c r="GP132" s="48"/>
      <c r="GQ132" s="48"/>
      <c r="GR132" s="48"/>
      <c r="GS132" s="48"/>
      <c r="GT132" s="48"/>
      <c r="GU132" s="48"/>
      <c r="GV132" s="48"/>
      <c r="GW132" s="48"/>
      <c r="GX132" s="48"/>
      <c r="GY132" s="48"/>
      <c r="GZ132" s="48"/>
      <c r="HA132" s="48"/>
      <c r="HB132" s="48"/>
    </row>
    <row r="133" spans="1:210" ht="15.75" customHeight="1">
      <c r="A133" s="5"/>
      <c r="B133" s="5"/>
      <c r="C133" s="5"/>
      <c r="D133" s="5"/>
      <c r="E133" s="5"/>
      <c r="F133" s="5"/>
      <c r="G133" s="49"/>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48"/>
      <c r="CQ133" s="48"/>
      <c r="CR133" s="48"/>
      <c r="CS133" s="48"/>
      <c r="CT133" s="48"/>
      <c r="CU133" s="48"/>
      <c r="CV133" s="48"/>
      <c r="CW133" s="48"/>
      <c r="CX133" s="48"/>
      <c r="CY133" s="48"/>
      <c r="CZ133" s="48"/>
      <c r="DA133" s="48"/>
      <c r="DB133" s="48"/>
      <c r="DC133" s="48"/>
      <c r="DD133" s="48"/>
      <c r="DE133" s="48"/>
      <c r="DF133" s="48"/>
      <c r="DG133" s="48"/>
      <c r="DH133" s="48"/>
      <c r="DI133" s="48"/>
      <c r="DJ133" s="48"/>
      <c r="DK133" s="48"/>
      <c r="DL133" s="48"/>
      <c r="DM133" s="48"/>
      <c r="DN133" s="48"/>
      <c r="DO133" s="48"/>
      <c r="DP133" s="48"/>
      <c r="DQ133" s="48"/>
      <c r="DR133" s="48"/>
      <c r="DS133" s="48"/>
      <c r="DT133" s="48"/>
      <c r="DU133" s="48"/>
      <c r="DV133" s="48"/>
      <c r="DW133" s="48"/>
      <c r="DX133" s="48"/>
      <c r="DY133" s="48"/>
      <c r="DZ133" s="48"/>
      <c r="EA133" s="48"/>
      <c r="EB133" s="48"/>
      <c r="EC133" s="48"/>
      <c r="ED133" s="48"/>
      <c r="EE133" s="48"/>
      <c r="EF133" s="48"/>
      <c r="EG133" s="48"/>
      <c r="EH133" s="48"/>
      <c r="EI133" s="48"/>
      <c r="EJ133" s="48"/>
      <c r="EK133" s="48"/>
      <c r="EL133" s="48"/>
      <c r="EM133" s="48"/>
      <c r="EN133" s="48"/>
      <c r="EO133" s="48"/>
      <c r="EP133" s="48"/>
      <c r="EQ133" s="48"/>
      <c r="ER133" s="48"/>
      <c r="ES133" s="48"/>
      <c r="ET133" s="48"/>
      <c r="EU133" s="48"/>
      <c r="EV133" s="48"/>
      <c r="EW133" s="48"/>
      <c r="EX133" s="48"/>
      <c r="EY133" s="48"/>
      <c r="EZ133" s="48"/>
      <c r="FA133" s="48"/>
      <c r="FB133" s="48"/>
      <c r="FC133" s="48"/>
      <c r="FD133" s="48"/>
      <c r="FE133" s="48"/>
      <c r="FF133" s="48"/>
      <c r="FG133" s="48"/>
      <c r="FH133" s="48"/>
      <c r="FI133" s="48"/>
      <c r="FJ133" s="48"/>
      <c r="FK133" s="48"/>
      <c r="FL133" s="48"/>
      <c r="FM133" s="48"/>
      <c r="FN133" s="48"/>
      <c r="FO133" s="48"/>
      <c r="FP133" s="48"/>
      <c r="FQ133" s="48"/>
      <c r="FR133" s="48"/>
      <c r="FS133" s="48"/>
      <c r="FT133" s="48"/>
      <c r="FU133" s="48"/>
      <c r="FV133" s="48"/>
      <c r="FW133" s="48"/>
      <c r="FX133" s="48"/>
      <c r="FY133" s="48"/>
      <c r="FZ133" s="48"/>
      <c r="GA133" s="48"/>
      <c r="GB133" s="48"/>
      <c r="GC133" s="48"/>
      <c r="GD133" s="48"/>
      <c r="GE133" s="48"/>
      <c r="GF133" s="48"/>
      <c r="GG133" s="48"/>
      <c r="GH133" s="48"/>
      <c r="GI133" s="48"/>
      <c r="GJ133" s="48"/>
      <c r="GK133" s="48"/>
      <c r="GL133" s="48"/>
      <c r="GM133" s="48"/>
      <c r="GN133" s="48"/>
      <c r="GO133" s="48"/>
      <c r="GP133" s="48"/>
      <c r="GQ133" s="48"/>
      <c r="GR133" s="48"/>
      <c r="GS133" s="48"/>
      <c r="GT133" s="48"/>
      <c r="GU133" s="48"/>
      <c r="GV133" s="48"/>
      <c r="GW133" s="48"/>
      <c r="GX133" s="48"/>
      <c r="GY133" s="48"/>
      <c r="GZ133" s="48"/>
      <c r="HA133" s="48"/>
      <c r="HB133" s="48"/>
    </row>
    <row r="134" spans="1:210" ht="15.75" customHeight="1">
      <c r="A134" s="5"/>
      <c r="B134" s="5"/>
      <c r="C134" s="5"/>
      <c r="D134" s="5"/>
      <c r="E134" s="5"/>
      <c r="F134" s="5"/>
      <c r="G134" s="49"/>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48"/>
      <c r="CQ134" s="48"/>
      <c r="CR134" s="48"/>
      <c r="CS134" s="48"/>
      <c r="CT134" s="48"/>
      <c r="CU134" s="48"/>
      <c r="CV134" s="48"/>
      <c r="CW134" s="48"/>
      <c r="CX134" s="48"/>
      <c r="CY134" s="48"/>
      <c r="CZ134" s="48"/>
      <c r="DA134" s="48"/>
      <c r="DB134" s="48"/>
      <c r="DC134" s="48"/>
      <c r="DD134" s="48"/>
      <c r="DE134" s="48"/>
      <c r="DF134" s="48"/>
      <c r="DG134" s="48"/>
      <c r="DH134" s="48"/>
      <c r="DI134" s="48"/>
      <c r="DJ134" s="48"/>
      <c r="DK134" s="48"/>
      <c r="DL134" s="48"/>
      <c r="DM134" s="48"/>
      <c r="DN134" s="48"/>
      <c r="DO134" s="48"/>
      <c r="DP134" s="48"/>
      <c r="DQ134" s="48"/>
      <c r="DR134" s="48"/>
      <c r="DS134" s="48"/>
      <c r="DT134" s="48"/>
      <c r="DU134" s="48"/>
      <c r="DV134" s="48"/>
      <c r="DW134" s="48"/>
      <c r="DX134" s="48"/>
      <c r="DY134" s="48"/>
      <c r="DZ134" s="48"/>
      <c r="EA134" s="48"/>
      <c r="EB134" s="48"/>
      <c r="EC134" s="48"/>
      <c r="ED134" s="48"/>
      <c r="EE134" s="48"/>
      <c r="EF134" s="48"/>
      <c r="EG134" s="48"/>
      <c r="EH134" s="48"/>
      <c r="EI134" s="48"/>
      <c r="EJ134" s="48"/>
      <c r="EK134" s="48"/>
      <c r="EL134" s="48"/>
      <c r="EM134" s="48"/>
      <c r="EN134" s="48"/>
      <c r="EO134" s="48"/>
      <c r="EP134" s="48"/>
      <c r="EQ134" s="48"/>
      <c r="ER134" s="48"/>
      <c r="ES134" s="48"/>
      <c r="ET134" s="48"/>
      <c r="EU134" s="48"/>
      <c r="EV134" s="48"/>
      <c r="EW134" s="48"/>
      <c r="EX134" s="48"/>
      <c r="EY134" s="48"/>
      <c r="EZ134" s="48"/>
      <c r="FA134" s="48"/>
      <c r="FB134" s="48"/>
      <c r="FC134" s="48"/>
      <c r="FD134" s="48"/>
      <c r="FE134" s="48"/>
      <c r="FF134" s="48"/>
      <c r="FG134" s="48"/>
      <c r="FH134" s="48"/>
      <c r="FI134" s="48"/>
      <c r="FJ134" s="48"/>
      <c r="FK134" s="48"/>
      <c r="FL134" s="48"/>
      <c r="FM134" s="48"/>
      <c r="FN134" s="48"/>
      <c r="FO134" s="48"/>
      <c r="FP134" s="48"/>
      <c r="FQ134" s="48"/>
      <c r="FR134" s="48"/>
      <c r="FS134" s="48"/>
      <c r="FT134" s="48"/>
      <c r="FU134" s="48"/>
      <c r="FV134" s="48"/>
      <c r="FW134" s="48"/>
      <c r="FX134" s="48"/>
      <c r="FY134" s="48"/>
      <c r="FZ134" s="48"/>
      <c r="GA134" s="48"/>
      <c r="GB134" s="48"/>
      <c r="GC134" s="48"/>
      <c r="GD134" s="48"/>
      <c r="GE134" s="48"/>
      <c r="GF134" s="48"/>
      <c r="GG134" s="48"/>
      <c r="GH134" s="48"/>
      <c r="GI134" s="48"/>
      <c r="GJ134" s="48"/>
      <c r="GK134" s="48"/>
      <c r="GL134" s="48"/>
      <c r="GM134" s="48"/>
      <c r="GN134" s="48"/>
      <c r="GO134" s="48"/>
      <c r="GP134" s="48"/>
      <c r="GQ134" s="48"/>
      <c r="GR134" s="48"/>
      <c r="GS134" s="48"/>
      <c r="GT134" s="48"/>
      <c r="GU134" s="48"/>
      <c r="GV134" s="48"/>
      <c r="GW134" s="48"/>
      <c r="GX134" s="48"/>
      <c r="GY134" s="48"/>
      <c r="GZ134" s="48"/>
      <c r="HA134" s="48"/>
      <c r="HB134" s="48"/>
    </row>
    <row r="135" spans="1:210" ht="15.75" customHeight="1">
      <c r="A135" s="5"/>
      <c r="B135" s="5"/>
      <c r="C135" s="5"/>
      <c r="D135" s="5"/>
      <c r="E135" s="5"/>
      <c r="F135" s="5"/>
      <c r="G135" s="49"/>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48"/>
      <c r="CQ135" s="48"/>
      <c r="CR135" s="48"/>
      <c r="CS135" s="48"/>
      <c r="CT135" s="48"/>
      <c r="CU135" s="48"/>
      <c r="CV135" s="48"/>
      <c r="CW135" s="48"/>
      <c r="CX135" s="48"/>
      <c r="CY135" s="48"/>
      <c r="CZ135" s="48"/>
      <c r="DA135" s="48"/>
      <c r="DB135" s="48"/>
      <c r="DC135" s="48"/>
      <c r="DD135" s="48"/>
      <c r="DE135" s="48"/>
      <c r="DF135" s="48"/>
      <c r="DG135" s="48"/>
      <c r="DH135" s="48"/>
      <c r="DI135" s="48"/>
      <c r="DJ135" s="48"/>
      <c r="DK135" s="48"/>
      <c r="DL135" s="48"/>
      <c r="DM135" s="48"/>
      <c r="DN135" s="48"/>
      <c r="DO135" s="48"/>
      <c r="DP135" s="48"/>
      <c r="DQ135" s="48"/>
      <c r="DR135" s="48"/>
      <c r="DS135" s="48"/>
      <c r="DT135" s="48"/>
      <c r="DU135" s="48"/>
      <c r="DV135" s="48"/>
      <c r="DW135" s="48"/>
      <c r="DX135" s="48"/>
      <c r="DY135" s="48"/>
      <c r="DZ135" s="48"/>
      <c r="EA135" s="48"/>
      <c r="EB135" s="48"/>
      <c r="EC135" s="48"/>
      <c r="ED135" s="48"/>
      <c r="EE135" s="48"/>
      <c r="EF135" s="48"/>
      <c r="EG135" s="48"/>
      <c r="EH135" s="48"/>
      <c r="EI135" s="48"/>
      <c r="EJ135" s="48"/>
      <c r="EK135" s="48"/>
      <c r="EL135" s="48"/>
      <c r="EM135" s="48"/>
      <c r="EN135" s="48"/>
      <c r="EO135" s="48"/>
      <c r="EP135" s="48"/>
      <c r="EQ135" s="48"/>
      <c r="ER135" s="48"/>
      <c r="ES135" s="48"/>
      <c r="ET135" s="48"/>
      <c r="EU135" s="48"/>
      <c r="EV135" s="48"/>
      <c r="EW135" s="48"/>
      <c r="EX135" s="48"/>
      <c r="EY135" s="48"/>
      <c r="EZ135" s="48"/>
      <c r="FA135" s="48"/>
      <c r="FB135" s="48"/>
      <c r="FC135" s="48"/>
      <c r="FD135" s="48"/>
      <c r="FE135" s="48"/>
      <c r="FF135" s="48"/>
      <c r="FG135" s="48"/>
      <c r="FH135" s="48"/>
      <c r="FI135" s="48"/>
      <c r="FJ135" s="48"/>
      <c r="FK135" s="48"/>
      <c r="FL135" s="48"/>
      <c r="FM135" s="48"/>
      <c r="FN135" s="48"/>
      <c r="FO135" s="48"/>
      <c r="FP135" s="48"/>
      <c r="FQ135" s="48"/>
      <c r="FR135" s="48"/>
      <c r="FS135" s="48"/>
      <c r="FT135" s="48"/>
      <c r="FU135" s="48"/>
      <c r="FV135" s="48"/>
      <c r="FW135" s="48"/>
      <c r="FX135" s="48"/>
      <c r="FY135" s="48"/>
      <c r="FZ135" s="48"/>
      <c r="GA135" s="48"/>
      <c r="GB135" s="48"/>
      <c r="GC135" s="48"/>
      <c r="GD135" s="48"/>
      <c r="GE135" s="48"/>
      <c r="GF135" s="48"/>
      <c r="GG135" s="48"/>
      <c r="GH135" s="48"/>
      <c r="GI135" s="48"/>
      <c r="GJ135" s="48"/>
      <c r="GK135" s="48"/>
      <c r="GL135" s="48"/>
      <c r="GM135" s="48"/>
      <c r="GN135" s="48"/>
      <c r="GO135" s="48"/>
      <c r="GP135" s="48"/>
      <c r="GQ135" s="48"/>
      <c r="GR135" s="48"/>
      <c r="GS135" s="48"/>
      <c r="GT135" s="48"/>
      <c r="GU135" s="48"/>
      <c r="GV135" s="48"/>
      <c r="GW135" s="48"/>
      <c r="GX135" s="48"/>
      <c r="GY135" s="48"/>
      <c r="GZ135" s="48"/>
      <c r="HA135" s="48"/>
      <c r="HB135" s="48"/>
    </row>
    <row r="136" spans="1:210" ht="15.75" customHeight="1">
      <c r="A136" s="5"/>
      <c r="B136" s="5"/>
      <c r="C136" s="5"/>
      <c r="D136" s="5"/>
      <c r="E136" s="5"/>
      <c r="F136" s="5"/>
      <c r="G136" s="49"/>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48"/>
      <c r="CQ136" s="48"/>
      <c r="CR136" s="48"/>
      <c r="CS136" s="48"/>
      <c r="CT136" s="48"/>
      <c r="CU136" s="48"/>
      <c r="CV136" s="48"/>
      <c r="CW136" s="48"/>
      <c r="CX136" s="48"/>
      <c r="CY136" s="48"/>
      <c r="CZ136" s="48"/>
      <c r="DA136" s="48"/>
      <c r="DB136" s="48"/>
      <c r="DC136" s="48"/>
      <c r="DD136" s="48"/>
      <c r="DE136" s="48"/>
      <c r="DF136" s="48"/>
      <c r="DG136" s="48"/>
      <c r="DH136" s="48"/>
      <c r="DI136" s="48"/>
      <c r="DJ136" s="48"/>
      <c r="DK136" s="48"/>
      <c r="DL136" s="48"/>
      <c r="DM136" s="48"/>
      <c r="DN136" s="48"/>
      <c r="DO136" s="48"/>
      <c r="DP136" s="48"/>
      <c r="DQ136" s="48"/>
      <c r="DR136" s="48"/>
      <c r="DS136" s="48"/>
      <c r="DT136" s="48"/>
      <c r="DU136" s="48"/>
      <c r="DV136" s="48"/>
      <c r="DW136" s="48"/>
      <c r="DX136" s="48"/>
      <c r="DY136" s="48"/>
      <c r="DZ136" s="48"/>
      <c r="EA136" s="48"/>
      <c r="EB136" s="48"/>
      <c r="EC136" s="48"/>
      <c r="ED136" s="48"/>
      <c r="EE136" s="48"/>
      <c r="EF136" s="48"/>
      <c r="EG136" s="48"/>
      <c r="EH136" s="48"/>
      <c r="EI136" s="48"/>
      <c r="EJ136" s="48"/>
      <c r="EK136" s="48"/>
      <c r="EL136" s="48"/>
      <c r="EM136" s="48"/>
      <c r="EN136" s="48"/>
      <c r="EO136" s="48"/>
      <c r="EP136" s="48"/>
      <c r="EQ136" s="48"/>
      <c r="ER136" s="48"/>
      <c r="ES136" s="48"/>
      <c r="ET136" s="48"/>
      <c r="EU136" s="48"/>
      <c r="EV136" s="48"/>
      <c r="EW136" s="48"/>
      <c r="EX136" s="48"/>
      <c r="EY136" s="48"/>
      <c r="EZ136" s="48"/>
      <c r="FA136" s="48"/>
      <c r="FB136" s="48"/>
      <c r="FC136" s="48"/>
      <c r="FD136" s="48"/>
      <c r="FE136" s="48"/>
      <c r="FF136" s="48"/>
      <c r="FG136" s="48"/>
      <c r="FH136" s="48"/>
      <c r="FI136" s="48"/>
      <c r="FJ136" s="48"/>
      <c r="FK136" s="48"/>
      <c r="FL136" s="48"/>
      <c r="FM136" s="48"/>
      <c r="FN136" s="48"/>
      <c r="FO136" s="48"/>
      <c r="FP136" s="48"/>
      <c r="FQ136" s="48"/>
      <c r="FR136" s="48"/>
      <c r="FS136" s="48"/>
      <c r="FT136" s="48"/>
      <c r="FU136" s="48"/>
      <c r="FV136" s="48"/>
      <c r="FW136" s="48"/>
      <c r="FX136" s="48"/>
      <c r="FY136" s="48"/>
      <c r="FZ136" s="48"/>
      <c r="GA136" s="48"/>
      <c r="GB136" s="48"/>
      <c r="GC136" s="48"/>
      <c r="GD136" s="48"/>
      <c r="GE136" s="48"/>
      <c r="GF136" s="48"/>
      <c r="GG136" s="48"/>
      <c r="GH136" s="48"/>
      <c r="GI136" s="48"/>
      <c r="GJ136" s="48"/>
      <c r="GK136" s="48"/>
      <c r="GL136" s="48"/>
      <c r="GM136" s="48"/>
      <c r="GN136" s="48"/>
      <c r="GO136" s="48"/>
      <c r="GP136" s="48"/>
      <c r="GQ136" s="48"/>
      <c r="GR136" s="48"/>
      <c r="GS136" s="48"/>
      <c r="GT136" s="48"/>
      <c r="GU136" s="48"/>
      <c r="GV136" s="48"/>
      <c r="GW136" s="48"/>
      <c r="GX136" s="48"/>
      <c r="GY136" s="48"/>
      <c r="GZ136" s="48"/>
      <c r="HA136" s="48"/>
      <c r="HB136" s="48"/>
    </row>
    <row r="137" spans="1:210" ht="15.75" customHeight="1">
      <c r="A137" s="5"/>
      <c r="B137" s="5"/>
      <c r="C137" s="5"/>
      <c r="D137" s="5"/>
      <c r="E137" s="5"/>
      <c r="F137" s="5"/>
      <c r="G137" s="49"/>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48"/>
      <c r="CQ137" s="48"/>
      <c r="CR137" s="48"/>
      <c r="CS137" s="48"/>
      <c r="CT137" s="48"/>
      <c r="CU137" s="48"/>
      <c r="CV137" s="48"/>
      <c r="CW137" s="48"/>
      <c r="CX137" s="48"/>
      <c r="CY137" s="48"/>
      <c r="CZ137" s="48"/>
      <c r="DA137" s="48"/>
      <c r="DB137" s="48"/>
      <c r="DC137" s="48"/>
      <c r="DD137" s="48"/>
      <c r="DE137" s="48"/>
      <c r="DF137" s="48"/>
      <c r="DG137" s="48"/>
      <c r="DH137" s="48"/>
      <c r="DI137" s="48"/>
      <c r="DJ137" s="48"/>
      <c r="DK137" s="48"/>
      <c r="DL137" s="48"/>
      <c r="DM137" s="48"/>
      <c r="DN137" s="48"/>
      <c r="DO137" s="48"/>
      <c r="DP137" s="48"/>
      <c r="DQ137" s="48"/>
      <c r="DR137" s="48"/>
      <c r="DS137" s="48"/>
      <c r="DT137" s="48"/>
      <c r="DU137" s="48"/>
      <c r="DV137" s="48"/>
      <c r="DW137" s="48"/>
      <c r="DX137" s="48"/>
      <c r="DY137" s="48"/>
      <c r="DZ137" s="48"/>
      <c r="EA137" s="48"/>
      <c r="EB137" s="48"/>
      <c r="EC137" s="48"/>
      <c r="ED137" s="48"/>
      <c r="EE137" s="48"/>
      <c r="EF137" s="48"/>
      <c r="EG137" s="48"/>
      <c r="EH137" s="48"/>
      <c r="EI137" s="48"/>
      <c r="EJ137" s="48"/>
      <c r="EK137" s="48"/>
      <c r="EL137" s="48"/>
      <c r="EM137" s="48"/>
      <c r="EN137" s="48"/>
      <c r="EO137" s="48"/>
      <c r="EP137" s="48"/>
      <c r="EQ137" s="48"/>
      <c r="ER137" s="48"/>
      <c r="ES137" s="48"/>
      <c r="ET137" s="48"/>
      <c r="EU137" s="48"/>
      <c r="EV137" s="48"/>
      <c r="EW137" s="48"/>
      <c r="EX137" s="48"/>
      <c r="EY137" s="48"/>
      <c r="EZ137" s="48"/>
      <c r="FA137" s="48"/>
      <c r="FB137" s="48"/>
      <c r="FC137" s="48"/>
      <c r="FD137" s="48"/>
      <c r="FE137" s="48"/>
      <c r="FF137" s="48"/>
      <c r="FG137" s="48"/>
      <c r="FH137" s="48"/>
      <c r="FI137" s="48"/>
      <c r="FJ137" s="48"/>
      <c r="FK137" s="48"/>
      <c r="FL137" s="48"/>
      <c r="FM137" s="48"/>
      <c r="FN137" s="48"/>
      <c r="FO137" s="48"/>
      <c r="FP137" s="48"/>
      <c r="FQ137" s="48"/>
      <c r="FR137" s="48"/>
      <c r="FS137" s="48"/>
      <c r="FT137" s="48"/>
      <c r="FU137" s="48"/>
      <c r="FV137" s="48"/>
      <c r="FW137" s="48"/>
      <c r="FX137" s="48"/>
      <c r="FY137" s="48"/>
      <c r="FZ137" s="48"/>
      <c r="GA137" s="48"/>
      <c r="GB137" s="48"/>
      <c r="GC137" s="48"/>
      <c r="GD137" s="48"/>
      <c r="GE137" s="48"/>
      <c r="GF137" s="48"/>
      <c r="GG137" s="48"/>
      <c r="GH137" s="48"/>
      <c r="GI137" s="48"/>
      <c r="GJ137" s="48"/>
      <c r="GK137" s="48"/>
      <c r="GL137" s="48"/>
      <c r="GM137" s="48"/>
      <c r="GN137" s="48"/>
      <c r="GO137" s="48"/>
      <c r="GP137" s="48"/>
      <c r="GQ137" s="48"/>
      <c r="GR137" s="48"/>
      <c r="GS137" s="48"/>
      <c r="GT137" s="48"/>
      <c r="GU137" s="48"/>
      <c r="GV137" s="48"/>
      <c r="GW137" s="48"/>
      <c r="GX137" s="48"/>
      <c r="GY137" s="48"/>
      <c r="GZ137" s="48"/>
      <c r="HA137" s="48"/>
      <c r="HB137" s="48"/>
    </row>
    <row r="138" spans="1:210" ht="15.75" customHeight="1">
      <c r="A138" s="5"/>
      <c r="B138" s="5"/>
      <c r="C138" s="5"/>
      <c r="D138" s="5"/>
      <c r="E138" s="5"/>
      <c r="F138" s="5"/>
      <c r="G138" s="49"/>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48"/>
      <c r="CQ138" s="48"/>
      <c r="CR138" s="48"/>
      <c r="CS138" s="48"/>
      <c r="CT138" s="48"/>
      <c r="CU138" s="48"/>
      <c r="CV138" s="48"/>
      <c r="CW138" s="48"/>
      <c r="CX138" s="48"/>
      <c r="CY138" s="48"/>
      <c r="CZ138" s="48"/>
      <c r="DA138" s="48"/>
      <c r="DB138" s="48"/>
      <c r="DC138" s="48"/>
      <c r="DD138" s="48"/>
      <c r="DE138" s="48"/>
      <c r="DF138" s="48"/>
      <c r="DG138" s="48"/>
      <c r="DH138" s="48"/>
      <c r="DI138" s="48"/>
      <c r="DJ138" s="48"/>
      <c r="DK138" s="48"/>
      <c r="DL138" s="48"/>
      <c r="DM138" s="48"/>
      <c r="DN138" s="48"/>
      <c r="DO138" s="48"/>
      <c r="DP138" s="48"/>
      <c r="DQ138" s="48"/>
      <c r="DR138" s="48"/>
      <c r="DS138" s="48"/>
      <c r="DT138" s="48"/>
      <c r="DU138" s="48"/>
      <c r="DV138" s="48"/>
      <c r="DW138" s="48"/>
      <c r="DX138" s="48"/>
      <c r="DY138" s="48"/>
      <c r="DZ138" s="48"/>
      <c r="EA138" s="48"/>
      <c r="EB138" s="48"/>
      <c r="EC138" s="48"/>
      <c r="ED138" s="48"/>
      <c r="EE138" s="48"/>
      <c r="EF138" s="48"/>
      <c r="EG138" s="48"/>
      <c r="EH138" s="48"/>
      <c r="EI138" s="48"/>
      <c r="EJ138" s="48"/>
      <c r="EK138" s="48"/>
      <c r="EL138" s="48"/>
      <c r="EM138" s="48"/>
      <c r="EN138" s="48"/>
      <c r="EO138" s="48"/>
      <c r="EP138" s="48"/>
      <c r="EQ138" s="48"/>
      <c r="ER138" s="48"/>
      <c r="ES138" s="48"/>
      <c r="ET138" s="48"/>
      <c r="EU138" s="48"/>
      <c r="EV138" s="48"/>
      <c r="EW138" s="48"/>
      <c r="EX138" s="48"/>
      <c r="EY138" s="48"/>
      <c r="EZ138" s="48"/>
      <c r="FA138" s="48"/>
      <c r="FB138" s="48"/>
      <c r="FC138" s="48"/>
      <c r="FD138" s="48"/>
      <c r="FE138" s="48"/>
      <c r="FF138" s="48"/>
      <c r="FG138" s="48"/>
      <c r="FH138" s="48"/>
      <c r="FI138" s="48"/>
      <c r="FJ138" s="48"/>
      <c r="FK138" s="48"/>
      <c r="FL138" s="48"/>
      <c r="FM138" s="48"/>
      <c r="FN138" s="48"/>
      <c r="FO138" s="48"/>
      <c r="FP138" s="48"/>
      <c r="FQ138" s="48"/>
      <c r="FR138" s="48"/>
      <c r="FS138" s="48"/>
      <c r="FT138" s="48"/>
      <c r="FU138" s="48"/>
      <c r="FV138" s="48"/>
      <c r="FW138" s="48"/>
      <c r="FX138" s="48"/>
      <c r="FY138" s="48"/>
      <c r="FZ138" s="48"/>
      <c r="GA138" s="48"/>
      <c r="GB138" s="48"/>
      <c r="GC138" s="48"/>
      <c r="GD138" s="48"/>
      <c r="GE138" s="48"/>
      <c r="GF138" s="48"/>
      <c r="GG138" s="48"/>
      <c r="GH138" s="48"/>
      <c r="GI138" s="48"/>
      <c r="GJ138" s="48"/>
      <c r="GK138" s="48"/>
      <c r="GL138" s="48"/>
      <c r="GM138" s="48"/>
      <c r="GN138" s="48"/>
      <c r="GO138" s="48"/>
      <c r="GP138" s="48"/>
      <c r="GQ138" s="48"/>
      <c r="GR138" s="48"/>
      <c r="GS138" s="48"/>
      <c r="GT138" s="48"/>
      <c r="GU138" s="48"/>
      <c r="GV138" s="48"/>
      <c r="GW138" s="48"/>
      <c r="GX138" s="48"/>
      <c r="GY138" s="48"/>
      <c r="GZ138" s="48"/>
      <c r="HA138" s="48"/>
      <c r="HB138" s="48"/>
    </row>
    <row r="139" spans="1:210" ht="15.75" customHeight="1">
      <c r="A139" s="5"/>
      <c r="B139" s="5"/>
      <c r="C139" s="5"/>
      <c r="D139" s="5"/>
      <c r="E139" s="5"/>
      <c r="F139" s="5"/>
      <c r="G139" s="49"/>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48"/>
      <c r="CQ139" s="48"/>
      <c r="CR139" s="48"/>
      <c r="CS139" s="48"/>
      <c r="CT139" s="48"/>
      <c r="CU139" s="48"/>
      <c r="CV139" s="48"/>
      <c r="CW139" s="48"/>
      <c r="CX139" s="48"/>
      <c r="CY139" s="48"/>
      <c r="CZ139" s="48"/>
      <c r="DA139" s="48"/>
      <c r="DB139" s="48"/>
      <c r="DC139" s="48"/>
      <c r="DD139" s="48"/>
      <c r="DE139" s="48"/>
      <c r="DF139" s="48"/>
      <c r="DG139" s="48"/>
      <c r="DH139" s="48"/>
      <c r="DI139" s="48"/>
      <c r="DJ139" s="48"/>
      <c r="DK139" s="48"/>
      <c r="DL139" s="48"/>
      <c r="DM139" s="48"/>
      <c r="DN139" s="48"/>
      <c r="DO139" s="48"/>
      <c r="DP139" s="48"/>
      <c r="DQ139" s="48"/>
      <c r="DR139" s="48"/>
      <c r="DS139" s="48"/>
      <c r="DT139" s="48"/>
      <c r="DU139" s="48"/>
      <c r="DV139" s="48"/>
      <c r="DW139" s="48"/>
      <c r="DX139" s="48"/>
      <c r="DY139" s="48"/>
      <c r="DZ139" s="48"/>
      <c r="EA139" s="48"/>
      <c r="EB139" s="48"/>
      <c r="EC139" s="48"/>
      <c r="ED139" s="48"/>
      <c r="EE139" s="48"/>
      <c r="EF139" s="48"/>
      <c r="EG139" s="48"/>
      <c r="EH139" s="48"/>
      <c r="EI139" s="48"/>
      <c r="EJ139" s="48"/>
      <c r="EK139" s="48"/>
      <c r="EL139" s="48"/>
      <c r="EM139" s="48"/>
      <c r="EN139" s="48"/>
      <c r="EO139" s="48"/>
      <c r="EP139" s="48"/>
      <c r="EQ139" s="48"/>
      <c r="ER139" s="48"/>
      <c r="ES139" s="48"/>
      <c r="ET139" s="48"/>
      <c r="EU139" s="48"/>
      <c r="EV139" s="48"/>
      <c r="EW139" s="48"/>
      <c r="EX139" s="48"/>
      <c r="EY139" s="48"/>
      <c r="EZ139" s="48"/>
      <c r="FA139" s="48"/>
      <c r="FB139" s="48"/>
      <c r="FC139" s="48"/>
      <c r="FD139" s="48"/>
      <c r="FE139" s="48"/>
      <c r="FF139" s="48"/>
      <c r="FG139" s="48"/>
      <c r="FH139" s="48"/>
      <c r="FI139" s="48"/>
      <c r="FJ139" s="48"/>
      <c r="FK139" s="48"/>
      <c r="FL139" s="48"/>
      <c r="FM139" s="48"/>
      <c r="FN139" s="48"/>
      <c r="FO139" s="48"/>
      <c r="FP139" s="48"/>
      <c r="FQ139" s="48"/>
      <c r="FR139" s="48"/>
      <c r="FS139" s="48"/>
      <c r="FT139" s="48"/>
      <c r="FU139" s="48"/>
      <c r="FV139" s="48"/>
      <c r="FW139" s="48"/>
      <c r="FX139" s="48"/>
      <c r="FY139" s="48"/>
      <c r="FZ139" s="48"/>
      <c r="GA139" s="48"/>
      <c r="GB139" s="48"/>
      <c r="GC139" s="48"/>
      <c r="GD139" s="48"/>
      <c r="GE139" s="48"/>
      <c r="GF139" s="48"/>
      <c r="GG139" s="48"/>
      <c r="GH139" s="48"/>
      <c r="GI139" s="48"/>
      <c r="GJ139" s="48"/>
      <c r="GK139" s="48"/>
      <c r="GL139" s="48"/>
      <c r="GM139" s="48"/>
      <c r="GN139" s="48"/>
      <c r="GO139" s="48"/>
      <c r="GP139" s="48"/>
      <c r="GQ139" s="48"/>
      <c r="GR139" s="48"/>
      <c r="GS139" s="48"/>
      <c r="GT139" s="48"/>
      <c r="GU139" s="48"/>
      <c r="GV139" s="48"/>
      <c r="GW139" s="48"/>
      <c r="GX139" s="48"/>
      <c r="GY139" s="48"/>
      <c r="GZ139" s="48"/>
      <c r="HA139" s="48"/>
      <c r="HB139" s="48"/>
    </row>
    <row r="140" spans="1:210" ht="15.75" customHeight="1">
      <c r="A140" s="5"/>
      <c r="B140" s="5"/>
      <c r="C140" s="5"/>
      <c r="D140" s="5"/>
      <c r="E140" s="5"/>
      <c r="F140" s="5"/>
      <c r="G140" s="49"/>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48"/>
      <c r="CQ140" s="48"/>
      <c r="CR140" s="48"/>
      <c r="CS140" s="48"/>
      <c r="CT140" s="48"/>
      <c r="CU140" s="48"/>
      <c r="CV140" s="48"/>
      <c r="CW140" s="48"/>
      <c r="CX140" s="48"/>
      <c r="CY140" s="48"/>
      <c r="CZ140" s="48"/>
      <c r="DA140" s="48"/>
      <c r="DB140" s="48"/>
      <c r="DC140" s="48"/>
      <c r="DD140" s="48"/>
      <c r="DE140" s="48"/>
      <c r="DF140" s="48"/>
      <c r="DG140" s="48"/>
      <c r="DH140" s="48"/>
      <c r="DI140" s="48"/>
      <c r="DJ140" s="48"/>
      <c r="DK140" s="48"/>
      <c r="DL140" s="48"/>
      <c r="DM140" s="48"/>
      <c r="DN140" s="48"/>
      <c r="DO140" s="48"/>
      <c r="DP140" s="48"/>
      <c r="DQ140" s="48"/>
      <c r="DR140" s="48"/>
      <c r="DS140" s="48"/>
      <c r="DT140" s="48"/>
      <c r="DU140" s="48"/>
      <c r="DV140" s="48"/>
      <c r="DW140" s="48"/>
      <c r="DX140" s="48"/>
      <c r="DY140" s="48"/>
      <c r="DZ140" s="48"/>
      <c r="EA140" s="48"/>
      <c r="EB140" s="48"/>
      <c r="EC140" s="48"/>
      <c r="ED140" s="48"/>
      <c r="EE140" s="48"/>
      <c r="EF140" s="48"/>
      <c r="EG140" s="48"/>
      <c r="EH140" s="48"/>
      <c r="EI140" s="48"/>
      <c r="EJ140" s="48"/>
      <c r="EK140" s="48"/>
      <c r="EL140" s="48"/>
      <c r="EM140" s="48"/>
      <c r="EN140" s="48"/>
      <c r="EO140" s="48"/>
      <c r="EP140" s="48"/>
      <c r="EQ140" s="48"/>
      <c r="ER140" s="48"/>
      <c r="ES140" s="48"/>
      <c r="ET140" s="48"/>
      <c r="EU140" s="48"/>
      <c r="EV140" s="48"/>
      <c r="EW140" s="48"/>
      <c r="EX140" s="48"/>
      <c r="EY140" s="48"/>
      <c r="EZ140" s="48"/>
      <c r="FA140" s="48"/>
      <c r="FB140" s="48"/>
      <c r="FC140" s="48"/>
      <c r="FD140" s="48"/>
      <c r="FE140" s="48"/>
      <c r="FF140" s="48"/>
      <c r="FG140" s="48"/>
      <c r="FH140" s="48"/>
      <c r="FI140" s="48"/>
      <c r="FJ140" s="48"/>
      <c r="FK140" s="48"/>
      <c r="FL140" s="48"/>
      <c r="FM140" s="48"/>
      <c r="FN140" s="48"/>
      <c r="FO140" s="48"/>
      <c r="FP140" s="48"/>
      <c r="FQ140" s="48"/>
      <c r="FR140" s="48"/>
      <c r="FS140" s="48"/>
      <c r="FT140" s="48"/>
      <c r="FU140" s="48"/>
      <c r="FV140" s="48"/>
      <c r="FW140" s="48"/>
      <c r="FX140" s="48"/>
      <c r="FY140" s="48"/>
      <c r="FZ140" s="48"/>
      <c r="GA140" s="48"/>
      <c r="GB140" s="48"/>
      <c r="GC140" s="48"/>
      <c r="GD140" s="48"/>
      <c r="GE140" s="48"/>
      <c r="GF140" s="48"/>
      <c r="GG140" s="48"/>
      <c r="GH140" s="48"/>
      <c r="GI140" s="48"/>
      <c r="GJ140" s="48"/>
      <c r="GK140" s="48"/>
      <c r="GL140" s="48"/>
      <c r="GM140" s="48"/>
      <c r="GN140" s="48"/>
      <c r="GO140" s="48"/>
      <c r="GP140" s="48"/>
      <c r="GQ140" s="48"/>
      <c r="GR140" s="48"/>
      <c r="GS140" s="48"/>
      <c r="GT140" s="48"/>
      <c r="GU140" s="48"/>
      <c r="GV140" s="48"/>
      <c r="GW140" s="48"/>
      <c r="GX140" s="48"/>
      <c r="GY140" s="48"/>
      <c r="GZ140" s="48"/>
      <c r="HA140" s="48"/>
      <c r="HB140" s="48"/>
    </row>
    <row r="141" spans="1:210" ht="15.75" customHeight="1">
      <c r="A141" s="5"/>
      <c r="B141" s="5"/>
      <c r="C141" s="5"/>
      <c r="D141" s="5"/>
      <c r="E141" s="5"/>
      <c r="F141" s="5"/>
      <c r="G141" s="49"/>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48"/>
      <c r="CQ141" s="48"/>
      <c r="CR141" s="48"/>
      <c r="CS141" s="48"/>
      <c r="CT141" s="48"/>
      <c r="CU141" s="48"/>
      <c r="CV141" s="48"/>
      <c r="CW141" s="48"/>
      <c r="CX141" s="48"/>
      <c r="CY141" s="48"/>
      <c r="CZ141" s="48"/>
      <c r="DA141" s="48"/>
      <c r="DB141" s="48"/>
      <c r="DC141" s="48"/>
      <c r="DD141" s="48"/>
      <c r="DE141" s="48"/>
      <c r="DF141" s="48"/>
      <c r="DG141" s="48"/>
      <c r="DH141" s="48"/>
      <c r="DI141" s="48"/>
      <c r="DJ141" s="48"/>
      <c r="DK141" s="48"/>
      <c r="DL141" s="48"/>
      <c r="DM141" s="48"/>
      <c r="DN141" s="48"/>
      <c r="DO141" s="48"/>
      <c r="DP141" s="48"/>
      <c r="DQ141" s="48"/>
      <c r="DR141" s="48"/>
      <c r="DS141" s="48"/>
      <c r="DT141" s="48"/>
      <c r="DU141" s="48"/>
      <c r="DV141" s="48"/>
      <c r="DW141" s="48"/>
      <c r="DX141" s="48"/>
      <c r="DY141" s="48"/>
      <c r="DZ141" s="48"/>
      <c r="EA141" s="48"/>
      <c r="EB141" s="48"/>
      <c r="EC141" s="48"/>
      <c r="ED141" s="48"/>
      <c r="EE141" s="48"/>
      <c r="EF141" s="48"/>
      <c r="EG141" s="48"/>
      <c r="EH141" s="48"/>
      <c r="EI141" s="48"/>
      <c r="EJ141" s="48"/>
      <c r="EK141" s="48"/>
      <c r="EL141" s="48"/>
      <c r="EM141" s="48"/>
      <c r="EN141" s="48"/>
      <c r="EO141" s="48"/>
      <c r="EP141" s="48"/>
      <c r="EQ141" s="48"/>
      <c r="ER141" s="48"/>
      <c r="ES141" s="48"/>
      <c r="ET141" s="48"/>
      <c r="EU141" s="48"/>
      <c r="EV141" s="48"/>
      <c r="EW141" s="48"/>
      <c r="EX141" s="48"/>
      <c r="EY141" s="48"/>
      <c r="EZ141" s="48"/>
      <c r="FA141" s="48"/>
      <c r="FB141" s="48"/>
      <c r="FC141" s="48"/>
      <c r="FD141" s="48"/>
      <c r="FE141" s="48"/>
      <c r="FF141" s="48"/>
      <c r="FG141" s="48"/>
      <c r="FH141" s="48"/>
      <c r="FI141" s="48"/>
      <c r="FJ141" s="48"/>
      <c r="FK141" s="48"/>
      <c r="FL141" s="48"/>
      <c r="FM141" s="48"/>
      <c r="FN141" s="48"/>
      <c r="FO141" s="48"/>
      <c r="FP141" s="48"/>
      <c r="FQ141" s="48"/>
      <c r="FR141" s="48"/>
      <c r="FS141" s="48"/>
      <c r="FT141" s="48"/>
      <c r="FU141" s="48"/>
      <c r="FV141" s="48"/>
      <c r="FW141" s="48"/>
      <c r="FX141" s="48"/>
      <c r="FY141" s="48"/>
      <c r="FZ141" s="48"/>
      <c r="GA141" s="48"/>
      <c r="GB141" s="48"/>
      <c r="GC141" s="48"/>
      <c r="GD141" s="48"/>
      <c r="GE141" s="48"/>
      <c r="GF141" s="48"/>
      <c r="GG141" s="48"/>
      <c r="GH141" s="48"/>
      <c r="GI141" s="48"/>
      <c r="GJ141" s="48"/>
      <c r="GK141" s="48"/>
      <c r="GL141" s="48"/>
      <c r="GM141" s="48"/>
      <c r="GN141" s="48"/>
      <c r="GO141" s="48"/>
      <c r="GP141" s="48"/>
      <c r="GQ141" s="48"/>
      <c r="GR141" s="48"/>
      <c r="GS141" s="48"/>
      <c r="GT141" s="48"/>
      <c r="GU141" s="48"/>
      <c r="GV141" s="48"/>
      <c r="GW141" s="48"/>
      <c r="GX141" s="48"/>
      <c r="GY141" s="48"/>
      <c r="GZ141" s="48"/>
      <c r="HA141" s="48"/>
      <c r="HB141" s="48"/>
    </row>
    <row r="142" spans="1:210" ht="15.75" customHeight="1">
      <c r="A142" s="5"/>
      <c r="B142" s="5"/>
      <c r="C142" s="5"/>
      <c r="D142" s="5"/>
      <c r="E142" s="5"/>
      <c r="F142" s="5"/>
      <c r="G142" s="49"/>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48"/>
      <c r="CQ142" s="48"/>
      <c r="CR142" s="48"/>
      <c r="CS142" s="48"/>
      <c r="CT142" s="48"/>
      <c r="CU142" s="48"/>
      <c r="CV142" s="48"/>
      <c r="CW142" s="48"/>
      <c r="CX142" s="48"/>
      <c r="CY142" s="48"/>
      <c r="CZ142" s="48"/>
      <c r="DA142" s="48"/>
      <c r="DB142" s="48"/>
      <c r="DC142" s="48"/>
      <c r="DD142" s="48"/>
      <c r="DE142" s="48"/>
      <c r="DF142" s="48"/>
      <c r="DG142" s="48"/>
      <c r="DH142" s="48"/>
      <c r="DI142" s="48"/>
      <c r="DJ142" s="48"/>
      <c r="DK142" s="48"/>
      <c r="DL142" s="48"/>
      <c r="DM142" s="48"/>
      <c r="DN142" s="48"/>
      <c r="DO142" s="48"/>
      <c r="DP142" s="48"/>
      <c r="DQ142" s="48"/>
      <c r="DR142" s="48"/>
      <c r="DS142" s="48"/>
      <c r="DT142" s="48"/>
      <c r="DU142" s="48"/>
      <c r="DV142" s="48"/>
      <c r="DW142" s="48"/>
      <c r="DX142" s="48"/>
      <c r="DY142" s="48"/>
      <c r="DZ142" s="48"/>
      <c r="EA142" s="48"/>
      <c r="EB142" s="48"/>
      <c r="EC142" s="48"/>
      <c r="ED142" s="48"/>
      <c r="EE142" s="48"/>
      <c r="EF142" s="48"/>
      <c r="EG142" s="48"/>
      <c r="EH142" s="48"/>
      <c r="EI142" s="48"/>
      <c r="EJ142" s="48"/>
      <c r="EK142" s="48"/>
      <c r="EL142" s="48"/>
      <c r="EM142" s="48"/>
      <c r="EN142" s="48"/>
      <c r="EO142" s="48"/>
      <c r="EP142" s="48"/>
      <c r="EQ142" s="48"/>
      <c r="ER142" s="48"/>
      <c r="ES142" s="48"/>
      <c r="ET142" s="48"/>
      <c r="EU142" s="48"/>
      <c r="EV142" s="48"/>
      <c r="EW142" s="48"/>
      <c r="EX142" s="48"/>
      <c r="EY142" s="48"/>
      <c r="EZ142" s="48"/>
      <c r="FA142" s="48"/>
      <c r="FB142" s="48"/>
      <c r="FC142" s="48"/>
      <c r="FD142" s="48"/>
      <c r="FE142" s="48"/>
      <c r="FF142" s="48"/>
      <c r="FG142" s="48"/>
      <c r="FH142" s="48"/>
      <c r="FI142" s="48"/>
      <c r="FJ142" s="48"/>
      <c r="FK142" s="48"/>
      <c r="FL142" s="48"/>
      <c r="FM142" s="48"/>
      <c r="FN142" s="48"/>
      <c r="FO142" s="48"/>
      <c r="FP142" s="48"/>
      <c r="FQ142" s="48"/>
      <c r="FR142" s="48"/>
      <c r="FS142" s="48"/>
      <c r="FT142" s="48"/>
      <c r="FU142" s="48"/>
      <c r="FV142" s="48"/>
      <c r="FW142" s="48"/>
      <c r="FX142" s="48"/>
      <c r="FY142" s="48"/>
      <c r="FZ142" s="48"/>
      <c r="GA142" s="48"/>
      <c r="GB142" s="48"/>
      <c r="GC142" s="48"/>
      <c r="GD142" s="48"/>
      <c r="GE142" s="48"/>
      <c r="GF142" s="48"/>
      <c r="GG142" s="48"/>
      <c r="GH142" s="48"/>
      <c r="GI142" s="48"/>
      <c r="GJ142" s="48"/>
      <c r="GK142" s="48"/>
      <c r="GL142" s="48"/>
      <c r="GM142" s="48"/>
      <c r="GN142" s="48"/>
      <c r="GO142" s="48"/>
      <c r="GP142" s="48"/>
      <c r="GQ142" s="48"/>
      <c r="GR142" s="48"/>
      <c r="GS142" s="48"/>
      <c r="GT142" s="48"/>
      <c r="GU142" s="48"/>
      <c r="GV142" s="48"/>
      <c r="GW142" s="48"/>
      <c r="GX142" s="48"/>
      <c r="GY142" s="48"/>
      <c r="GZ142" s="48"/>
      <c r="HA142" s="48"/>
      <c r="HB142" s="48"/>
    </row>
    <row r="143" spans="1:210" ht="15.75" customHeight="1">
      <c r="A143" s="5"/>
      <c r="B143" s="5"/>
      <c r="C143" s="5"/>
      <c r="D143" s="5"/>
      <c r="E143" s="5"/>
      <c r="F143" s="5"/>
      <c r="G143" s="49"/>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48"/>
      <c r="CQ143" s="48"/>
      <c r="CR143" s="48"/>
      <c r="CS143" s="48"/>
      <c r="CT143" s="48"/>
      <c r="CU143" s="48"/>
      <c r="CV143" s="48"/>
      <c r="CW143" s="48"/>
      <c r="CX143" s="48"/>
      <c r="CY143" s="48"/>
      <c r="CZ143" s="48"/>
      <c r="DA143" s="48"/>
      <c r="DB143" s="48"/>
      <c r="DC143" s="48"/>
      <c r="DD143" s="48"/>
      <c r="DE143" s="48"/>
      <c r="DF143" s="48"/>
      <c r="DG143" s="48"/>
      <c r="DH143" s="48"/>
      <c r="DI143" s="48"/>
      <c r="DJ143" s="48"/>
      <c r="DK143" s="48"/>
      <c r="DL143" s="48"/>
      <c r="DM143" s="48"/>
      <c r="DN143" s="48"/>
      <c r="DO143" s="48"/>
      <c r="DP143" s="48"/>
      <c r="DQ143" s="48"/>
      <c r="DR143" s="48"/>
      <c r="DS143" s="48"/>
      <c r="DT143" s="48"/>
      <c r="DU143" s="48"/>
      <c r="DV143" s="48"/>
      <c r="DW143" s="48"/>
      <c r="DX143" s="48"/>
      <c r="DY143" s="48"/>
      <c r="DZ143" s="48"/>
      <c r="EA143" s="48"/>
      <c r="EB143" s="48"/>
      <c r="EC143" s="48"/>
      <c r="ED143" s="48"/>
      <c r="EE143" s="48"/>
      <c r="EF143" s="48"/>
      <c r="EG143" s="48"/>
      <c r="EH143" s="48"/>
      <c r="EI143" s="48"/>
      <c r="EJ143" s="48"/>
      <c r="EK143" s="48"/>
      <c r="EL143" s="48"/>
      <c r="EM143" s="48"/>
      <c r="EN143" s="48"/>
      <c r="EO143" s="48"/>
      <c r="EP143" s="48"/>
      <c r="EQ143" s="48"/>
      <c r="ER143" s="48"/>
      <c r="ES143" s="48"/>
      <c r="ET143" s="48"/>
      <c r="EU143" s="48"/>
      <c r="EV143" s="48"/>
      <c r="EW143" s="48"/>
      <c r="EX143" s="48"/>
      <c r="EY143" s="48"/>
      <c r="EZ143" s="48"/>
      <c r="FA143" s="48"/>
      <c r="FB143" s="48"/>
      <c r="FC143" s="48"/>
      <c r="FD143" s="48"/>
      <c r="FE143" s="48"/>
      <c r="FF143" s="48"/>
      <c r="FG143" s="48"/>
      <c r="FH143" s="48"/>
      <c r="FI143" s="48"/>
      <c r="FJ143" s="48"/>
      <c r="FK143" s="48"/>
      <c r="FL143" s="48"/>
      <c r="FM143" s="48"/>
      <c r="FN143" s="48"/>
      <c r="FO143" s="48"/>
      <c r="FP143" s="48"/>
      <c r="FQ143" s="48"/>
      <c r="FR143" s="48"/>
      <c r="FS143" s="48"/>
      <c r="FT143" s="48"/>
      <c r="FU143" s="48"/>
      <c r="FV143" s="48"/>
      <c r="FW143" s="48"/>
      <c r="FX143" s="48"/>
      <c r="FY143" s="48"/>
      <c r="FZ143" s="48"/>
      <c r="GA143" s="48"/>
      <c r="GB143" s="48"/>
      <c r="GC143" s="48"/>
      <c r="GD143" s="48"/>
      <c r="GE143" s="48"/>
      <c r="GF143" s="48"/>
      <c r="GG143" s="48"/>
      <c r="GH143" s="48"/>
      <c r="GI143" s="48"/>
      <c r="GJ143" s="48"/>
      <c r="GK143" s="48"/>
      <c r="GL143" s="48"/>
      <c r="GM143" s="48"/>
      <c r="GN143" s="48"/>
      <c r="GO143" s="48"/>
      <c r="GP143" s="48"/>
      <c r="GQ143" s="48"/>
      <c r="GR143" s="48"/>
      <c r="GS143" s="48"/>
      <c r="GT143" s="48"/>
      <c r="GU143" s="48"/>
      <c r="GV143" s="48"/>
      <c r="GW143" s="48"/>
      <c r="GX143" s="48"/>
      <c r="GY143" s="48"/>
      <c r="GZ143" s="48"/>
      <c r="HA143" s="48"/>
      <c r="HB143" s="48"/>
    </row>
    <row r="144" spans="1:210" ht="15.75" customHeight="1">
      <c r="A144" s="5"/>
      <c r="B144" s="5"/>
      <c r="C144" s="5"/>
      <c r="D144" s="5"/>
      <c r="E144" s="5"/>
      <c r="F144" s="5"/>
      <c r="G144" s="49"/>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48"/>
      <c r="CQ144" s="48"/>
      <c r="CR144" s="48"/>
      <c r="CS144" s="48"/>
      <c r="CT144" s="48"/>
      <c r="CU144" s="48"/>
      <c r="CV144" s="48"/>
      <c r="CW144" s="48"/>
      <c r="CX144" s="48"/>
      <c r="CY144" s="48"/>
      <c r="CZ144" s="48"/>
      <c r="DA144" s="48"/>
      <c r="DB144" s="48"/>
      <c r="DC144" s="48"/>
      <c r="DD144" s="48"/>
      <c r="DE144" s="48"/>
      <c r="DF144" s="48"/>
      <c r="DG144" s="48"/>
      <c r="DH144" s="48"/>
      <c r="DI144" s="48"/>
      <c r="DJ144" s="48"/>
      <c r="DK144" s="48"/>
      <c r="DL144" s="48"/>
      <c r="DM144" s="48"/>
      <c r="DN144" s="48"/>
      <c r="DO144" s="48"/>
      <c r="DP144" s="48"/>
      <c r="DQ144" s="48"/>
      <c r="DR144" s="48"/>
      <c r="DS144" s="48"/>
      <c r="DT144" s="48"/>
      <c r="DU144" s="48"/>
      <c r="DV144" s="48"/>
      <c r="DW144" s="48"/>
      <c r="DX144" s="48"/>
      <c r="DY144" s="48"/>
      <c r="DZ144" s="48"/>
      <c r="EA144" s="48"/>
      <c r="EB144" s="48"/>
      <c r="EC144" s="48"/>
      <c r="ED144" s="48"/>
      <c r="EE144" s="48"/>
      <c r="EF144" s="48"/>
      <c r="EG144" s="48"/>
      <c r="EH144" s="48"/>
      <c r="EI144" s="48"/>
      <c r="EJ144" s="48"/>
      <c r="EK144" s="48"/>
      <c r="EL144" s="48"/>
      <c r="EM144" s="48"/>
      <c r="EN144" s="48"/>
      <c r="EO144" s="48"/>
      <c r="EP144" s="48"/>
      <c r="EQ144" s="48"/>
      <c r="ER144" s="48"/>
      <c r="ES144" s="48"/>
      <c r="ET144" s="48"/>
      <c r="EU144" s="48"/>
      <c r="EV144" s="48"/>
      <c r="EW144" s="48"/>
      <c r="EX144" s="48"/>
      <c r="EY144" s="48"/>
      <c r="EZ144" s="48"/>
      <c r="FA144" s="48"/>
      <c r="FB144" s="48"/>
      <c r="FC144" s="48"/>
      <c r="FD144" s="48"/>
      <c r="FE144" s="48"/>
      <c r="FF144" s="48"/>
      <c r="FG144" s="48"/>
      <c r="FH144" s="48"/>
      <c r="FI144" s="48"/>
      <c r="FJ144" s="48"/>
      <c r="FK144" s="48"/>
      <c r="FL144" s="48"/>
      <c r="FM144" s="48"/>
      <c r="FN144" s="48"/>
      <c r="FO144" s="48"/>
      <c r="FP144" s="48"/>
      <c r="FQ144" s="48"/>
      <c r="FR144" s="48"/>
      <c r="FS144" s="48"/>
      <c r="FT144" s="48"/>
      <c r="FU144" s="48"/>
      <c r="FV144" s="48"/>
      <c r="FW144" s="48"/>
      <c r="FX144" s="48"/>
      <c r="FY144" s="48"/>
      <c r="FZ144" s="48"/>
      <c r="GA144" s="48"/>
      <c r="GB144" s="48"/>
      <c r="GC144" s="48"/>
      <c r="GD144" s="48"/>
      <c r="GE144" s="48"/>
      <c r="GF144" s="48"/>
      <c r="GG144" s="48"/>
      <c r="GH144" s="48"/>
      <c r="GI144" s="48"/>
      <c r="GJ144" s="48"/>
      <c r="GK144" s="48"/>
      <c r="GL144" s="48"/>
      <c r="GM144" s="48"/>
      <c r="GN144" s="48"/>
      <c r="GO144" s="48"/>
      <c r="GP144" s="48"/>
      <c r="GQ144" s="48"/>
      <c r="GR144" s="48"/>
      <c r="GS144" s="48"/>
      <c r="GT144" s="48"/>
      <c r="GU144" s="48"/>
      <c r="GV144" s="48"/>
      <c r="GW144" s="48"/>
      <c r="GX144" s="48"/>
      <c r="GY144" s="48"/>
      <c r="GZ144" s="48"/>
      <c r="HA144" s="48"/>
      <c r="HB144" s="48"/>
    </row>
    <row r="145" spans="1:210" ht="15.75" customHeight="1">
      <c r="A145" s="5"/>
      <c r="B145" s="5"/>
      <c r="C145" s="5"/>
      <c r="D145" s="5"/>
      <c r="E145" s="5"/>
      <c r="F145" s="5"/>
      <c r="G145" s="49"/>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48"/>
      <c r="CQ145" s="48"/>
      <c r="CR145" s="48"/>
      <c r="CS145" s="48"/>
      <c r="CT145" s="48"/>
      <c r="CU145" s="48"/>
      <c r="CV145" s="48"/>
      <c r="CW145" s="48"/>
      <c r="CX145" s="48"/>
      <c r="CY145" s="48"/>
      <c r="CZ145" s="48"/>
      <c r="DA145" s="48"/>
      <c r="DB145" s="48"/>
      <c r="DC145" s="48"/>
      <c r="DD145" s="48"/>
      <c r="DE145" s="48"/>
      <c r="DF145" s="48"/>
      <c r="DG145" s="48"/>
      <c r="DH145" s="48"/>
      <c r="DI145" s="48"/>
      <c r="DJ145" s="48"/>
      <c r="DK145" s="48"/>
      <c r="DL145" s="48"/>
      <c r="DM145" s="48"/>
      <c r="DN145" s="48"/>
      <c r="DO145" s="48"/>
      <c r="DP145" s="48"/>
      <c r="DQ145" s="48"/>
      <c r="DR145" s="48"/>
      <c r="DS145" s="48"/>
      <c r="DT145" s="48"/>
      <c r="DU145" s="48"/>
      <c r="DV145" s="48"/>
      <c r="DW145" s="48"/>
      <c r="DX145" s="48"/>
      <c r="DY145" s="48"/>
      <c r="DZ145" s="48"/>
      <c r="EA145" s="48"/>
      <c r="EB145" s="48"/>
      <c r="EC145" s="48"/>
      <c r="ED145" s="48"/>
      <c r="EE145" s="48"/>
      <c r="EF145" s="48"/>
      <c r="EG145" s="48"/>
      <c r="EH145" s="48"/>
      <c r="EI145" s="48"/>
      <c r="EJ145" s="48"/>
      <c r="EK145" s="48"/>
      <c r="EL145" s="48"/>
      <c r="EM145" s="48"/>
      <c r="EN145" s="48"/>
      <c r="EO145" s="48"/>
      <c r="EP145" s="48"/>
      <c r="EQ145" s="48"/>
      <c r="ER145" s="48"/>
      <c r="ES145" s="48"/>
      <c r="ET145" s="48"/>
      <c r="EU145" s="48"/>
      <c r="EV145" s="48"/>
      <c r="EW145" s="48"/>
      <c r="EX145" s="48"/>
      <c r="EY145" s="48"/>
      <c r="EZ145" s="48"/>
      <c r="FA145" s="48"/>
      <c r="FB145" s="48"/>
      <c r="FC145" s="48"/>
      <c r="FD145" s="48"/>
      <c r="FE145" s="48"/>
      <c r="FF145" s="48"/>
      <c r="FG145" s="48"/>
      <c r="FH145" s="48"/>
      <c r="FI145" s="48"/>
      <c r="FJ145" s="48"/>
      <c r="FK145" s="48"/>
      <c r="FL145" s="48"/>
      <c r="FM145" s="48"/>
      <c r="FN145" s="48"/>
      <c r="FO145" s="48"/>
      <c r="FP145" s="48"/>
      <c r="FQ145" s="48"/>
      <c r="FR145" s="48"/>
      <c r="FS145" s="48"/>
      <c r="FT145" s="48"/>
      <c r="FU145" s="48"/>
      <c r="FV145" s="48"/>
      <c r="FW145" s="48"/>
      <c r="FX145" s="48"/>
      <c r="FY145" s="48"/>
      <c r="FZ145" s="48"/>
      <c r="GA145" s="48"/>
      <c r="GB145" s="48"/>
      <c r="GC145" s="48"/>
      <c r="GD145" s="48"/>
      <c r="GE145" s="48"/>
      <c r="GF145" s="48"/>
      <c r="GG145" s="48"/>
      <c r="GH145" s="48"/>
      <c r="GI145" s="48"/>
      <c r="GJ145" s="48"/>
      <c r="GK145" s="48"/>
      <c r="GL145" s="48"/>
      <c r="GM145" s="48"/>
      <c r="GN145" s="48"/>
      <c r="GO145" s="48"/>
      <c r="GP145" s="48"/>
      <c r="GQ145" s="48"/>
      <c r="GR145" s="48"/>
      <c r="GS145" s="48"/>
      <c r="GT145" s="48"/>
      <c r="GU145" s="48"/>
      <c r="GV145" s="48"/>
      <c r="GW145" s="48"/>
      <c r="GX145" s="48"/>
      <c r="GY145" s="48"/>
      <c r="GZ145" s="48"/>
      <c r="HA145" s="48"/>
      <c r="HB145" s="48"/>
    </row>
    <row r="146" spans="1:210" ht="15.75" customHeight="1">
      <c r="A146" s="5"/>
      <c r="B146" s="5"/>
      <c r="C146" s="5"/>
      <c r="D146" s="5"/>
      <c r="E146" s="5"/>
      <c r="F146" s="5"/>
      <c r="G146" s="49"/>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48"/>
      <c r="CQ146" s="48"/>
      <c r="CR146" s="48"/>
      <c r="CS146" s="48"/>
      <c r="CT146" s="48"/>
      <c r="CU146" s="48"/>
      <c r="CV146" s="48"/>
      <c r="CW146" s="48"/>
      <c r="CX146" s="48"/>
      <c r="CY146" s="48"/>
      <c r="CZ146" s="48"/>
      <c r="DA146" s="48"/>
      <c r="DB146" s="48"/>
      <c r="DC146" s="48"/>
      <c r="DD146" s="48"/>
      <c r="DE146" s="48"/>
      <c r="DF146" s="48"/>
      <c r="DG146" s="48"/>
      <c r="DH146" s="48"/>
      <c r="DI146" s="48"/>
      <c r="DJ146" s="48"/>
      <c r="DK146" s="48"/>
      <c r="DL146" s="48"/>
      <c r="DM146" s="48"/>
      <c r="DN146" s="48"/>
      <c r="DO146" s="48"/>
      <c r="DP146" s="48"/>
      <c r="DQ146" s="48"/>
      <c r="DR146" s="48"/>
      <c r="DS146" s="48"/>
      <c r="DT146" s="48"/>
      <c r="DU146" s="48"/>
      <c r="DV146" s="48"/>
      <c r="DW146" s="48"/>
      <c r="DX146" s="48"/>
      <c r="DY146" s="48"/>
      <c r="DZ146" s="48"/>
      <c r="EA146" s="48"/>
      <c r="EB146" s="48"/>
      <c r="EC146" s="48"/>
      <c r="ED146" s="48"/>
      <c r="EE146" s="48"/>
      <c r="EF146" s="48"/>
      <c r="EG146" s="48"/>
      <c r="EH146" s="48"/>
      <c r="EI146" s="48"/>
      <c r="EJ146" s="48"/>
      <c r="EK146" s="48"/>
      <c r="EL146" s="48"/>
      <c r="EM146" s="48"/>
      <c r="EN146" s="48"/>
      <c r="EO146" s="48"/>
      <c r="EP146" s="48"/>
      <c r="EQ146" s="48"/>
      <c r="ER146" s="48"/>
      <c r="ES146" s="48"/>
      <c r="ET146" s="48"/>
      <c r="EU146" s="48"/>
      <c r="EV146" s="48"/>
      <c r="EW146" s="48"/>
      <c r="EX146" s="48"/>
      <c r="EY146" s="48"/>
      <c r="EZ146" s="48"/>
      <c r="FA146" s="48"/>
      <c r="FB146" s="48"/>
      <c r="FC146" s="48"/>
      <c r="FD146" s="48"/>
      <c r="FE146" s="48"/>
      <c r="FF146" s="48"/>
      <c r="FG146" s="48"/>
      <c r="FH146" s="48"/>
      <c r="FI146" s="48"/>
      <c r="FJ146" s="48"/>
      <c r="FK146" s="48"/>
      <c r="FL146" s="48"/>
      <c r="FM146" s="48"/>
      <c r="FN146" s="48"/>
      <c r="FO146" s="48"/>
      <c r="FP146" s="48"/>
      <c r="FQ146" s="48"/>
      <c r="FR146" s="48"/>
      <c r="FS146" s="48"/>
      <c r="FT146" s="48"/>
      <c r="FU146" s="48"/>
      <c r="FV146" s="48"/>
      <c r="FW146" s="48"/>
      <c r="FX146" s="48"/>
      <c r="FY146" s="48"/>
      <c r="FZ146" s="48"/>
      <c r="GA146" s="48"/>
      <c r="GB146" s="48"/>
      <c r="GC146" s="48"/>
      <c r="GD146" s="48"/>
      <c r="GE146" s="48"/>
      <c r="GF146" s="48"/>
      <c r="GG146" s="48"/>
      <c r="GH146" s="48"/>
      <c r="GI146" s="48"/>
      <c r="GJ146" s="48"/>
      <c r="GK146" s="48"/>
      <c r="GL146" s="48"/>
      <c r="GM146" s="48"/>
      <c r="GN146" s="48"/>
      <c r="GO146" s="48"/>
      <c r="GP146" s="48"/>
      <c r="GQ146" s="48"/>
      <c r="GR146" s="48"/>
      <c r="GS146" s="48"/>
      <c r="GT146" s="48"/>
      <c r="GU146" s="48"/>
      <c r="GV146" s="48"/>
      <c r="GW146" s="48"/>
      <c r="GX146" s="48"/>
      <c r="GY146" s="48"/>
      <c r="GZ146" s="48"/>
      <c r="HA146" s="48"/>
      <c r="HB146" s="48"/>
    </row>
    <row r="147" spans="1:210" ht="15.75" customHeight="1">
      <c r="A147" s="5"/>
      <c r="B147" s="5"/>
      <c r="C147" s="5"/>
      <c r="D147" s="5"/>
      <c r="E147" s="5"/>
      <c r="F147" s="5"/>
      <c r="G147" s="49"/>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48"/>
      <c r="CQ147" s="48"/>
      <c r="CR147" s="48"/>
      <c r="CS147" s="48"/>
      <c r="CT147" s="48"/>
      <c r="CU147" s="48"/>
      <c r="CV147" s="48"/>
      <c r="CW147" s="48"/>
      <c r="CX147" s="48"/>
      <c r="CY147" s="48"/>
      <c r="CZ147" s="48"/>
      <c r="DA147" s="48"/>
      <c r="DB147" s="48"/>
      <c r="DC147" s="48"/>
      <c r="DD147" s="48"/>
      <c r="DE147" s="48"/>
      <c r="DF147" s="48"/>
      <c r="DG147" s="48"/>
      <c r="DH147" s="48"/>
      <c r="DI147" s="48"/>
      <c r="DJ147" s="48"/>
      <c r="DK147" s="48"/>
      <c r="DL147" s="48"/>
      <c r="DM147" s="48"/>
      <c r="DN147" s="48"/>
      <c r="DO147" s="48"/>
      <c r="DP147" s="48"/>
      <c r="DQ147" s="48"/>
      <c r="DR147" s="48"/>
      <c r="DS147" s="48"/>
      <c r="DT147" s="48"/>
      <c r="DU147" s="48"/>
      <c r="DV147" s="48"/>
      <c r="DW147" s="48"/>
      <c r="DX147" s="48"/>
      <c r="DY147" s="48"/>
      <c r="DZ147" s="48"/>
      <c r="EA147" s="48"/>
      <c r="EB147" s="48"/>
      <c r="EC147" s="48"/>
      <c r="ED147" s="48"/>
      <c r="EE147" s="48"/>
      <c r="EF147" s="48"/>
      <c r="EG147" s="48"/>
      <c r="EH147" s="48"/>
      <c r="EI147" s="48"/>
      <c r="EJ147" s="48"/>
      <c r="EK147" s="48"/>
      <c r="EL147" s="48"/>
      <c r="EM147" s="48"/>
      <c r="EN147" s="48"/>
      <c r="EO147" s="48"/>
      <c r="EP147" s="48"/>
      <c r="EQ147" s="48"/>
      <c r="ER147" s="48"/>
      <c r="ES147" s="48"/>
      <c r="ET147" s="48"/>
      <c r="EU147" s="48"/>
      <c r="EV147" s="48"/>
      <c r="EW147" s="48"/>
      <c r="EX147" s="48"/>
      <c r="EY147" s="48"/>
      <c r="EZ147" s="48"/>
      <c r="FA147" s="48"/>
      <c r="FB147" s="48"/>
      <c r="FC147" s="48"/>
      <c r="FD147" s="48"/>
      <c r="FE147" s="48"/>
      <c r="FF147" s="48"/>
      <c r="FG147" s="48"/>
      <c r="FH147" s="48"/>
      <c r="FI147" s="48"/>
      <c r="FJ147" s="48"/>
      <c r="FK147" s="48"/>
      <c r="FL147" s="48"/>
      <c r="FM147" s="48"/>
      <c r="FN147" s="48"/>
      <c r="FO147" s="48"/>
      <c r="FP147" s="48"/>
      <c r="FQ147" s="48"/>
      <c r="FR147" s="48"/>
      <c r="FS147" s="48"/>
      <c r="FT147" s="48"/>
      <c r="FU147" s="48"/>
      <c r="FV147" s="48"/>
      <c r="FW147" s="48"/>
      <c r="FX147" s="48"/>
      <c r="FY147" s="48"/>
      <c r="FZ147" s="48"/>
      <c r="GA147" s="48"/>
      <c r="GB147" s="48"/>
      <c r="GC147" s="48"/>
      <c r="GD147" s="48"/>
      <c r="GE147" s="48"/>
      <c r="GF147" s="48"/>
      <c r="GG147" s="48"/>
      <c r="GH147" s="48"/>
      <c r="GI147" s="48"/>
      <c r="GJ147" s="48"/>
      <c r="GK147" s="48"/>
      <c r="GL147" s="48"/>
      <c r="GM147" s="48"/>
      <c r="GN147" s="48"/>
      <c r="GO147" s="48"/>
      <c r="GP147" s="48"/>
      <c r="GQ147" s="48"/>
      <c r="GR147" s="48"/>
      <c r="GS147" s="48"/>
      <c r="GT147" s="48"/>
      <c r="GU147" s="48"/>
      <c r="GV147" s="48"/>
      <c r="GW147" s="48"/>
      <c r="GX147" s="48"/>
      <c r="GY147" s="48"/>
      <c r="GZ147" s="48"/>
      <c r="HA147" s="48"/>
      <c r="HB147" s="48"/>
    </row>
    <row r="148" spans="1:210" ht="15.75" customHeight="1">
      <c r="A148" s="5"/>
      <c r="B148" s="5"/>
      <c r="C148" s="5"/>
      <c r="D148" s="5"/>
      <c r="E148" s="5"/>
      <c r="F148" s="5"/>
      <c r="G148" s="49"/>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48"/>
      <c r="CQ148" s="48"/>
      <c r="CR148" s="48"/>
      <c r="CS148" s="48"/>
      <c r="CT148" s="48"/>
      <c r="CU148" s="48"/>
      <c r="CV148" s="48"/>
      <c r="CW148" s="48"/>
      <c r="CX148" s="48"/>
      <c r="CY148" s="48"/>
      <c r="CZ148" s="48"/>
      <c r="DA148" s="48"/>
      <c r="DB148" s="48"/>
      <c r="DC148" s="48"/>
      <c r="DD148" s="48"/>
      <c r="DE148" s="48"/>
      <c r="DF148" s="48"/>
      <c r="DG148" s="48"/>
      <c r="DH148" s="48"/>
      <c r="DI148" s="48"/>
      <c r="DJ148" s="48"/>
      <c r="DK148" s="48"/>
      <c r="DL148" s="48"/>
      <c r="DM148" s="48"/>
      <c r="DN148" s="48"/>
      <c r="DO148" s="48"/>
      <c r="DP148" s="48"/>
      <c r="DQ148" s="48"/>
      <c r="DR148" s="48"/>
      <c r="DS148" s="48"/>
      <c r="DT148" s="48"/>
      <c r="DU148" s="48"/>
      <c r="DV148" s="48"/>
      <c r="DW148" s="48"/>
      <c r="DX148" s="48"/>
      <c r="DY148" s="48"/>
      <c r="DZ148" s="48"/>
      <c r="EA148" s="48"/>
      <c r="EB148" s="48"/>
      <c r="EC148" s="48"/>
      <c r="ED148" s="48"/>
      <c r="EE148" s="48"/>
      <c r="EF148" s="48"/>
      <c r="EG148" s="48"/>
      <c r="EH148" s="48"/>
      <c r="EI148" s="48"/>
      <c r="EJ148" s="48"/>
      <c r="EK148" s="48"/>
      <c r="EL148" s="48"/>
      <c r="EM148" s="48"/>
      <c r="EN148" s="48"/>
      <c r="EO148" s="48"/>
      <c r="EP148" s="48"/>
      <c r="EQ148" s="48"/>
      <c r="ER148" s="48"/>
      <c r="ES148" s="48"/>
      <c r="ET148" s="48"/>
      <c r="EU148" s="48"/>
      <c r="EV148" s="48"/>
      <c r="EW148" s="48"/>
      <c r="EX148" s="48"/>
      <c r="EY148" s="48"/>
      <c r="EZ148" s="48"/>
      <c r="FA148" s="48"/>
      <c r="FB148" s="48"/>
      <c r="FC148" s="48"/>
      <c r="FD148" s="48"/>
      <c r="FE148" s="48"/>
      <c r="FF148" s="48"/>
      <c r="FG148" s="48"/>
      <c r="FH148" s="48"/>
      <c r="FI148" s="48"/>
      <c r="FJ148" s="48"/>
      <c r="FK148" s="48"/>
      <c r="FL148" s="48"/>
      <c r="FM148" s="48"/>
      <c r="FN148" s="48"/>
      <c r="FO148" s="48"/>
      <c r="FP148" s="48"/>
      <c r="FQ148" s="48"/>
      <c r="FR148" s="48"/>
      <c r="FS148" s="48"/>
      <c r="FT148" s="48"/>
      <c r="FU148" s="48"/>
      <c r="FV148" s="48"/>
      <c r="FW148" s="48"/>
      <c r="FX148" s="48"/>
      <c r="FY148" s="48"/>
      <c r="FZ148" s="48"/>
      <c r="GA148" s="48"/>
      <c r="GB148" s="48"/>
      <c r="GC148" s="48"/>
      <c r="GD148" s="48"/>
      <c r="GE148" s="48"/>
      <c r="GF148" s="48"/>
      <c r="GG148" s="48"/>
      <c r="GH148" s="48"/>
      <c r="GI148" s="48"/>
      <c r="GJ148" s="48"/>
      <c r="GK148" s="48"/>
      <c r="GL148" s="48"/>
      <c r="GM148" s="48"/>
      <c r="GN148" s="48"/>
      <c r="GO148" s="48"/>
      <c r="GP148" s="48"/>
      <c r="GQ148" s="48"/>
      <c r="GR148" s="48"/>
      <c r="GS148" s="48"/>
      <c r="GT148" s="48"/>
      <c r="GU148" s="48"/>
      <c r="GV148" s="48"/>
      <c r="GW148" s="48"/>
      <c r="GX148" s="48"/>
      <c r="GY148" s="48"/>
      <c r="GZ148" s="48"/>
      <c r="HA148" s="48"/>
      <c r="HB148" s="48"/>
    </row>
    <row r="149" spans="1:210" ht="15.75" customHeight="1">
      <c r="A149" s="5"/>
      <c r="B149" s="5"/>
      <c r="C149" s="5"/>
      <c r="D149" s="5"/>
      <c r="E149" s="5"/>
      <c r="F149" s="5"/>
      <c r="G149" s="49"/>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48"/>
      <c r="CQ149" s="48"/>
      <c r="CR149" s="48"/>
      <c r="CS149" s="48"/>
      <c r="CT149" s="48"/>
      <c r="CU149" s="48"/>
      <c r="CV149" s="48"/>
      <c r="CW149" s="48"/>
      <c r="CX149" s="48"/>
      <c r="CY149" s="48"/>
      <c r="CZ149" s="48"/>
      <c r="DA149" s="48"/>
      <c r="DB149" s="48"/>
      <c r="DC149" s="48"/>
      <c r="DD149" s="48"/>
      <c r="DE149" s="48"/>
      <c r="DF149" s="48"/>
      <c r="DG149" s="48"/>
      <c r="DH149" s="48"/>
      <c r="DI149" s="48"/>
      <c r="DJ149" s="48"/>
      <c r="DK149" s="48"/>
      <c r="DL149" s="48"/>
      <c r="DM149" s="48"/>
      <c r="DN149" s="48"/>
      <c r="DO149" s="48"/>
      <c r="DP149" s="48"/>
      <c r="DQ149" s="48"/>
      <c r="DR149" s="48"/>
      <c r="DS149" s="48"/>
      <c r="DT149" s="48"/>
      <c r="DU149" s="48"/>
      <c r="DV149" s="48"/>
      <c r="DW149" s="48"/>
      <c r="DX149" s="48"/>
      <c r="DY149" s="48"/>
      <c r="DZ149" s="48"/>
      <c r="EA149" s="48"/>
      <c r="EB149" s="48"/>
      <c r="EC149" s="48"/>
      <c r="ED149" s="48"/>
      <c r="EE149" s="48"/>
      <c r="EF149" s="48"/>
      <c r="EG149" s="48"/>
      <c r="EH149" s="48"/>
      <c r="EI149" s="48"/>
      <c r="EJ149" s="48"/>
      <c r="EK149" s="48"/>
      <c r="EL149" s="48"/>
      <c r="EM149" s="48"/>
      <c r="EN149" s="48"/>
      <c r="EO149" s="48"/>
      <c r="EP149" s="48"/>
      <c r="EQ149" s="48"/>
      <c r="ER149" s="48"/>
      <c r="ES149" s="48"/>
      <c r="ET149" s="48"/>
      <c r="EU149" s="48"/>
      <c r="EV149" s="48"/>
      <c r="EW149" s="48"/>
      <c r="EX149" s="48"/>
      <c r="EY149" s="48"/>
      <c r="EZ149" s="48"/>
      <c r="FA149" s="48"/>
      <c r="FB149" s="48"/>
      <c r="FC149" s="48"/>
      <c r="FD149" s="48"/>
      <c r="FE149" s="48"/>
      <c r="FF149" s="48"/>
      <c r="FG149" s="48"/>
      <c r="FH149" s="48"/>
      <c r="FI149" s="48"/>
      <c r="FJ149" s="48"/>
      <c r="FK149" s="48"/>
      <c r="FL149" s="48"/>
      <c r="FM149" s="48"/>
      <c r="FN149" s="48"/>
      <c r="FO149" s="48"/>
      <c r="FP149" s="48"/>
      <c r="FQ149" s="48"/>
      <c r="FR149" s="48"/>
      <c r="FS149" s="48"/>
      <c r="FT149" s="48"/>
      <c r="FU149" s="48"/>
      <c r="FV149" s="48"/>
      <c r="FW149" s="48"/>
      <c r="FX149" s="48"/>
      <c r="FY149" s="48"/>
      <c r="FZ149" s="48"/>
      <c r="GA149" s="48"/>
      <c r="GB149" s="48"/>
      <c r="GC149" s="48"/>
      <c r="GD149" s="48"/>
      <c r="GE149" s="48"/>
      <c r="GF149" s="48"/>
      <c r="GG149" s="48"/>
      <c r="GH149" s="48"/>
      <c r="GI149" s="48"/>
      <c r="GJ149" s="48"/>
      <c r="GK149" s="48"/>
      <c r="GL149" s="48"/>
      <c r="GM149" s="48"/>
      <c r="GN149" s="48"/>
      <c r="GO149" s="48"/>
      <c r="GP149" s="48"/>
      <c r="GQ149" s="48"/>
      <c r="GR149" s="48"/>
      <c r="GS149" s="48"/>
      <c r="GT149" s="48"/>
      <c r="GU149" s="48"/>
      <c r="GV149" s="48"/>
      <c r="GW149" s="48"/>
      <c r="GX149" s="48"/>
      <c r="GY149" s="48"/>
      <c r="GZ149" s="48"/>
      <c r="HA149" s="48"/>
      <c r="HB149" s="48"/>
    </row>
    <row r="150" spans="1:210" ht="15.75" customHeight="1">
      <c r="A150" s="5"/>
      <c r="B150" s="5"/>
      <c r="C150" s="5"/>
      <c r="D150" s="5"/>
      <c r="E150" s="5"/>
      <c r="F150" s="5"/>
      <c r="G150" s="49"/>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48"/>
      <c r="CQ150" s="48"/>
      <c r="CR150" s="48"/>
      <c r="CS150" s="48"/>
      <c r="CT150" s="48"/>
      <c r="CU150" s="48"/>
      <c r="CV150" s="48"/>
      <c r="CW150" s="48"/>
      <c r="CX150" s="48"/>
      <c r="CY150" s="48"/>
      <c r="CZ150" s="48"/>
      <c r="DA150" s="48"/>
      <c r="DB150" s="48"/>
      <c r="DC150" s="48"/>
      <c r="DD150" s="48"/>
      <c r="DE150" s="48"/>
      <c r="DF150" s="48"/>
      <c r="DG150" s="48"/>
      <c r="DH150" s="48"/>
      <c r="DI150" s="48"/>
      <c r="DJ150" s="48"/>
      <c r="DK150" s="48"/>
      <c r="DL150" s="48"/>
      <c r="DM150" s="48"/>
      <c r="DN150" s="48"/>
      <c r="DO150" s="48"/>
      <c r="DP150" s="48"/>
      <c r="DQ150" s="48"/>
      <c r="DR150" s="48"/>
      <c r="DS150" s="48"/>
      <c r="DT150" s="48"/>
      <c r="DU150" s="48"/>
      <c r="DV150" s="48"/>
      <c r="DW150" s="48"/>
      <c r="DX150" s="48"/>
      <c r="DY150" s="48"/>
      <c r="DZ150" s="48"/>
      <c r="EA150" s="48"/>
      <c r="EB150" s="48"/>
      <c r="EC150" s="48"/>
      <c r="ED150" s="48"/>
      <c r="EE150" s="48"/>
      <c r="EF150" s="48"/>
      <c r="EG150" s="48"/>
      <c r="EH150" s="48"/>
      <c r="EI150" s="48"/>
      <c r="EJ150" s="48"/>
      <c r="EK150" s="48"/>
      <c r="EL150" s="48"/>
      <c r="EM150" s="48"/>
      <c r="EN150" s="48"/>
      <c r="EO150" s="48"/>
      <c r="EP150" s="48"/>
      <c r="EQ150" s="48"/>
      <c r="ER150" s="48"/>
      <c r="ES150" s="48"/>
      <c r="ET150" s="48"/>
      <c r="EU150" s="48"/>
      <c r="EV150" s="48"/>
      <c r="EW150" s="48"/>
      <c r="EX150" s="48"/>
      <c r="EY150" s="48"/>
      <c r="EZ150" s="48"/>
      <c r="FA150" s="48"/>
      <c r="FB150" s="48"/>
      <c r="FC150" s="48"/>
      <c r="FD150" s="48"/>
      <c r="FE150" s="48"/>
      <c r="FF150" s="48"/>
      <c r="FG150" s="48"/>
      <c r="FH150" s="48"/>
      <c r="FI150" s="48"/>
      <c r="FJ150" s="48"/>
      <c r="FK150" s="48"/>
      <c r="FL150" s="48"/>
      <c r="FM150" s="48"/>
      <c r="FN150" s="48"/>
      <c r="FO150" s="48"/>
      <c r="FP150" s="48"/>
      <c r="FQ150" s="48"/>
      <c r="FR150" s="48"/>
      <c r="FS150" s="48"/>
      <c r="FT150" s="48"/>
      <c r="FU150" s="48"/>
      <c r="FV150" s="48"/>
      <c r="FW150" s="48"/>
      <c r="FX150" s="48"/>
      <c r="FY150" s="48"/>
      <c r="FZ150" s="48"/>
      <c r="GA150" s="48"/>
      <c r="GB150" s="48"/>
      <c r="GC150" s="48"/>
      <c r="GD150" s="48"/>
      <c r="GE150" s="48"/>
      <c r="GF150" s="48"/>
      <c r="GG150" s="48"/>
      <c r="GH150" s="48"/>
      <c r="GI150" s="48"/>
      <c r="GJ150" s="48"/>
      <c r="GK150" s="48"/>
      <c r="GL150" s="48"/>
      <c r="GM150" s="48"/>
      <c r="GN150" s="48"/>
      <c r="GO150" s="48"/>
      <c r="GP150" s="48"/>
      <c r="GQ150" s="48"/>
      <c r="GR150" s="48"/>
      <c r="GS150" s="48"/>
      <c r="GT150" s="48"/>
      <c r="GU150" s="48"/>
      <c r="GV150" s="48"/>
      <c r="GW150" s="48"/>
      <c r="GX150" s="48"/>
      <c r="GY150" s="48"/>
      <c r="GZ150" s="48"/>
      <c r="HA150" s="48"/>
      <c r="HB150" s="48"/>
    </row>
    <row r="151" spans="1:210" ht="15.75" customHeight="1">
      <c r="A151" s="5"/>
      <c r="B151" s="5"/>
      <c r="C151" s="5"/>
      <c r="D151" s="5"/>
      <c r="E151" s="5"/>
      <c r="F151" s="5"/>
      <c r="G151" s="49"/>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48"/>
      <c r="CQ151" s="48"/>
      <c r="CR151" s="48"/>
      <c r="CS151" s="48"/>
      <c r="CT151" s="48"/>
      <c r="CU151" s="48"/>
      <c r="CV151" s="48"/>
      <c r="CW151" s="48"/>
      <c r="CX151" s="48"/>
      <c r="CY151" s="48"/>
      <c r="CZ151" s="48"/>
      <c r="DA151" s="48"/>
      <c r="DB151" s="48"/>
      <c r="DC151" s="48"/>
      <c r="DD151" s="48"/>
      <c r="DE151" s="48"/>
      <c r="DF151" s="48"/>
      <c r="DG151" s="48"/>
      <c r="DH151" s="48"/>
      <c r="DI151" s="48"/>
      <c r="DJ151" s="48"/>
      <c r="DK151" s="48"/>
      <c r="DL151" s="48"/>
      <c r="DM151" s="48"/>
      <c r="DN151" s="48"/>
      <c r="DO151" s="48"/>
      <c r="DP151" s="48"/>
      <c r="DQ151" s="48"/>
      <c r="DR151" s="48"/>
      <c r="DS151" s="48"/>
      <c r="DT151" s="48"/>
      <c r="DU151" s="48"/>
      <c r="DV151" s="48"/>
      <c r="DW151" s="48"/>
      <c r="DX151" s="48"/>
      <c r="DY151" s="48"/>
      <c r="DZ151" s="48"/>
      <c r="EA151" s="48"/>
      <c r="EB151" s="48"/>
      <c r="EC151" s="48"/>
      <c r="ED151" s="48"/>
      <c r="EE151" s="48"/>
      <c r="EF151" s="48"/>
      <c r="EG151" s="48"/>
      <c r="EH151" s="48"/>
      <c r="EI151" s="48"/>
      <c r="EJ151" s="48"/>
      <c r="EK151" s="48"/>
      <c r="EL151" s="48"/>
      <c r="EM151" s="48"/>
      <c r="EN151" s="48"/>
      <c r="EO151" s="48"/>
      <c r="EP151" s="48"/>
      <c r="EQ151" s="48"/>
      <c r="ER151" s="48"/>
      <c r="ES151" s="48"/>
      <c r="ET151" s="48"/>
      <c r="EU151" s="48"/>
      <c r="EV151" s="48"/>
      <c r="EW151" s="48"/>
      <c r="EX151" s="48"/>
      <c r="EY151" s="48"/>
      <c r="EZ151" s="48"/>
      <c r="FA151" s="48"/>
      <c r="FB151" s="48"/>
      <c r="FC151" s="48"/>
      <c r="FD151" s="48"/>
      <c r="FE151" s="48"/>
      <c r="FF151" s="48"/>
      <c r="FG151" s="48"/>
      <c r="FH151" s="48"/>
      <c r="FI151" s="48"/>
      <c r="FJ151" s="48"/>
      <c r="FK151" s="48"/>
      <c r="FL151" s="48"/>
      <c r="FM151" s="48"/>
      <c r="FN151" s="48"/>
      <c r="FO151" s="48"/>
      <c r="FP151" s="48"/>
      <c r="FQ151" s="48"/>
      <c r="FR151" s="48"/>
      <c r="FS151" s="48"/>
      <c r="FT151" s="48"/>
      <c r="FU151" s="48"/>
      <c r="FV151" s="48"/>
      <c r="FW151" s="48"/>
      <c r="FX151" s="48"/>
      <c r="FY151" s="48"/>
      <c r="FZ151" s="48"/>
      <c r="GA151" s="48"/>
      <c r="GB151" s="48"/>
      <c r="GC151" s="48"/>
      <c r="GD151" s="48"/>
      <c r="GE151" s="48"/>
      <c r="GF151" s="48"/>
      <c r="GG151" s="48"/>
      <c r="GH151" s="48"/>
      <c r="GI151" s="48"/>
      <c r="GJ151" s="48"/>
      <c r="GK151" s="48"/>
      <c r="GL151" s="48"/>
      <c r="GM151" s="48"/>
      <c r="GN151" s="48"/>
      <c r="GO151" s="48"/>
      <c r="GP151" s="48"/>
      <c r="GQ151" s="48"/>
      <c r="GR151" s="48"/>
      <c r="GS151" s="48"/>
      <c r="GT151" s="48"/>
      <c r="GU151" s="48"/>
      <c r="GV151" s="48"/>
      <c r="GW151" s="48"/>
      <c r="GX151" s="48"/>
      <c r="GY151" s="48"/>
      <c r="GZ151" s="48"/>
      <c r="HA151" s="48"/>
      <c r="HB151" s="48"/>
    </row>
    <row r="152" spans="1:210" ht="15.75" customHeight="1">
      <c r="A152" s="5"/>
      <c r="B152" s="5"/>
      <c r="C152" s="5"/>
      <c r="D152" s="5"/>
      <c r="E152" s="5"/>
      <c r="F152" s="5"/>
      <c r="G152" s="49"/>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48"/>
      <c r="CQ152" s="48"/>
      <c r="CR152" s="48"/>
      <c r="CS152" s="48"/>
      <c r="CT152" s="48"/>
      <c r="CU152" s="48"/>
      <c r="CV152" s="48"/>
      <c r="CW152" s="48"/>
      <c r="CX152" s="48"/>
      <c r="CY152" s="48"/>
      <c r="CZ152" s="48"/>
      <c r="DA152" s="48"/>
      <c r="DB152" s="48"/>
      <c r="DC152" s="48"/>
      <c r="DD152" s="48"/>
      <c r="DE152" s="48"/>
      <c r="DF152" s="48"/>
      <c r="DG152" s="48"/>
      <c r="DH152" s="48"/>
      <c r="DI152" s="48"/>
      <c r="DJ152" s="48"/>
      <c r="DK152" s="48"/>
      <c r="DL152" s="48"/>
      <c r="DM152" s="48"/>
      <c r="DN152" s="48"/>
      <c r="DO152" s="48"/>
      <c r="DP152" s="48"/>
      <c r="DQ152" s="48"/>
      <c r="DR152" s="48"/>
      <c r="DS152" s="48"/>
      <c r="DT152" s="48"/>
      <c r="DU152" s="48"/>
      <c r="DV152" s="48"/>
      <c r="DW152" s="48"/>
      <c r="DX152" s="48"/>
      <c r="DY152" s="48"/>
      <c r="DZ152" s="48"/>
      <c r="EA152" s="48"/>
      <c r="EB152" s="48"/>
      <c r="EC152" s="48"/>
      <c r="ED152" s="48"/>
      <c r="EE152" s="48"/>
      <c r="EF152" s="48"/>
      <c r="EG152" s="48"/>
      <c r="EH152" s="48"/>
      <c r="EI152" s="48"/>
      <c r="EJ152" s="48"/>
      <c r="EK152" s="48"/>
      <c r="EL152" s="48"/>
      <c r="EM152" s="48"/>
      <c r="EN152" s="48"/>
      <c r="EO152" s="48"/>
      <c r="EP152" s="48"/>
      <c r="EQ152" s="48"/>
      <c r="ER152" s="48"/>
      <c r="ES152" s="48"/>
      <c r="ET152" s="48"/>
      <c r="EU152" s="48"/>
      <c r="EV152" s="48"/>
      <c r="EW152" s="48"/>
      <c r="EX152" s="48"/>
      <c r="EY152" s="48"/>
      <c r="EZ152" s="48"/>
      <c r="FA152" s="48"/>
      <c r="FB152" s="48"/>
      <c r="FC152" s="48"/>
      <c r="FD152" s="48"/>
      <c r="FE152" s="48"/>
      <c r="FF152" s="48"/>
      <c r="FG152" s="48"/>
      <c r="FH152" s="48"/>
      <c r="FI152" s="48"/>
      <c r="FJ152" s="48"/>
      <c r="FK152" s="48"/>
      <c r="FL152" s="48"/>
      <c r="FM152" s="48"/>
      <c r="FN152" s="48"/>
      <c r="FO152" s="48"/>
      <c r="FP152" s="48"/>
      <c r="FQ152" s="48"/>
      <c r="FR152" s="48"/>
      <c r="FS152" s="48"/>
      <c r="FT152" s="48"/>
      <c r="FU152" s="48"/>
      <c r="FV152" s="48"/>
      <c r="FW152" s="48"/>
      <c r="FX152" s="48"/>
      <c r="FY152" s="48"/>
      <c r="FZ152" s="48"/>
      <c r="GA152" s="48"/>
      <c r="GB152" s="48"/>
      <c r="GC152" s="48"/>
      <c r="GD152" s="48"/>
      <c r="GE152" s="48"/>
      <c r="GF152" s="48"/>
      <c r="GG152" s="48"/>
      <c r="GH152" s="48"/>
      <c r="GI152" s="48"/>
      <c r="GJ152" s="48"/>
      <c r="GK152" s="48"/>
      <c r="GL152" s="48"/>
      <c r="GM152" s="48"/>
      <c r="GN152" s="48"/>
      <c r="GO152" s="48"/>
      <c r="GP152" s="48"/>
      <c r="GQ152" s="48"/>
      <c r="GR152" s="48"/>
      <c r="GS152" s="48"/>
      <c r="GT152" s="48"/>
      <c r="GU152" s="48"/>
      <c r="GV152" s="48"/>
      <c r="GW152" s="48"/>
      <c r="GX152" s="48"/>
      <c r="GY152" s="48"/>
      <c r="GZ152" s="48"/>
      <c r="HA152" s="48"/>
      <c r="HB152" s="48"/>
    </row>
    <row r="153" spans="1:210" ht="15.75" customHeight="1">
      <c r="A153" s="5"/>
      <c r="B153" s="5"/>
      <c r="C153" s="5"/>
      <c r="D153" s="5"/>
      <c r="E153" s="5"/>
      <c r="F153" s="5"/>
      <c r="G153" s="49"/>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48"/>
      <c r="CQ153" s="48"/>
      <c r="CR153" s="48"/>
      <c r="CS153" s="48"/>
      <c r="CT153" s="48"/>
      <c r="CU153" s="48"/>
      <c r="CV153" s="48"/>
      <c r="CW153" s="48"/>
      <c r="CX153" s="48"/>
      <c r="CY153" s="48"/>
      <c r="CZ153" s="48"/>
      <c r="DA153" s="48"/>
      <c r="DB153" s="48"/>
      <c r="DC153" s="48"/>
      <c r="DD153" s="48"/>
      <c r="DE153" s="48"/>
      <c r="DF153" s="48"/>
      <c r="DG153" s="48"/>
      <c r="DH153" s="48"/>
      <c r="DI153" s="48"/>
      <c r="DJ153" s="48"/>
      <c r="DK153" s="48"/>
      <c r="DL153" s="48"/>
      <c r="DM153" s="48"/>
      <c r="DN153" s="48"/>
      <c r="DO153" s="48"/>
      <c r="DP153" s="48"/>
      <c r="DQ153" s="48"/>
      <c r="DR153" s="48"/>
      <c r="DS153" s="48"/>
      <c r="DT153" s="48"/>
      <c r="DU153" s="48"/>
      <c r="DV153" s="48"/>
      <c r="DW153" s="48"/>
      <c r="DX153" s="48"/>
      <c r="DY153" s="48"/>
      <c r="DZ153" s="48"/>
      <c r="EA153" s="48"/>
      <c r="EB153" s="48"/>
      <c r="EC153" s="48"/>
      <c r="ED153" s="48"/>
      <c r="EE153" s="48"/>
      <c r="EF153" s="48"/>
      <c r="EG153" s="48"/>
      <c r="EH153" s="48"/>
      <c r="EI153" s="48"/>
      <c r="EJ153" s="48"/>
      <c r="EK153" s="48"/>
      <c r="EL153" s="48"/>
      <c r="EM153" s="48"/>
      <c r="EN153" s="48"/>
      <c r="EO153" s="48"/>
      <c r="EP153" s="48"/>
      <c r="EQ153" s="48"/>
      <c r="ER153" s="48"/>
      <c r="ES153" s="48"/>
      <c r="ET153" s="48"/>
      <c r="EU153" s="48"/>
      <c r="EV153" s="48"/>
      <c r="EW153" s="48"/>
      <c r="EX153" s="48"/>
      <c r="EY153" s="48"/>
      <c r="EZ153" s="48"/>
      <c r="FA153" s="48"/>
      <c r="FB153" s="48"/>
      <c r="FC153" s="48"/>
      <c r="FD153" s="48"/>
      <c r="FE153" s="48"/>
      <c r="FF153" s="48"/>
      <c r="FG153" s="48"/>
      <c r="FH153" s="48"/>
      <c r="FI153" s="48"/>
      <c r="FJ153" s="48"/>
      <c r="FK153" s="48"/>
      <c r="FL153" s="48"/>
      <c r="FM153" s="48"/>
      <c r="FN153" s="48"/>
      <c r="FO153" s="48"/>
      <c r="FP153" s="48"/>
      <c r="FQ153" s="48"/>
      <c r="FR153" s="48"/>
      <c r="FS153" s="48"/>
      <c r="FT153" s="48"/>
      <c r="FU153" s="48"/>
      <c r="FV153" s="48"/>
      <c r="FW153" s="48"/>
      <c r="FX153" s="48"/>
      <c r="FY153" s="48"/>
      <c r="FZ153" s="48"/>
      <c r="GA153" s="48"/>
      <c r="GB153" s="48"/>
      <c r="GC153" s="48"/>
      <c r="GD153" s="48"/>
      <c r="GE153" s="48"/>
      <c r="GF153" s="48"/>
      <c r="GG153" s="48"/>
      <c r="GH153" s="48"/>
      <c r="GI153" s="48"/>
      <c r="GJ153" s="48"/>
      <c r="GK153" s="48"/>
      <c r="GL153" s="48"/>
      <c r="GM153" s="48"/>
      <c r="GN153" s="48"/>
      <c r="GO153" s="48"/>
      <c r="GP153" s="48"/>
      <c r="GQ153" s="48"/>
      <c r="GR153" s="48"/>
      <c r="GS153" s="48"/>
      <c r="GT153" s="48"/>
      <c r="GU153" s="48"/>
      <c r="GV153" s="48"/>
      <c r="GW153" s="48"/>
      <c r="GX153" s="48"/>
      <c r="GY153" s="48"/>
      <c r="GZ153" s="48"/>
      <c r="HA153" s="48"/>
      <c r="HB153" s="48"/>
    </row>
    <row r="154" spans="1:210" ht="15.75" customHeight="1">
      <c r="A154" s="5"/>
      <c r="B154" s="5"/>
      <c r="C154" s="5"/>
      <c r="D154" s="5"/>
      <c r="E154" s="5"/>
      <c r="F154" s="5"/>
      <c r="G154" s="49"/>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48"/>
      <c r="CQ154" s="48"/>
      <c r="CR154" s="48"/>
      <c r="CS154" s="48"/>
      <c r="CT154" s="48"/>
      <c r="CU154" s="48"/>
      <c r="CV154" s="48"/>
      <c r="CW154" s="48"/>
      <c r="CX154" s="48"/>
      <c r="CY154" s="48"/>
      <c r="CZ154" s="48"/>
      <c r="DA154" s="48"/>
      <c r="DB154" s="48"/>
      <c r="DC154" s="48"/>
      <c r="DD154" s="48"/>
      <c r="DE154" s="48"/>
      <c r="DF154" s="48"/>
      <c r="DG154" s="48"/>
      <c r="DH154" s="48"/>
      <c r="DI154" s="48"/>
      <c r="DJ154" s="48"/>
      <c r="DK154" s="48"/>
      <c r="DL154" s="48"/>
      <c r="DM154" s="48"/>
      <c r="DN154" s="48"/>
      <c r="DO154" s="48"/>
      <c r="DP154" s="48"/>
      <c r="DQ154" s="48"/>
      <c r="DR154" s="48"/>
      <c r="DS154" s="48"/>
      <c r="DT154" s="48"/>
      <c r="DU154" s="48"/>
      <c r="DV154" s="48"/>
      <c r="DW154" s="48"/>
      <c r="DX154" s="48"/>
      <c r="DY154" s="48"/>
      <c r="DZ154" s="48"/>
      <c r="EA154" s="48"/>
      <c r="EB154" s="48"/>
      <c r="EC154" s="48"/>
      <c r="ED154" s="48"/>
      <c r="EE154" s="48"/>
      <c r="EF154" s="48"/>
      <c r="EG154" s="48"/>
      <c r="EH154" s="48"/>
      <c r="EI154" s="48"/>
      <c r="EJ154" s="48"/>
      <c r="EK154" s="48"/>
      <c r="EL154" s="48"/>
      <c r="EM154" s="48"/>
      <c r="EN154" s="48"/>
      <c r="EO154" s="48"/>
      <c r="EP154" s="48"/>
      <c r="EQ154" s="48"/>
      <c r="ER154" s="48"/>
      <c r="ES154" s="48"/>
      <c r="ET154" s="48"/>
      <c r="EU154" s="48"/>
      <c r="EV154" s="48"/>
      <c r="EW154" s="48"/>
      <c r="EX154" s="48"/>
      <c r="EY154" s="48"/>
      <c r="EZ154" s="48"/>
      <c r="FA154" s="48"/>
      <c r="FB154" s="48"/>
      <c r="FC154" s="48"/>
      <c r="FD154" s="48"/>
      <c r="FE154" s="48"/>
      <c r="FF154" s="48"/>
      <c r="FG154" s="48"/>
      <c r="FH154" s="48"/>
      <c r="FI154" s="48"/>
      <c r="FJ154" s="48"/>
      <c r="FK154" s="48"/>
      <c r="FL154" s="48"/>
      <c r="FM154" s="48"/>
      <c r="FN154" s="48"/>
      <c r="FO154" s="48"/>
      <c r="FP154" s="48"/>
      <c r="FQ154" s="48"/>
      <c r="FR154" s="48"/>
      <c r="FS154" s="48"/>
      <c r="FT154" s="48"/>
      <c r="FU154" s="48"/>
      <c r="FV154" s="48"/>
      <c r="FW154" s="48"/>
      <c r="FX154" s="48"/>
      <c r="FY154" s="48"/>
      <c r="FZ154" s="48"/>
      <c r="GA154" s="48"/>
      <c r="GB154" s="48"/>
      <c r="GC154" s="48"/>
      <c r="GD154" s="48"/>
      <c r="GE154" s="48"/>
      <c r="GF154" s="48"/>
      <c r="GG154" s="48"/>
      <c r="GH154" s="48"/>
      <c r="GI154" s="48"/>
      <c r="GJ154" s="48"/>
      <c r="GK154" s="48"/>
      <c r="GL154" s="48"/>
      <c r="GM154" s="48"/>
      <c r="GN154" s="48"/>
      <c r="GO154" s="48"/>
      <c r="GP154" s="48"/>
      <c r="GQ154" s="48"/>
      <c r="GR154" s="48"/>
      <c r="GS154" s="48"/>
      <c r="GT154" s="48"/>
      <c r="GU154" s="48"/>
      <c r="GV154" s="48"/>
      <c r="GW154" s="48"/>
      <c r="GX154" s="48"/>
      <c r="GY154" s="48"/>
      <c r="GZ154" s="48"/>
      <c r="HA154" s="48"/>
      <c r="HB154" s="48"/>
    </row>
    <row r="155" spans="1:210" ht="15.75" customHeight="1">
      <c r="A155" s="5"/>
      <c r="B155" s="5"/>
      <c r="C155" s="5"/>
      <c r="D155" s="5"/>
      <c r="E155" s="5"/>
      <c r="F155" s="5"/>
      <c r="G155" s="49"/>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48"/>
      <c r="CQ155" s="48"/>
      <c r="CR155" s="48"/>
      <c r="CS155" s="48"/>
      <c r="CT155" s="48"/>
      <c r="CU155" s="48"/>
      <c r="CV155" s="48"/>
      <c r="CW155" s="48"/>
      <c r="CX155" s="48"/>
      <c r="CY155" s="48"/>
      <c r="CZ155" s="48"/>
      <c r="DA155" s="48"/>
      <c r="DB155" s="48"/>
      <c r="DC155" s="48"/>
      <c r="DD155" s="48"/>
      <c r="DE155" s="48"/>
      <c r="DF155" s="48"/>
      <c r="DG155" s="48"/>
      <c r="DH155" s="48"/>
      <c r="DI155" s="48"/>
      <c r="DJ155" s="48"/>
      <c r="DK155" s="48"/>
      <c r="DL155" s="48"/>
      <c r="DM155" s="48"/>
      <c r="DN155" s="48"/>
      <c r="DO155" s="48"/>
      <c r="DP155" s="48"/>
      <c r="DQ155" s="48"/>
      <c r="DR155" s="48"/>
      <c r="DS155" s="48"/>
      <c r="DT155" s="48"/>
      <c r="DU155" s="48"/>
      <c r="DV155" s="48"/>
      <c r="DW155" s="48"/>
      <c r="DX155" s="48"/>
      <c r="DY155" s="48"/>
      <c r="DZ155" s="48"/>
      <c r="EA155" s="48"/>
      <c r="EB155" s="48"/>
      <c r="EC155" s="48"/>
      <c r="ED155" s="48"/>
      <c r="EE155" s="48"/>
      <c r="EF155" s="48"/>
      <c r="EG155" s="48"/>
      <c r="EH155" s="48"/>
      <c r="EI155" s="48"/>
      <c r="EJ155" s="48"/>
      <c r="EK155" s="48"/>
      <c r="EL155" s="48"/>
      <c r="EM155" s="48"/>
      <c r="EN155" s="48"/>
      <c r="EO155" s="48"/>
      <c r="EP155" s="48"/>
      <c r="EQ155" s="48"/>
      <c r="ER155" s="48"/>
      <c r="ES155" s="48"/>
      <c r="ET155" s="48"/>
      <c r="EU155" s="48"/>
      <c r="EV155" s="48"/>
      <c r="EW155" s="48"/>
      <c r="EX155" s="48"/>
      <c r="EY155" s="48"/>
      <c r="EZ155" s="48"/>
      <c r="FA155" s="48"/>
      <c r="FB155" s="48"/>
      <c r="FC155" s="48"/>
      <c r="FD155" s="48"/>
      <c r="FE155" s="48"/>
      <c r="FF155" s="48"/>
      <c r="FG155" s="48"/>
      <c r="FH155" s="48"/>
      <c r="FI155" s="48"/>
      <c r="FJ155" s="48"/>
      <c r="FK155" s="48"/>
      <c r="FL155" s="48"/>
      <c r="FM155" s="48"/>
      <c r="FN155" s="48"/>
      <c r="FO155" s="48"/>
      <c r="FP155" s="48"/>
      <c r="FQ155" s="48"/>
      <c r="FR155" s="48"/>
      <c r="FS155" s="48"/>
      <c r="FT155" s="48"/>
      <c r="FU155" s="48"/>
      <c r="FV155" s="48"/>
      <c r="FW155" s="48"/>
      <c r="FX155" s="48"/>
      <c r="FY155" s="48"/>
      <c r="FZ155" s="48"/>
      <c r="GA155" s="48"/>
      <c r="GB155" s="48"/>
      <c r="GC155" s="48"/>
      <c r="GD155" s="48"/>
      <c r="GE155" s="48"/>
      <c r="GF155" s="48"/>
      <c r="GG155" s="48"/>
      <c r="GH155" s="48"/>
      <c r="GI155" s="48"/>
      <c r="GJ155" s="48"/>
      <c r="GK155" s="48"/>
      <c r="GL155" s="48"/>
      <c r="GM155" s="48"/>
      <c r="GN155" s="48"/>
      <c r="GO155" s="48"/>
      <c r="GP155" s="48"/>
      <c r="GQ155" s="48"/>
      <c r="GR155" s="48"/>
      <c r="GS155" s="48"/>
      <c r="GT155" s="48"/>
      <c r="GU155" s="48"/>
      <c r="GV155" s="48"/>
      <c r="GW155" s="48"/>
      <c r="GX155" s="48"/>
      <c r="GY155" s="48"/>
      <c r="GZ155" s="48"/>
      <c r="HA155" s="48"/>
      <c r="HB155" s="48"/>
    </row>
    <row r="156" spans="1:210" ht="15.75" customHeight="1">
      <c r="A156" s="5"/>
      <c r="B156" s="5"/>
      <c r="C156" s="5"/>
      <c r="D156" s="5"/>
      <c r="E156" s="5"/>
      <c r="F156" s="5"/>
      <c r="G156" s="49"/>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48"/>
      <c r="CQ156" s="48"/>
      <c r="CR156" s="48"/>
      <c r="CS156" s="48"/>
      <c r="CT156" s="48"/>
      <c r="CU156" s="48"/>
      <c r="CV156" s="48"/>
      <c r="CW156" s="48"/>
      <c r="CX156" s="48"/>
      <c r="CY156" s="48"/>
      <c r="CZ156" s="48"/>
      <c r="DA156" s="48"/>
      <c r="DB156" s="48"/>
      <c r="DC156" s="48"/>
      <c r="DD156" s="48"/>
      <c r="DE156" s="48"/>
      <c r="DF156" s="48"/>
      <c r="DG156" s="48"/>
      <c r="DH156" s="48"/>
      <c r="DI156" s="48"/>
      <c r="DJ156" s="48"/>
      <c r="DK156" s="48"/>
      <c r="DL156" s="48"/>
      <c r="DM156" s="48"/>
      <c r="DN156" s="48"/>
      <c r="DO156" s="48"/>
      <c r="DP156" s="48"/>
      <c r="DQ156" s="48"/>
      <c r="DR156" s="48"/>
      <c r="DS156" s="48"/>
      <c r="DT156" s="48"/>
      <c r="DU156" s="48"/>
      <c r="DV156" s="48"/>
      <c r="DW156" s="48"/>
      <c r="DX156" s="48"/>
      <c r="DY156" s="48"/>
      <c r="DZ156" s="48"/>
      <c r="EA156" s="48"/>
      <c r="EB156" s="48"/>
      <c r="EC156" s="48"/>
      <c r="ED156" s="48"/>
      <c r="EE156" s="48"/>
      <c r="EF156" s="48"/>
      <c r="EG156" s="48"/>
      <c r="EH156" s="48"/>
      <c r="EI156" s="48"/>
      <c r="EJ156" s="48"/>
      <c r="EK156" s="48"/>
      <c r="EL156" s="48"/>
      <c r="EM156" s="48"/>
      <c r="EN156" s="48"/>
      <c r="EO156" s="48"/>
      <c r="EP156" s="48"/>
      <c r="EQ156" s="48"/>
      <c r="ER156" s="48"/>
      <c r="ES156" s="48"/>
      <c r="ET156" s="48"/>
      <c r="EU156" s="48"/>
      <c r="EV156" s="48"/>
      <c r="EW156" s="48"/>
      <c r="EX156" s="48"/>
      <c r="EY156" s="48"/>
      <c r="EZ156" s="48"/>
      <c r="FA156" s="48"/>
      <c r="FB156" s="48"/>
      <c r="FC156" s="48"/>
      <c r="FD156" s="48"/>
      <c r="FE156" s="48"/>
      <c r="FF156" s="48"/>
      <c r="FG156" s="48"/>
      <c r="FH156" s="48"/>
      <c r="FI156" s="48"/>
      <c r="FJ156" s="48"/>
      <c r="FK156" s="48"/>
      <c r="FL156" s="48"/>
      <c r="FM156" s="48"/>
      <c r="FN156" s="48"/>
      <c r="FO156" s="48"/>
      <c r="FP156" s="48"/>
      <c r="FQ156" s="48"/>
      <c r="FR156" s="48"/>
      <c r="FS156" s="48"/>
      <c r="FT156" s="48"/>
      <c r="FU156" s="48"/>
      <c r="FV156" s="48"/>
      <c r="FW156" s="48"/>
      <c r="FX156" s="48"/>
      <c r="FY156" s="48"/>
      <c r="FZ156" s="48"/>
      <c r="GA156" s="48"/>
      <c r="GB156" s="48"/>
      <c r="GC156" s="48"/>
      <c r="GD156" s="48"/>
      <c r="GE156" s="48"/>
      <c r="GF156" s="48"/>
      <c r="GG156" s="48"/>
      <c r="GH156" s="48"/>
      <c r="GI156" s="48"/>
      <c r="GJ156" s="48"/>
      <c r="GK156" s="48"/>
      <c r="GL156" s="48"/>
      <c r="GM156" s="48"/>
      <c r="GN156" s="48"/>
      <c r="GO156" s="48"/>
      <c r="GP156" s="48"/>
      <c r="GQ156" s="48"/>
      <c r="GR156" s="48"/>
      <c r="GS156" s="48"/>
      <c r="GT156" s="48"/>
      <c r="GU156" s="48"/>
      <c r="GV156" s="48"/>
      <c r="GW156" s="48"/>
      <c r="GX156" s="48"/>
      <c r="GY156" s="48"/>
      <c r="GZ156" s="48"/>
      <c r="HA156" s="48"/>
      <c r="HB156" s="48"/>
    </row>
    <row r="157" spans="1:210" ht="15.75" customHeight="1">
      <c r="A157" s="5"/>
      <c r="B157" s="5"/>
      <c r="C157" s="5"/>
      <c r="D157" s="5"/>
      <c r="E157" s="5"/>
      <c r="F157" s="5"/>
      <c r="G157" s="49"/>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48"/>
      <c r="CQ157" s="48"/>
      <c r="CR157" s="48"/>
      <c r="CS157" s="48"/>
      <c r="CT157" s="48"/>
      <c r="CU157" s="48"/>
      <c r="CV157" s="48"/>
      <c r="CW157" s="48"/>
      <c r="CX157" s="48"/>
      <c r="CY157" s="48"/>
      <c r="CZ157" s="48"/>
      <c r="DA157" s="48"/>
      <c r="DB157" s="48"/>
      <c r="DC157" s="48"/>
      <c r="DD157" s="48"/>
      <c r="DE157" s="48"/>
      <c r="DF157" s="48"/>
      <c r="DG157" s="48"/>
      <c r="DH157" s="48"/>
      <c r="DI157" s="48"/>
      <c r="DJ157" s="48"/>
      <c r="DK157" s="48"/>
      <c r="DL157" s="48"/>
      <c r="DM157" s="48"/>
      <c r="DN157" s="48"/>
      <c r="DO157" s="48"/>
      <c r="DP157" s="48"/>
      <c r="DQ157" s="48"/>
      <c r="DR157" s="48"/>
      <c r="DS157" s="48"/>
      <c r="DT157" s="48"/>
      <c r="DU157" s="48"/>
      <c r="DV157" s="48"/>
      <c r="DW157" s="48"/>
      <c r="DX157" s="48"/>
      <c r="DY157" s="48"/>
      <c r="DZ157" s="48"/>
      <c r="EA157" s="48"/>
      <c r="EB157" s="48"/>
      <c r="EC157" s="48"/>
      <c r="ED157" s="48"/>
      <c r="EE157" s="48"/>
      <c r="EF157" s="48"/>
      <c r="EG157" s="48"/>
      <c r="EH157" s="48"/>
      <c r="EI157" s="48"/>
      <c r="EJ157" s="48"/>
      <c r="EK157" s="48"/>
      <c r="EL157" s="48"/>
      <c r="EM157" s="48"/>
      <c r="EN157" s="48"/>
      <c r="EO157" s="48"/>
      <c r="EP157" s="48"/>
      <c r="EQ157" s="48"/>
      <c r="ER157" s="48"/>
      <c r="ES157" s="48"/>
      <c r="ET157" s="48"/>
      <c r="EU157" s="48"/>
      <c r="EV157" s="48"/>
      <c r="EW157" s="48"/>
      <c r="EX157" s="48"/>
      <c r="EY157" s="48"/>
      <c r="EZ157" s="48"/>
      <c r="FA157" s="48"/>
      <c r="FB157" s="48"/>
      <c r="FC157" s="48"/>
      <c r="FD157" s="48"/>
      <c r="FE157" s="48"/>
      <c r="FF157" s="48"/>
      <c r="FG157" s="48"/>
      <c r="FH157" s="48"/>
      <c r="FI157" s="48"/>
      <c r="FJ157" s="48"/>
      <c r="FK157" s="48"/>
      <c r="FL157" s="48"/>
      <c r="FM157" s="48"/>
      <c r="FN157" s="48"/>
      <c r="FO157" s="48"/>
      <c r="FP157" s="48"/>
      <c r="FQ157" s="48"/>
      <c r="FR157" s="48"/>
      <c r="FS157" s="48"/>
      <c r="FT157" s="48"/>
      <c r="FU157" s="48"/>
      <c r="FV157" s="48"/>
      <c r="FW157" s="48"/>
      <c r="FX157" s="48"/>
      <c r="FY157" s="48"/>
      <c r="FZ157" s="48"/>
      <c r="GA157" s="48"/>
      <c r="GB157" s="48"/>
      <c r="GC157" s="48"/>
      <c r="GD157" s="48"/>
      <c r="GE157" s="48"/>
      <c r="GF157" s="48"/>
      <c r="GG157" s="48"/>
      <c r="GH157" s="48"/>
      <c r="GI157" s="48"/>
      <c r="GJ157" s="48"/>
      <c r="GK157" s="48"/>
      <c r="GL157" s="48"/>
      <c r="GM157" s="48"/>
      <c r="GN157" s="48"/>
      <c r="GO157" s="48"/>
      <c r="GP157" s="48"/>
      <c r="GQ157" s="48"/>
      <c r="GR157" s="48"/>
      <c r="GS157" s="48"/>
      <c r="GT157" s="48"/>
      <c r="GU157" s="48"/>
      <c r="GV157" s="48"/>
      <c r="GW157" s="48"/>
      <c r="GX157" s="48"/>
      <c r="GY157" s="48"/>
      <c r="GZ157" s="48"/>
      <c r="HA157" s="48"/>
      <c r="HB157" s="48"/>
    </row>
    <row r="158" spans="1:210" ht="15.75" customHeight="1">
      <c r="A158" s="5"/>
      <c r="B158" s="5"/>
      <c r="C158" s="5"/>
      <c r="D158" s="5"/>
      <c r="E158" s="5"/>
      <c r="F158" s="5"/>
      <c r="G158" s="49"/>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48"/>
      <c r="CQ158" s="48"/>
      <c r="CR158" s="48"/>
      <c r="CS158" s="48"/>
      <c r="CT158" s="48"/>
      <c r="CU158" s="48"/>
      <c r="CV158" s="48"/>
      <c r="CW158" s="48"/>
      <c r="CX158" s="48"/>
      <c r="CY158" s="48"/>
      <c r="CZ158" s="48"/>
      <c r="DA158" s="48"/>
      <c r="DB158" s="48"/>
      <c r="DC158" s="48"/>
      <c r="DD158" s="48"/>
      <c r="DE158" s="48"/>
      <c r="DF158" s="48"/>
      <c r="DG158" s="48"/>
      <c r="DH158" s="48"/>
      <c r="DI158" s="48"/>
      <c r="DJ158" s="48"/>
      <c r="DK158" s="48"/>
      <c r="DL158" s="48"/>
      <c r="DM158" s="48"/>
      <c r="DN158" s="48"/>
      <c r="DO158" s="48"/>
      <c r="DP158" s="48"/>
      <c r="DQ158" s="48"/>
      <c r="DR158" s="48"/>
      <c r="DS158" s="48"/>
      <c r="DT158" s="48"/>
      <c r="DU158" s="48"/>
      <c r="DV158" s="48"/>
      <c r="DW158" s="48"/>
      <c r="DX158" s="48"/>
      <c r="DY158" s="48"/>
      <c r="DZ158" s="48"/>
      <c r="EA158" s="48"/>
      <c r="EB158" s="48"/>
      <c r="EC158" s="48"/>
      <c r="ED158" s="48"/>
      <c r="EE158" s="48"/>
      <c r="EF158" s="48"/>
      <c r="EG158" s="48"/>
      <c r="EH158" s="48"/>
      <c r="EI158" s="48"/>
      <c r="EJ158" s="48"/>
      <c r="EK158" s="48"/>
      <c r="EL158" s="48"/>
      <c r="EM158" s="48"/>
      <c r="EN158" s="48"/>
      <c r="EO158" s="48"/>
      <c r="EP158" s="48"/>
      <c r="EQ158" s="48"/>
      <c r="ER158" s="48"/>
      <c r="ES158" s="48"/>
      <c r="ET158" s="48"/>
      <c r="EU158" s="48"/>
      <c r="EV158" s="48"/>
      <c r="EW158" s="48"/>
      <c r="EX158" s="48"/>
      <c r="EY158" s="48"/>
      <c r="EZ158" s="48"/>
      <c r="FA158" s="48"/>
      <c r="FB158" s="48"/>
      <c r="FC158" s="48"/>
      <c r="FD158" s="48"/>
      <c r="FE158" s="48"/>
      <c r="FF158" s="48"/>
      <c r="FG158" s="48"/>
      <c r="FH158" s="48"/>
      <c r="FI158" s="48"/>
      <c r="FJ158" s="48"/>
      <c r="FK158" s="48"/>
      <c r="FL158" s="48"/>
      <c r="FM158" s="48"/>
      <c r="FN158" s="48"/>
      <c r="FO158" s="48"/>
      <c r="FP158" s="48"/>
      <c r="FQ158" s="48"/>
      <c r="FR158" s="48"/>
      <c r="FS158" s="48"/>
      <c r="FT158" s="48"/>
      <c r="FU158" s="48"/>
      <c r="FV158" s="48"/>
      <c r="FW158" s="48"/>
      <c r="FX158" s="48"/>
      <c r="FY158" s="48"/>
      <c r="FZ158" s="48"/>
      <c r="GA158" s="48"/>
      <c r="GB158" s="48"/>
      <c r="GC158" s="48"/>
      <c r="GD158" s="48"/>
      <c r="GE158" s="48"/>
      <c r="GF158" s="48"/>
      <c r="GG158" s="48"/>
      <c r="GH158" s="48"/>
      <c r="GI158" s="48"/>
      <c r="GJ158" s="48"/>
      <c r="GK158" s="48"/>
      <c r="GL158" s="48"/>
      <c r="GM158" s="48"/>
      <c r="GN158" s="48"/>
      <c r="GO158" s="48"/>
      <c r="GP158" s="48"/>
      <c r="GQ158" s="48"/>
      <c r="GR158" s="48"/>
      <c r="GS158" s="48"/>
      <c r="GT158" s="48"/>
      <c r="GU158" s="48"/>
      <c r="GV158" s="48"/>
      <c r="GW158" s="48"/>
      <c r="GX158" s="48"/>
      <c r="GY158" s="48"/>
      <c r="GZ158" s="48"/>
      <c r="HA158" s="48"/>
      <c r="HB158" s="48"/>
    </row>
    <row r="159" spans="1:210" ht="15.75" customHeight="1">
      <c r="A159" s="5"/>
      <c r="B159" s="5"/>
      <c r="C159" s="5"/>
      <c r="D159" s="5"/>
      <c r="E159" s="5"/>
      <c r="F159" s="5"/>
      <c r="G159" s="49"/>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48"/>
      <c r="CQ159" s="48"/>
      <c r="CR159" s="48"/>
      <c r="CS159" s="48"/>
      <c r="CT159" s="48"/>
      <c r="CU159" s="48"/>
      <c r="CV159" s="48"/>
      <c r="CW159" s="48"/>
      <c r="CX159" s="48"/>
      <c r="CY159" s="48"/>
      <c r="CZ159" s="48"/>
      <c r="DA159" s="48"/>
      <c r="DB159" s="48"/>
      <c r="DC159" s="48"/>
      <c r="DD159" s="48"/>
      <c r="DE159" s="48"/>
      <c r="DF159" s="48"/>
      <c r="DG159" s="48"/>
      <c r="DH159" s="48"/>
      <c r="DI159" s="48"/>
      <c r="DJ159" s="48"/>
      <c r="DK159" s="48"/>
      <c r="DL159" s="48"/>
      <c r="DM159" s="48"/>
      <c r="DN159" s="48"/>
      <c r="DO159" s="48"/>
      <c r="DP159" s="48"/>
      <c r="DQ159" s="48"/>
      <c r="DR159" s="48"/>
      <c r="DS159" s="48"/>
      <c r="DT159" s="48"/>
      <c r="DU159" s="48"/>
      <c r="DV159" s="48"/>
      <c r="DW159" s="48"/>
      <c r="DX159" s="48"/>
      <c r="DY159" s="48"/>
      <c r="DZ159" s="48"/>
      <c r="EA159" s="48"/>
      <c r="EB159" s="48"/>
      <c r="EC159" s="48"/>
      <c r="ED159" s="48"/>
      <c r="EE159" s="48"/>
      <c r="EF159" s="48"/>
      <c r="EG159" s="48"/>
      <c r="EH159" s="48"/>
      <c r="EI159" s="48"/>
      <c r="EJ159" s="48"/>
      <c r="EK159" s="48"/>
      <c r="EL159" s="48"/>
      <c r="EM159" s="48"/>
      <c r="EN159" s="48"/>
      <c r="EO159" s="48"/>
      <c r="EP159" s="48"/>
      <c r="EQ159" s="48"/>
      <c r="ER159" s="48"/>
      <c r="ES159" s="48"/>
      <c r="ET159" s="48"/>
      <c r="EU159" s="48"/>
      <c r="EV159" s="48"/>
      <c r="EW159" s="48"/>
      <c r="EX159" s="48"/>
      <c r="EY159" s="48"/>
      <c r="EZ159" s="48"/>
      <c r="FA159" s="48"/>
      <c r="FB159" s="48"/>
      <c r="FC159" s="48"/>
      <c r="FD159" s="48"/>
      <c r="FE159" s="48"/>
      <c r="FF159" s="48"/>
      <c r="FG159" s="48"/>
      <c r="FH159" s="48"/>
      <c r="FI159" s="48"/>
      <c r="FJ159" s="48"/>
      <c r="FK159" s="48"/>
      <c r="FL159" s="48"/>
      <c r="FM159" s="48"/>
      <c r="FN159" s="48"/>
      <c r="FO159" s="48"/>
      <c r="FP159" s="48"/>
      <c r="FQ159" s="48"/>
      <c r="FR159" s="48"/>
      <c r="FS159" s="48"/>
      <c r="FT159" s="48"/>
      <c r="FU159" s="48"/>
      <c r="FV159" s="48"/>
      <c r="FW159" s="48"/>
      <c r="FX159" s="48"/>
      <c r="FY159" s="48"/>
      <c r="FZ159" s="48"/>
      <c r="GA159" s="48"/>
      <c r="GB159" s="48"/>
      <c r="GC159" s="48"/>
      <c r="GD159" s="48"/>
      <c r="GE159" s="48"/>
      <c r="GF159" s="48"/>
      <c r="GG159" s="48"/>
      <c r="GH159" s="48"/>
      <c r="GI159" s="48"/>
      <c r="GJ159" s="48"/>
      <c r="GK159" s="48"/>
      <c r="GL159" s="48"/>
      <c r="GM159" s="48"/>
      <c r="GN159" s="48"/>
      <c r="GO159" s="48"/>
      <c r="GP159" s="48"/>
      <c r="GQ159" s="48"/>
      <c r="GR159" s="48"/>
      <c r="GS159" s="48"/>
      <c r="GT159" s="48"/>
      <c r="GU159" s="48"/>
      <c r="GV159" s="48"/>
      <c r="GW159" s="48"/>
      <c r="GX159" s="48"/>
      <c r="GY159" s="48"/>
      <c r="GZ159" s="48"/>
      <c r="HA159" s="48"/>
      <c r="HB159" s="48"/>
    </row>
    <row r="160" spans="1:210" ht="15.75" customHeight="1">
      <c r="A160" s="5"/>
      <c r="B160" s="5"/>
      <c r="C160" s="5"/>
      <c r="D160" s="5"/>
      <c r="E160" s="5"/>
      <c r="F160" s="5"/>
      <c r="G160" s="49"/>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48"/>
      <c r="CQ160" s="48"/>
      <c r="CR160" s="48"/>
      <c r="CS160" s="48"/>
      <c r="CT160" s="48"/>
      <c r="CU160" s="48"/>
      <c r="CV160" s="48"/>
      <c r="CW160" s="48"/>
      <c r="CX160" s="48"/>
      <c r="CY160" s="48"/>
      <c r="CZ160" s="48"/>
      <c r="DA160" s="48"/>
      <c r="DB160" s="48"/>
      <c r="DC160" s="48"/>
      <c r="DD160" s="48"/>
      <c r="DE160" s="48"/>
      <c r="DF160" s="48"/>
      <c r="DG160" s="48"/>
      <c r="DH160" s="48"/>
      <c r="DI160" s="48"/>
      <c r="DJ160" s="48"/>
      <c r="DK160" s="48"/>
      <c r="DL160" s="48"/>
      <c r="DM160" s="48"/>
      <c r="DN160" s="48"/>
      <c r="DO160" s="48"/>
      <c r="DP160" s="48"/>
      <c r="DQ160" s="48"/>
      <c r="DR160" s="48"/>
      <c r="DS160" s="48"/>
      <c r="DT160" s="48"/>
      <c r="DU160" s="48"/>
      <c r="DV160" s="48"/>
      <c r="DW160" s="48"/>
      <c r="DX160" s="48"/>
      <c r="DY160" s="48"/>
      <c r="DZ160" s="48"/>
      <c r="EA160" s="48"/>
      <c r="EB160" s="48"/>
      <c r="EC160" s="48"/>
      <c r="ED160" s="48"/>
      <c r="EE160" s="48"/>
      <c r="EF160" s="48"/>
      <c r="EG160" s="48"/>
      <c r="EH160" s="48"/>
      <c r="EI160" s="48"/>
      <c r="EJ160" s="48"/>
      <c r="EK160" s="48"/>
      <c r="EL160" s="48"/>
      <c r="EM160" s="48"/>
      <c r="EN160" s="48"/>
      <c r="EO160" s="48"/>
      <c r="EP160" s="48"/>
      <c r="EQ160" s="48"/>
      <c r="ER160" s="48"/>
      <c r="ES160" s="48"/>
      <c r="ET160" s="48"/>
      <c r="EU160" s="48"/>
      <c r="EV160" s="48"/>
      <c r="EW160" s="48"/>
      <c r="EX160" s="48"/>
      <c r="EY160" s="48"/>
      <c r="EZ160" s="48"/>
      <c r="FA160" s="48"/>
      <c r="FB160" s="48"/>
      <c r="FC160" s="48"/>
      <c r="FD160" s="48"/>
      <c r="FE160" s="48"/>
      <c r="FF160" s="48"/>
      <c r="FG160" s="48"/>
      <c r="FH160" s="48"/>
      <c r="FI160" s="48"/>
      <c r="FJ160" s="48"/>
      <c r="FK160" s="48"/>
      <c r="FL160" s="48"/>
      <c r="FM160" s="48"/>
      <c r="FN160" s="48"/>
      <c r="FO160" s="48"/>
      <c r="FP160" s="48"/>
      <c r="FQ160" s="48"/>
      <c r="FR160" s="48"/>
      <c r="FS160" s="48"/>
      <c r="FT160" s="48"/>
      <c r="FU160" s="48"/>
      <c r="FV160" s="48"/>
      <c r="FW160" s="48"/>
      <c r="FX160" s="48"/>
      <c r="FY160" s="48"/>
      <c r="FZ160" s="48"/>
      <c r="GA160" s="48"/>
      <c r="GB160" s="48"/>
      <c r="GC160" s="48"/>
      <c r="GD160" s="48"/>
      <c r="GE160" s="48"/>
      <c r="GF160" s="48"/>
      <c r="GG160" s="48"/>
      <c r="GH160" s="48"/>
      <c r="GI160" s="48"/>
      <c r="GJ160" s="48"/>
      <c r="GK160" s="48"/>
      <c r="GL160" s="48"/>
      <c r="GM160" s="48"/>
      <c r="GN160" s="48"/>
      <c r="GO160" s="48"/>
      <c r="GP160" s="48"/>
      <c r="GQ160" s="48"/>
      <c r="GR160" s="48"/>
      <c r="GS160" s="48"/>
      <c r="GT160" s="48"/>
      <c r="GU160" s="48"/>
      <c r="GV160" s="48"/>
      <c r="GW160" s="48"/>
      <c r="GX160" s="48"/>
      <c r="GY160" s="48"/>
      <c r="GZ160" s="48"/>
      <c r="HA160" s="48"/>
      <c r="HB160" s="48"/>
    </row>
    <row r="161" spans="1:210" ht="15.75" customHeight="1">
      <c r="A161" s="5"/>
      <c r="B161" s="5"/>
      <c r="C161" s="5"/>
      <c r="D161" s="5"/>
      <c r="E161" s="5"/>
      <c r="F161" s="5"/>
      <c r="G161" s="49"/>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48"/>
      <c r="CQ161" s="48"/>
      <c r="CR161" s="48"/>
      <c r="CS161" s="48"/>
      <c r="CT161" s="48"/>
      <c r="CU161" s="48"/>
      <c r="CV161" s="48"/>
      <c r="CW161" s="48"/>
      <c r="CX161" s="48"/>
      <c r="CY161" s="48"/>
      <c r="CZ161" s="48"/>
      <c r="DA161" s="48"/>
      <c r="DB161" s="48"/>
      <c r="DC161" s="48"/>
      <c r="DD161" s="48"/>
      <c r="DE161" s="48"/>
      <c r="DF161" s="48"/>
      <c r="DG161" s="48"/>
      <c r="DH161" s="48"/>
      <c r="DI161" s="48"/>
      <c r="DJ161" s="48"/>
      <c r="DK161" s="48"/>
      <c r="DL161" s="48"/>
      <c r="DM161" s="48"/>
      <c r="DN161" s="48"/>
      <c r="DO161" s="48"/>
      <c r="DP161" s="48"/>
      <c r="DQ161" s="48"/>
      <c r="DR161" s="48"/>
      <c r="DS161" s="48"/>
      <c r="DT161" s="48"/>
      <c r="DU161" s="48"/>
      <c r="DV161" s="48"/>
      <c r="DW161" s="48"/>
      <c r="DX161" s="48"/>
      <c r="DY161" s="48"/>
      <c r="DZ161" s="48"/>
      <c r="EA161" s="48"/>
      <c r="EB161" s="48"/>
      <c r="EC161" s="48"/>
      <c r="ED161" s="48"/>
      <c r="EE161" s="48"/>
      <c r="EF161" s="48"/>
      <c r="EG161" s="48"/>
      <c r="EH161" s="48"/>
      <c r="EI161" s="48"/>
      <c r="EJ161" s="48"/>
      <c r="EK161" s="48"/>
      <c r="EL161" s="48"/>
      <c r="EM161" s="48"/>
      <c r="EN161" s="48"/>
      <c r="EO161" s="48"/>
      <c r="EP161" s="48"/>
      <c r="EQ161" s="48"/>
      <c r="ER161" s="48"/>
      <c r="ES161" s="48"/>
      <c r="ET161" s="48"/>
      <c r="EU161" s="48"/>
      <c r="EV161" s="48"/>
      <c r="EW161" s="48"/>
      <c r="EX161" s="48"/>
      <c r="EY161" s="48"/>
      <c r="EZ161" s="48"/>
      <c r="FA161" s="48"/>
      <c r="FB161" s="48"/>
      <c r="FC161" s="48"/>
      <c r="FD161" s="48"/>
      <c r="FE161" s="48"/>
      <c r="FF161" s="48"/>
      <c r="FG161" s="48"/>
      <c r="FH161" s="48"/>
      <c r="FI161" s="48"/>
      <c r="FJ161" s="48"/>
      <c r="FK161" s="48"/>
      <c r="FL161" s="48"/>
      <c r="FM161" s="48"/>
      <c r="FN161" s="48"/>
      <c r="FO161" s="48"/>
      <c r="FP161" s="48"/>
      <c r="FQ161" s="48"/>
      <c r="FR161" s="48"/>
      <c r="FS161" s="48"/>
      <c r="FT161" s="48"/>
      <c r="FU161" s="48"/>
      <c r="FV161" s="48"/>
      <c r="FW161" s="48"/>
      <c r="FX161" s="48"/>
      <c r="FY161" s="48"/>
      <c r="FZ161" s="48"/>
      <c r="GA161" s="48"/>
      <c r="GB161" s="48"/>
      <c r="GC161" s="48"/>
      <c r="GD161" s="48"/>
      <c r="GE161" s="48"/>
      <c r="GF161" s="48"/>
      <c r="GG161" s="48"/>
      <c r="GH161" s="48"/>
      <c r="GI161" s="48"/>
      <c r="GJ161" s="48"/>
      <c r="GK161" s="48"/>
      <c r="GL161" s="48"/>
      <c r="GM161" s="48"/>
      <c r="GN161" s="48"/>
      <c r="GO161" s="48"/>
      <c r="GP161" s="48"/>
      <c r="GQ161" s="48"/>
      <c r="GR161" s="48"/>
      <c r="GS161" s="48"/>
      <c r="GT161" s="48"/>
      <c r="GU161" s="48"/>
      <c r="GV161" s="48"/>
      <c r="GW161" s="48"/>
      <c r="GX161" s="48"/>
      <c r="GY161" s="48"/>
      <c r="GZ161" s="48"/>
      <c r="HA161" s="48"/>
      <c r="HB161" s="48"/>
    </row>
    <row r="162" spans="1:210" ht="15.75" customHeight="1">
      <c r="A162" s="5"/>
      <c r="B162" s="5"/>
      <c r="C162" s="5"/>
      <c r="D162" s="5"/>
      <c r="E162" s="5"/>
      <c r="F162" s="5"/>
      <c r="G162" s="49"/>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48"/>
      <c r="CQ162" s="48"/>
      <c r="CR162" s="48"/>
      <c r="CS162" s="48"/>
      <c r="CT162" s="48"/>
      <c r="CU162" s="48"/>
      <c r="CV162" s="48"/>
      <c r="CW162" s="48"/>
      <c r="CX162" s="48"/>
      <c r="CY162" s="48"/>
      <c r="CZ162" s="48"/>
      <c r="DA162" s="48"/>
      <c r="DB162" s="48"/>
      <c r="DC162" s="48"/>
      <c r="DD162" s="48"/>
      <c r="DE162" s="48"/>
      <c r="DF162" s="48"/>
      <c r="DG162" s="48"/>
      <c r="DH162" s="48"/>
      <c r="DI162" s="48"/>
      <c r="DJ162" s="48"/>
      <c r="DK162" s="48"/>
      <c r="DL162" s="48"/>
      <c r="DM162" s="48"/>
      <c r="DN162" s="48"/>
      <c r="DO162" s="48"/>
      <c r="DP162" s="48"/>
      <c r="DQ162" s="48"/>
      <c r="DR162" s="48"/>
      <c r="DS162" s="48"/>
      <c r="DT162" s="48"/>
      <c r="DU162" s="48"/>
      <c r="DV162" s="48"/>
      <c r="DW162" s="48"/>
      <c r="DX162" s="48"/>
      <c r="DY162" s="48"/>
      <c r="DZ162" s="48"/>
      <c r="EA162" s="48"/>
      <c r="EB162" s="48"/>
      <c r="EC162" s="48"/>
      <c r="ED162" s="48"/>
      <c r="EE162" s="48"/>
      <c r="EF162" s="48"/>
      <c r="EG162" s="48"/>
      <c r="EH162" s="48"/>
      <c r="EI162" s="48"/>
      <c r="EJ162" s="48"/>
      <c r="EK162" s="48"/>
      <c r="EL162" s="48"/>
      <c r="EM162" s="48"/>
      <c r="EN162" s="48"/>
      <c r="EO162" s="48"/>
      <c r="EP162" s="48"/>
      <c r="EQ162" s="48"/>
      <c r="ER162" s="48"/>
      <c r="ES162" s="48"/>
      <c r="ET162" s="48"/>
      <c r="EU162" s="48"/>
      <c r="EV162" s="48"/>
      <c r="EW162" s="48"/>
      <c r="EX162" s="48"/>
      <c r="EY162" s="48"/>
      <c r="EZ162" s="48"/>
      <c r="FA162" s="48"/>
      <c r="FB162" s="48"/>
      <c r="FC162" s="48"/>
      <c r="FD162" s="48"/>
      <c r="FE162" s="48"/>
      <c r="FF162" s="48"/>
      <c r="FG162" s="48"/>
      <c r="FH162" s="48"/>
      <c r="FI162" s="48"/>
      <c r="FJ162" s="48"/>
      <c r="FK162" s="48"/>
      <c r="FL162" s="48"/>
      <c r="FM162" s="48"/>
      <c r="FN162" s="48"/>
      <c r="FO162" s="48"/>
      <c r="FP162" s="48"/>
      <c r="FQ162" s="48"/>
      <c r="FR162" s="48"/>
      <c r="FS162" s="48"/>
      <c r="FT162" s="48"/>
      <c r="FU162" s="48"/>
      <c r="FV162" s="48"/>
      <c r="FW162" s="48"/>
      <c r="FX162" s="48"/>
      <c r="FY162" s="48"/>
      <c r="FZ162" s="48"/>
      <c r="GA162" s="48"/>
      <c r="GB162" s="48"/>
      <c r="GC162" s="48"/>
      <c r="GD162" s="48"/>
      <c r="GE162" s="48"/>
      <c r="GF162" s="48"/>
      <c r="GG162" s="48"/>
      <c r="GH162" s="48"/>
      <c r="GI162" s="48"/>
      <c r="GJ162" s="48"/>
      <c r="GK162" s="48"/>
      <c r="GL162" s="48"/>
      <c r="GM162" s="48"/>
      <c r="GN162" s="48"/>
      <c r="GO162" s="48"/>
      <c r="GP162" s="48"/>
      <c r="GQ162" s="48"/>
      <c r="GR162" s="48"/>
      <c r="GS162" s="48"/>
      <c r="GT162" s="48"/>
      <c r="GU162" s="48"/>
      <c r="GV162" s="48"/>
      <c r="GW162" s="48"/>
      <c r="GX162" s="48"/>
      <c r="GY162" s="48"/>
      <c r="GZ162" s="48"/>
      <c r="HA162" s="48"/>
      <c r="HB162" s="48"/>
    </row>
    <row r="163" spans="1:210" ht="15.75" customHeight="1">
      <c r="A163" s="5"/>
      <c r="B163" s="5"/>
      <c r="C163" s="5"/>
      <c r="D163" s="5"/>
      <c r="E163" s="5"/>
      <c r="F163" s="5"/>
      <c r="G163" s="49"/>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48"/>
      <c r="CQ163" s="48"/>
      <c r="CR163" s="48"/>
      <c r="CS163" s="48"/>
      <c r="CT163" s="48"/>
      <c r="CU163" s="48"/>
      <c r="CV163" s="48"/>
      <c r="CW163" s="48"/>
      <c r="CX163" s="48"/>
      <c r="CY163" s="48"/>
      <c r="CZ163" s="48"/>
      <c r="DA163" s="48"/>
      <c r="DB163" s="48"/>
      <c r="DC163" s="48"/>
      <c r="DD163" s="48"/>
      <c r="DE163" s="48"/>
      <c r="DF163" s="48"/>
      <c r="DG163" s="48"/>
      <c r="DH163" s="48"/>
      <c r="DI163" s="48"/>
      <c r="DJ163" s="48"/>
      <c r="DK163" s="48"/>
      <c r="DL163" s="48"/>
      <c r="DM163" s="48"/>
      <c r="DN163" s="48"/>
      <c r="DO163" s="48"/>
      <c r="DP163" s="48"/>
      <c r="DQ163" s="48"/>
      <c r="DR163" s="48"/>
      <c r="DS163" s="48"/>
      <c r="DT163" s="48"/>
      <c r="DU163" s="48"/>
      <c r="DV163" s="48"/>
      <c r="DW163" s="48"/>
      <c r="DX163" s="48"/>
      <c r="DY163" s="48"/>
      <c r="DZ163" s="48"/>
      <c r="EA163" s="48"/>
      <c r="EB163" s="48"/>
      <c r="EC163" s="48"/>
      <c r="ED163" s="48"/>
      <c r="EE163" s="48"/>
      <c r="EF163" s="48"/>
      <c r="EG163" s="48"/>
      <c r="EH163" s="48"/>
      <c r="EI163" s="48"/>
      <c r="EJ163" s="48"/>
      <c r="EK163" s="48"/>
      <c r="EL163" s="48"/>
      <c r="EM163" s="48"/>
      <c r="EN163" s="48"/>
      <c r="EO163" s="48"/>
      <c r="EP163" s="48"/>
      <c r="EQ163" s="48"/>
      <c r="ER163" s="48"/>
      <c r="ES163" s="48"/>
      <c r="ET163" s="48"/>
      <c r="EU163" s="48"/>
      <c r="EV163" s="48"/>
      <c r="EW163" s="48"/>
      <c r="EX163" s="48"/>
      <c r="EY163" s="48"/>
      <c r="EZ163" s="48"/>
      <c r="FA163" s="48"/>
      <c r="FB163" s="48"/>
      <c r="FC163" s="48"/>
      <c r="FD163" s="48"/>
      <c r="FE163" s="48"/>
      <c r="FF163" s="48"/>
      <c r="FG163" s="48"/>
      <c r="FH163" s="48"/>
      <c r="FI163" s="48"/>
      <c r="FJ163" s="48"/>
      <c r="FK163" s="48"/>
      <c r="FL163" s="48"/>
      <c r="FM163" s="48"/>
      <c r="FN163" s="48"/>
      <c r="FO163" s="48"/>
      <c r="FP163" s="48"/>
      <c r="FQ163" s="48"/>
      <c r="FR163" s="48"/>
      <c r="FS163" s="48"/>
      <c r="FT163" s="48"/>
      <c r="FU163" s="48"/>
      <c r="FV163" s="48"/>
      <c r="FW163" s="48"/>
      <c r="FX163" s="48"/>
      <c r="FY163" s="48"/>
      <c r="FZ163" s="48"/>
      <c r="GA163" s="48"/>
      <c r="GB163" s="48"/>
      <c r="GC163" s="48"/>
      <c r="GD163" s="48"/>
      <c r="GE163" s="48"/>
      <c r="GF163" s="48"/>
      <c r="GG163" s="48"/>
      <c r="GH163" s="48"/>
      <c r="GI163" s="48"/>
      <c r="GJ163" s="48"/>
      <c r="GK163" s="48"/>
      <c r="GL163" s="48"/>
      <c r="GM163" s="48"/>
      <c r="GN163" s="48"/>
      <c r="GO163" s="48"/>
      <c r="GP163" s="48"/>
      <c r="GQ163" s="48"/>
      <c r="GR163" s="48"/>
      <c r="GS163" s="48"/>
      <c r="GT163" s="48"/>
      <c r="GU163" s="48"/>
      <c r="GV163" s="48"/>
      <c r="GW163" s="48"/>
      <c r="GX163" s="48"/>
      <c r="GY163" s="48"/>
      <c r="GZ163" s="48"/>
      <c r="HA163" s="48"/>
      <c r="HB163" s="48"/>
    </row>
    <row r="164" spans="1:210" ht="15.75" customHeight="1">
      <c r="A164" s="5"/>
      <c r="B164" s="5"/>
      <c r="C164" s="5"/>
      <c r="D164" s="5"/>
      <c r="E164" s="5"/>
      <c r="F164" s="5"/>
      <c r="G164" s="49"/>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48"/>
      <c r="CQ164" s="48"/>
      <c r="CR164" s="48"/>
      <c r="CS164" s="48"/>
      <c r="CT164" s="48"/>
      <c r="CU164" s="48"/>
      <c r="CV164" s="48"/>
      <c r="CW164" s="48"/>
      <c r="CX164" s="48"/>
      <c r="CY164" s="48"/>
      <c r="CZ164" s="48"/>
      <c r="DA164" s="48"/>
      <c r="DB164" s="48"/>
      <c r="DC164" s="48"/>
      <c r="DD164" s="48"/>
      <c r="DE164" s="48"/>
      <c r="DF164" s="48"/>
      <c r="DG164" s="48"/>
      <c r="DH164" s="48"/>
      <c r="DI164" s="48"/>
      <c r="DJ164" s="48"/>
      <c r="DK164" s="48"/>
      <c r="DL164" s="48"/>
      <c r="DM164" s="48"/>
      <c r="DN164" s="48"/>
      <c r="DO164" s="48"/>
      <c r="DP164" s="48"/>
      <c r="DQ164" s="48"/>
      <c r="DR164" s="48"/>
      <c r="DS164" s="48"/>
      <c r="DT164" s="48"/>
      <c r="DU164" s="48"/>
      <c r="DV164" s="48"/>
      <c r="DW164" s="48"/>
      <c r="DX164" s="48"/>
      <c r="DY164" s="48"/>
      <c r="DZ164" s="48"/>
      <c r="EA164" s="48"/>
      <c r="EB164" s="48"/>
      <c r="EC164" s="48"/>
      <c r="ED164" s="48"/>
      <c r="EE164" s="48"/>
      <c r="EF164" s="48"/>
      <c r="EG164" s="48"/>
      <c r="EH164" s="48"/>
      <c r="EI164" s="48"/>
      <c r="EJ164" s="48"/>
      <c r="EK164" s="48"/>
      <c r="EL164" s="48"/>
      <c r="EM164" s="48"/>
      <c r="EN164" s="48"/>
      <c r="EO164" s="48"/>
      <c r="EP164" s="48"/>
      <c r="EQ164" s="48"/>
      <c r="ER164" s="48"/>
      <c r="ES164" s="48"/>
      <c r="ET164" s="48"/>
      <c r="EU164" s="48"/>
      <c r="EV164" s="48"/>
      <c r="EW164" s="48"/>
      <c r="EX164" s="48"/>
      <c r="EY164" s="48"/>
      <c r="EZ164" s="48"/>
      <c r="FA164" s="48"/>
      <c r="FB164" s="48"/>
      <c r="FC164" s="48"/>
      <c r="FD164" s="48"/>
      <c r="FE164" s="48"/>
      <c r="FF164" s="48"/>
      <c r="FG164" s="48"/>
      <c r="FH164" s="48"/>
      <c r="FI164" s="48"/>
      <c r="FJ164" s="48"/>
      <c r="FK164" s="48"/>
      <c r="FL164" s="48"/>
      <c r="FM164" s="48"/>
      <c r="FN164" s="48"/>
      <c r="FO164" s="48"/>
      <c r="FP164" s="48"/>
      <c r="FQ164" s="48"/>
      <c r="FR164" s="48"/>
      <c r="FS164" s="48"/>
      <c r="FT164" s="48"/>
      <c r="FU164" s="48"/>
      <c r="FV164" s="48"/>
      <c r="FW164" s="48"/>
      <c r="FX164" s="48"/>
      <c r="FY164" s="48"/>
      <c r="FZ164" s="48"/>
      <c r="GA164" s="48"/>
      <c r="GB164" s="48"/>
      <c r="GC164" s="48"/>
      <c r="GD164" s="48"/>
      <c r="GE164" s="48"/>
      <c r="GF164" s="48"/>
      <c r="GG164" s="48"/>
      <c r="GH164" s="48"/>
      <c r="GI164" s="48"/>
      <c r="GJ164" s="48"/>
      <c r="GK164" s="48"/>
      <c r="GL164" s="48"/>
      <c r="GM164" s="48"/>
      <c r="GN164" s="48"/>
      <c r="GO164" s="48"/>
      <c r="GP164" s="48"/>
      <c r="GQ164" s="48"/>
      <c r="GR164" s="48"/>
      <c r="GS164" s="48"/>
      <c r="GT164" s="48"/>
      <c r="GU164" s="48"/>
      <c r="GV164" s="48"/>
      <c r="GW164" s="48"/>
      <c r="GX164" s="48"/>
      <c r="GY164" s="48"/>
      <c r="GZ164" s="48"/>
      <c r="HA164" s="48"/>
      <c r="HB164" s="48"/>
    </row>
    <row r="165" spans="1:210" ht="15.75" customHeight="1">
      <c r="A165" s="5"/>
      <c r="B165" s="5"/>
      <c r="C165" s="5"/>
      <c r="D165" s="5"/>
      <c r="E165" s="5"/>
      <c r="F165" s="5"/>
      <c r="G165" s="49"/>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48"/>
      <c r="CQ165" s="48"/>
      <c r="CR165" s="48"/>
      <c r="CS165" s="48"/>
      <c r="CT165" s="48"/>
      <c r="CU165" s="48"/>
      <c r="CV165" s="48"/>
      <c r="CW165" s="48"/>
      <c r="CX165" s="48"/>
      <c r="CY165" s="48"/>
      <c r="CZ165" s="48"/>
      <c r="DA165" s="48"/>
      <c r="DB165" s="48"/>
      <c r="DC165" s="48"/>
      <c r="DD165" s="48"/>
      <c r="DE165" s="48"/>
      <c r="DF165" s="48"/>
      <c r="DG165" s="48"/>
      <c r="DH165" s="48"/>
      <c r="DI165" s="48"/>
      <c r="DJ165" s="48"/>
      <c r="DK165" s="48"/>
      <c r="DL165" s="48"/>
      <c r="DM165" s="48"/>
      <c r="DN165" s="48"/>
      <c r="DO165" s="48"/>
      <c r="DP165" s="48"/>
      <c r="DQ165" s="48"/>
      <c r="DR165" s="48"/>
      <c r="DS165" s="48"/>
      <c r="DT165" s="48"/>
      <c r="DU165" s="48"/>
      <c r="DV165" s="48"/>
      <c r="DW165" s="48"/>
      <c r="DX165" s="48"/>
      <c r="DY165" s="48"/>
      <c r="DZ165" s="48"/>
      <c r="EA165" s="48"/>
      <c r="EB165" s="48"/>
      <c r="EC165" s="48"/>
      <c r="ED165" s="48"/>
      <c r="EE165" s="48"/>
      <c r="EF165" s="48"/>
      <c r="EG165" s="48"/>
      <c r="EH165" s="48"/>
      <c r="EI165" s="48"/>
      <c r="EJ165" s="48"/>
      <c r="EK165" s="48"/>
      <c r="EL165" s="48"/>
      <c r="EM165" s="48"/>
      <c r="EN165" s="48"/>
      <c r="EO165" s="48"/>
      <c r="EP165" s="48"/>
      <c r="EQ165" s="48"/>
      <c r="ER165" s="48"/>
      <c r="ES165" s="48"/>
      <c r="ET165" s="48"/>
      <c r="EU165" s="48"/>
      <c r="EV165" s="48"/>
      <c r="EW165" s="48"/>
      <c r="EX165" s="48"/>
      <c r="EY165" s="48"/>
      <c r="EZ165" s="48"/>
      <c r="FA165" s="48"/>
      <c r="FB165" s="48"/>
      <c r="FC165" s="48"/>
      <c r="FD165" s="48"/>
      <c r="FE165" s="48"/>
      <c r="FF165" s="48"/>
      <c r="FG165" s="48"/>
      <c r="FH165" s="48"/>
      <c r="FI165" s="48"/>
      <c r="FJ165" s="48"/>
      <c r="FK165" s="48"/>
      <c r="FL165" s="48"/>
      <c r="FM165" s="48"/>
      <c r="FN165" s="48"/>
      <c r="FO165" s="48"/>
      <c r="FP165" s="48"/>
      <c r="FQ165" s="48"/>
      <c r="FR165" s="48"/>
      <c r="FS165" s="48"/>
      <c r="FT165" s="48"/>
      <c r="FU165" s="48"/>
      <c r="FV165" s="48"/>
      <c r="FW165" s="48"/>
      <c r="FX165" s="48"/>
      <c r="FY165" s="48"/>
      <c r="FZ165" s="48"/>
      <c r="GA165" s="48"/>
      <c r="GB165" s="48"/>
      <c r="GC165" s="48"/>
      <c r="GD165" s="48"/>
      <c r="GE165" s="48"/>
      <c r="GF165" s="48"/>
      <c r="GG165" s="48"/>
      <c r="GH165" s="48"/>
      <c r="GI165" s="48"/>
      <c r="GJ165" s="48"/>
      <c r="GK165" s="48"/>
      <c r="GL165" s="48"/>
      <c r="GM165" s="48"/>
      <c r="GN165" s="48"/>
      <c r="GO165" s="48"/>
      <c r="GP165" s="48"/>
      <c r="GQ165" s="48"/>
      <c r="GR165" s="48"/>
      <c r="GS165" s="48"/>
      <c r="GT165" s="48"/>
      <c r="GU165" s="48"/>
      <c r="GV165" s="48"/>
      <c r="GW165" s="48"/>
      <c r="GX165" s="48"/>
      <c r="GY165" s="48"/>
      <c r="GZ165" s="48"/>
      <c r="HA165" s="48"/>
      <c r="HB165" s="48"/>
    </row>
    <row r="166" spans="1:210" ht="15.75" customHeight="1">
      <c r="A166" s="5"/>
      <c r="B166" s="5"/>
      <c r="C166" s="5"/>
      <c r="D166" s="5"/>
      <c r="E166" s="5"/>
      <c r="F166" s="5"/>
      <c r="G166" s="49"/>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48"/>
      <c r="CQ166" s="48"/>
      <c r="CR166" s="48"/>
      <c r="CS166" s="48"/>
      <c r="CT166" s="48"/>
      <c r="CU166" s="48"/>
      <c r="CV166" s="48"/>
      <c r="CW166" s="48"/>
      <c r="CX166" s="48"/>
      <c r="CY166" s="48"/>
      <c r="CZ166" s="48"/>
      <c r="DA166" s="48"/>
      <c r="DB166" s="48"/>
      <c r="DC166" s="48"/>
      <c r="DD166" s="48"/>
      <c r="DE166" s="48"/>
      <c r="DF166" s="48"/>
      <c r="DG166" s="48"/>
      <c r="DH166" s="48"/>
      <c r="DI166" s="48"/>
      <c r="DJ166" s="48"/>
      <c r="DK166" s="48"/>
      <c r="DL166" s="48"/>
      <c r="DM166" s="48"/>
      <c r="DN166" s="48"/>
      <c r="DO166" s="48"/>
      <c r="DP166" s="48"/>
      <c r="DQ166" s="48"/>
      <c r="DR166" s="48"/>
      <c r="DS166" s="48"/>
      <c r="DT166" s="48"/>
      <c r="DU166" s="48"/>
      <c r="DV166" s="48"/>
      <c r="DW166" s="48"/>
      <c r="DX166" s="48"/>
      <c r="DY166" s="48"/>
      <c r="DZ166" s="48"/>
      <c r="EA166" s="48"/>
      <c r="EB166" s="48"/>
      <c r="EC166" s="48"/>
      <c r="ED166" s="48"/>
      <c r="EE166" s="48"/>
      <c r="EF166" s="48"/>
      <c r="EG166" s="48"/>
      <c r="EH166" s="48"/>
      <c r="EI166" s="48"/>
      <c r="EJ166" s="48"/>
      <c r="EK166" s="48"/>
      <c r="EL166" s="48"/>
      <c r="EM166" s="48"/>
      <c r="EN166" s="48"/>
      <c r="EO166" s="48"/>
      <c r="EP166" s="48"/>
      <c r="EQ166" s="48"/>
      <c r="ER166" s="48"/>
      <c r="ES166" s="48"/>
      <c r="ET166" s="48"/>
      <c r="EU166" s="48"/>
      <c r="EV166" s="48"/>
      <c r="EW166" s="48"/>
      <c r="EX166" s="48"/>
      <c r="EY166" s="48"/>
      <c r="EZ166" s="48"/>
      <c r="FA166" s="48"/>
      <c r="FB166" s="48"/>
      <c r="FC166" s="48"/>
      <c r="FD166" s="48"/>
      <c r="FE166" s="48"/>
      <c r="FF166" s="48"/>
      <c r="FG166" s="48"/>
      <c r="FH166" s="48"/>
      <c r="FI166" s="48"/>
      <c r="FJ166" s="48"/>
      <c r="FK166" s="48"/>
      <c r="FL166" s="48"/>
      <c r="FM166" s="48"/>
      <c r="FN166" s="48"/>
      <c r="FO166" s="48"/>
      <c r="FP166" s="48"/>
      <c r="FQ166" s="48"/>
      <c r="FR166" s="48"/>
      <c r="FS166" s="48"/>
      <c r="FT166" s="48"/>
      <c r="FU166" s="48"/>
      <c r="FV166" s="48"/>
      <c r="FW166" s="48"/>
      <c r="FX166" s="48"/>
      <c r="FY166" s="48"/>
      <c r="FZ166" s="48"/>
      <c r="GA166" s="48"/>
      <c r="GB166" s="48"/>
      <c r="GC166" s="48"/>
      <c r="GD166" s="48"/>
      <c r="GE166" s="48"/>
      <c r="GF166" s="48"/>
      <c r="GG166" s="48"/>
      <c r="GH166" s="48"/>
      <c r="GI166" s="48"/>
      <c r="GJ166" s="48"/>
      <c r="GK166" s="48"/>
      <c r="GL166" s="48"/>
      <c r="GM166" s="48"/>
      <c r="GN166" s="48"/>
      <c r="GO166" s="48"/>
      <c r="GP166" s="48"/>
      <c r="GQ166" s="48"/>
      <c r="GR166" s="48"/>
      <c r="GS166" s="48"/>
      <c r="GT166" s="48"/>
      <c r="GU166" s="48"/>
      <c r="GV166" s="48"/>
      <c r="GW166" s="48"/>
      <c r="GX166" s="48"/>
      <c r="GY166" s="48"/>
      <c r="GZ166" s="48"/>
      <c r="HA166" s="48"/>
      <c r="HB166" s="48"/>
    </row>
    <row r="167" spans="1:210" ht="15.75" customHeight="1">
      <c r="A167" s="5"/>
      <c r="B167" s="5"/>
      <c r="C167" s="5"/>
      <c r="D167" s="5"/>
      <c r="E167" s="5"/>
      <c r="F167" s="5"/>
      <c r="G167" s="49"/>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48"/>
      <c r="CQ167" s="48"/>
      <c r="CR167" s="48"/>
      <c r="CS167" s="48"/>
      <c r="CT167" s="48"/>
      <c r="CU167" s="48"/>
      <c r="CV167" s="48"/>
      <c r="CW167" s="48"/>
      <c r="CX167" s="48"/>
      <c r="CY167" s="48"/>
      <c r="CZ167" s="48"/>
      <c r="DA167" s="48"/>
      <c r="DB167" s="48"/>
      <c r="DC167" s="48"/>
      <c r="DD167" s="48"/>
      <c r="DE167" s="48"/>
      <c r="DF167" s="48"/>
      <c r="DG167" s="48"/>
      <c r="DH167" s="48"/>
      <c r="DI167" s="48"/>
      <c r="DJ167" s="48"/>
      <c r="DK167" s="48"/>
      <c r="DL167" s="48"/>
      <c r="DM167" s="48"/>
      <c r="DN167" s="48"/>
      <c r="DO167" s="48"/>
      <c r="DP167" s="48"/>
      <c r="DQ167" s="48"/>
      <c r="DR167" s="48"/>
      <c r="DS167" s="48"/>
      <c r="DT167" s="48"/>
      <c r="DU167" s="48"/>
      <c r="DV167" s="48"/>
      <c r="DW167" s="48"/>
      <c r="DX167" s="48"/>
      <c r="DY167" s="48"/>
      <c r="DZ167" s="48"/>
      <c r="EA167" s="48"/>
      <c r="EB167" s="48"/>
      <c r="EC167" s="48"/>
      <c r="ED167" s="48"/>
      <c r="EE167" s="48"/>
      <c r="EF167" s="48"/>
      <c r="EG167" s="48"/>
      <c r="EH167" s="48"/>
      <c r="EI167" s="48"/>
      <c r="EJ167" s="48"/>
      <c r="EK167" s="48"/>
      <c r="EL167" s="48"/>
      <c r="EM167" s="48"/>
      <c r="EN167" s="48"/>
      <c r="EO167" s="48"/>
      <c r="EP167" s="48"/>
      <c r="EQ167" s="48"/>
      <c r="ER167" s="48"/>
      <c r="ES167" s="48"/>
      <c r="ET167" s="48"/>
      <c r="EU167" s="48"/>
      <c r="EV167" s="48"/>
      <c r="EW167" s="48"/>
      <c r="EX167" s="48"/>
      <c r="EY167" s="48"/>
      <c r="EZ167" s="48"/>
      <c r="FA167" s="48"/>
      <c r="FB167" s="48"/>
      <c r="FC167" s="48"/>
      <c r="FD167" s="48"/>
      <c r="FE167" s="48"/>
      <c r="FF167" s="48"/>
      <c r="FG167" s="48"/>
      <c r="FH167" s="48"/>
      <c r="FI167" s="48"/>
      <c r="FJ167" s="48"/>
      <c r="FK167" s="48"/>
      <c r="FL167" s="48"/>
      <c r="FM167" s="48"/>
      <c r="FN167" s="48"/>
      <c r="FO167" s="48"/>
      <c r="FP167" s="48"/>
      <c r="FQ167" s="48"/>
      <c r="FR167" s="48"/>
      <c r="FS167" s="48"/>
      <c r="FT167" s="48"/>
      <c r="FU167" s="48"/>
      <c r="FV167" s="48"/>
      <c r="FW167" s="48"/>
      <c r="FX167" s="48"/>
      <c r="FY167" s="48"/>
      <c r="FZ167" s="48"/>
      <c r="GA167" s="48"/>
      <c r="GB167" s="48"/>
      <c r="GC167" s="48"/>
      <c r="GD167" s="48"/>
      <c r="GE167" s="48"/>
      <c r="GF167" s="48"/>
      <c r="GG167" s="48"/>
      <c r="GH167" s="48"/>
      <c r="GI167" s="48"/>
      <c r="GJ167" s="48"/>
      <c r="GK167" s="48"/>
      <c r="GL167" s="48"/>
      <c r="GM167" s="48"/>
      <c r="GN167" s="48"/>
      <c r="GO167" s="48"/>
      <c r="GP167" s="48"/>
      <c r="GQ167" s="48"/>
      <c r="GR167" s="48"/>
      <c r="GS167" s="48"/>
      <c r="GT167" s="48"/>
      <c r="GU167" s="48"/>
      <c r="GV167" s="48"/>
      <c r="GW167" s="48"/>
      <c r="GX167" s="48"/>
      <c r="GY167" s="48"/>
      <c r="GZ167" s="48"/>
      <c r="HA167" s="48"/>
      <c r="HB167" s="48"/>
    </row>
    <row r="168" spans="1:210" ht="15.75" customHeight="1">
      <c r="A168" s="5"/>
      <c r="B168" s="5"/>
      <c r="C168" s="5"/>
      <c r="D168" s="5"/>
      <c r="E168" s="5"/>
      <c r="F168" s="5"/>
      <c r="G168" s="49"/>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48"/>
      <c r="CQ168" s="48"/>
      <c r="CR168" s="48"/>
      <c r="CS168" s="48"/>
      <c r="CT168" s="48"/>
      <c r="CU168" s="48"/>
      <c r="CV168" s="48"/>
      <c r="CW168" s="48"/>
      <c r="CX168" s="48"/>
      <c r="CY168" s="48"/>
      <c r="CZ168" s="48"/>
      <c r="DA168" s="48"/>
      <c r="DB168" s="48"/>
      <c r="DC168" s="48"/>
      <c r="DD168" s="48"/>
      <c r="DE168" s="48"/>
      <c r="DF168" s="48"/>
      <c r="DG168" s="48"/>
      <c r="DH168" s="48"/>
      <c r="DI168" s="48"/>
      <c r="DJ168" s="48"/>
      <c r="DK168" s="48"/>
      <c r="DL168" s="48"/>
      <c r="DM168" s="48"/>
      <c r="DN168" s="48"/>
      <c r="DO168" s="48"/>
      <c r="DP168" s="48"/>
      <c r="DQ168" s="48"/>
      <c r="DR168" s="48"/>
      <c r="DS168" s="48"/>
      <c r="DT168" s="48"/>
      <c r="DU168" s="48"/>
      <c r="DV168" s="48"/>
      <c r="DW168" s="48"/>
      <c r="DX168" s="48"/>
      <c r="DY168" s="48"/>
      <c r="DZ168" s="48"/>
      <c r="EA168" s="48"/>
      <c r="EB168" s="48"/>
      <c r="EC168" s="48"/>
      <c r="ED168" s="48"/>
      <c r="EE168" s="48"/>
      <c r="EF168" s="48"/>
      <c r="EG168" s="48"/>
      <c r="EH168" s="48"/>
      <c r="EI168" s="48"/>
      <c r="EJ168" s="48"/>
      <c r="EK168" s="48"/>
      <c r="EL168" s="48"/>
      <c r="EM168" s="48"/>
      <c r="EN168" s="48"/>
      <c r="EO168" s="48"/>
      <c r="EP168" s="48"/>
      <c r="EQ168" s="48"/>
      <c r="ER168" s="48"/>
      <c r="ES168" s="48"/>
      <c r="ET168" s="48"/>
      <c r="EU168" s="48"/>
      <c r="EV168" s="48"/>
      <c r="EW168" s="48"/>
      <c r="EX168" s="48"/>
      <c r="EY168" s="48"/>
      <c r="EZ168" s="48"/>
      <c r="FA168" s="48"/>
      <c r="FB168" s="48"/>
      <c r="FC168" s="48"/>
      <c r="FD168" s="48"/>
      <c r="FE168" s="48"/>
      <c r="FF168" s="48"/>
      <c r="FG168" s="48"/>
      <c r="FH168" s="48"/>
      <c r="FI168" s="48"/>
      <c r="FJ168" s="48"/>
      <c r="FK168" s="48"/>
      <c r="FL168" s="48"/>
      <c r="FM168" s="48"/>
      <c r="FN168" s="48"/>
      <c r="FO168" s="48"/>
      <c r="FP168" s="48"/>
      <c r="FQ168" s="48"/>
      <c r="FR168" s="48"/>
      <c r="FS168" s="48"/>
      <c r="FT168" s="48"/>
      <c r="FU168" s="48"/>
      <c r="FV168" s="48"/>
      <c r="FW168" s="48"/>
      <c r="FX168" s="48"/>
      <c r="FY168" s="48"/>
      <c r="FZ168" s="48"/>
      <c r="GA168" s="48"/>
      <c r="GB168" s="48"/>
      <c r="GC168" s="48"/>
      <c r="GD168" s="48"/>
      <c r="GE168" s="48"/>
      <c r="GF168" s="48"/>
      <c r="GG168" s="48"/>
      <c r="GH168" s="48"/>
      <c r="GI168" s="48"/>
      <c r="GJ168" s="48"/>
      <c r="GK168" s="48"/>
      <c r="GL168" s="48"/>
      <c r="GM168" s="48"/>
      <c r="GN168" s="48"/>
      <c r="GO168" s="48"/>
      <c r="GP168" s="48"/>
      <c r="GQ168" s="48"/>
      <c r="GR168" s="48"/>
      <c r="GS168" s="48"/>
      <c r="GT168" s="48"/>
      <c r="GU168" s="48"/>
      <c r="GV168" s="48"/>
      <c r="GW168" s="48"/>
      <c r="GX168" s="48"/>
      <c r="GY168" s="48"/>
      <c r="GZ168" s="48"/>
      <c r="HA168" s="48"/>
      <c r="HB168" s="48"/>
    </row>
    <row r="169" spans="1:210" ht="15.75" customHeight="1">
      <c r="A169" s="5"/>
      <c r="B169" s="5"/>
      <c r="C169" s="5"/>
      <c r="D169" s="5"/>
      <c r="E169" s="5"/>
      <c r="F169" s="5"/>
      <c r="G169" s="49"/>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48"/>
      <c r="CQ169" s="48"/>
      <c r="CR169" s="48"/>
      <c r="CS169" s="48"/>
      <c r="CT169" s="48"/>
      <c r="CU169" s="48"/>
      <c r="CV169" s="48"/>
      <c r="CW169" s="48"/>
      <c r="CX169" s="48"/>
      <c r="CY169" s="48"/>
      <c r="CZ169" s="48"/>
      <c r="DA169" s="48"/>
      <c r="DB169" s="48"/>
      <c r="DC169" s="48"/>
      <c r="DD169" s="48"/>
      <c r="DE169" s="48"/>
      <c r="DF169" s="48"/>
      <c r="DG169" s="48"/>
      <c r="DH169" s="48"/>
      <c r="DI169" s="48"/>
      <c r="DJ169" s="48"/>
      <c r="DK169" s="48"/>
      <c r="DL169" s="48"/>
      <c r="DM169" s="48"/>
      <c r="DN169" s="48"/>
      <c r="DO169" s="48"/>
      <c r="DP169" s="48"/>
      <c r="DQ169" s="48"/>
      <c r="DR169" s="48"/>
      <c r="DS169" s="48"/>
      <c r="DT169" s="48"/>
      <c r="DU169" s="48"/>
      <c r="DV169" s="48"/>
      <c r="DW169" s="48"/>
      <c r="DX169" s="48"/>
      <c r="DY169" s="48"/>
      <c r="DZ169" s="48"/>
      <c r="EA169" s="48"/>
      <c r="EB169" s="48"/>
      <c r="EC169" s="48"/>
      <c r="ED169" s="48"/>
      <c r="EE169" s="48"/>
      <c r="EF169" s="48"/>
      <c r="EG169" s="48"/>
      <c r="EH169" s="48"/>
      <c r="EI169" s="48"/>
      <c r="EJ169" s="48"/>
      <c r="EK169" s="48"/>
      <c r="EL169" s="48"/>
      <c r="EM169" s="48"/>
      <c r="EN169" s="48"/>
      <c r="EO169" s="48"/>
      <c r="EP169" s="48"/>
      <c r="EQ169" s="48"/>
      <c r="ER169" s="48"/>
      <c r="ES169" s="48"/>
      <c r="ET169" s="48"/>
      <c r="EU169" s="48"/>
      <c r="EV169" s="48"/>
      <c r="EW169" s="48"/>
      <c r="EX169" s="48"/>
      <c r="EY169" s="48"/>
      <c r="EZ169" s="48"/>
      <c r="FA169" s="48"/>
      <c r="FB169" s="48"/>
      <c r="FC169" s="48"/>
      <c r="FD169" s="48"/>
      <c r="FE169" s="48"/>
      <c r="FF169" s="48"/>
      <c r="FG169" s="48"/>
      <c r="FH169" s="48"/>
      <c r="FI169" s="48"/>
      <c r="FJ169" s="48"/>
      <c r="FK169" s="48"/>
      <c r="FL169" s="48"/>
      <c r="FM169" s="48"/>
      <c r="FN169" s="48"/>
      <c r="FO169" s="48"/>
      <c r="FP169" s="48"/>
      <c r="FQ169" s="48"/>
      <c r="FR169" s="48"/>
      <c r="FS169" s="48"/>
      <c r="FT169" s="48"/>
      <c r="FU169" s="48"/>
      <c r="FV169" s="48"/>
      <c r="FW169" s="48"/>
      <c r="FX169" s="48"/>
      <c r="FY169" s="48"/>
      <c r="FZ169" s="48"/>
      <c r="GA169" s="48"/>
      <c r="GB169" s="48"/>
      <c r="GC169" s="48"/>
      <c r="GD169" s="48"/>
      <c r="GE169" s="48"/>
      <c r="GF169" s="48"/>
      <c r="GG169" s="48"/>
      <c r="GH169" s="48"/>
      <c r="GI169" s="48"/>
      <c r="GJ169" s="48"/>
      <c r="GK169" s="48"/>
      <c r="GL169" s="48"/>
      <c r="GM169" s="48"/>
      <c r="GN169" s="48"/>
      <c r="GO169" s="48"/>
      <c r="GP169" s="48"/>
      <c r="GQ169" s="48"/>
      <c r="GR169" s="48"/>
      <c r="GS169" s="48"/>
      <c r="GT169" s="48"/>
      <c r="GU169" s="48"/>
      <c r="GV169" s="48"/>
      <c r="GW169" s="48"/>
      <c r="GX169" s="48"/>
      <c r="GY169" s="48"/>
      <c r="GZ169" s="48"/>
      <c r="HA169" s="48"/>
      <c r="HB169" s="48"/>
    </row>
    <row r="170" spans="1:210" ht="15.75" customHeight="1">
      <c r="A170" s="5"/>
      <c r="B170" s="5"/>
      <c r="C170" s="5"/>
      <c r="D170" s="5"/>
      <c r="E170" s="5"/>
      <c r="F170" s="5"/>
      <c r="G170" s="49"/>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48"/>
      <c r="CQ170" s="48"/>
      <c r="CR170" s="48"/>
      <c r="CS170" s="48"/>
      <c r="CT170" s="48"/>
      <c r="CU170" s="48"/>
      <c r="CV170" s="48"/>
      <c r="CW170" s="48"/>
      <c r="CX170" s="48"/>
      <c r="CY170" s="48"/>
      <c r="CZ170" s="48"/>
      <c r="DA170" s="48"/>
      <c r="DB170" s="48"/>
      <c r="DC170" s="48"/>
      <c r="DD170" s="48"/>
      <c r="DE170" s="48"/>
      <c r="DF170" s="48"/>
      <c r="DG170" s="48"/>
      <c r="DH170" s="48"/>
      <c r="DI170" s="48"/>
      <c r="DJ170" s="48"/>
      <c r="DK170" s="48"/>
      <c r="DL170" s="48"/>
      <c r="DM170" s="48"/>
      <c r="DN170" s="48"/>
      <c r="DO170" s="48"/>
      <c r="DP170" s="48"/>
      <c r="DQ170" s="48"/>
      <c r="DR170" s="48"/>
      <c r="DS170" s="48"/>
      <c r="DT170" s="48"/>
      <c r="DU170" s="48"/>
      <c r="DV170" s="48"/>
      <c r="DW170" s="48"/>
      <c r="DX170" s="48"/>
      <c r="DY170" s="48"/>
      <c r="DZ170" s="48"/>
      <c r="EA170" s="48"/>
      <c r="EB170" s="48"/>
      <c r="EC170" s="48"/>
      <c r="ED170" s="48"/>
      <c r="EE170" s="48"/>
      <c r="EF170" s="48"/>
      <c r="EG170" s="48"/>
      <c r="EH170" s="48"/>
      <c r="EI170" s="48"/>
      <c r="EJ170" s="48"/>
      <c r="EK170" s="48"/>
      <c r="EL170" s="48"/>
      <c r="EM170" s="48"/>
      <c r="EN170" s="48"/>
      <c r="EO170" s="48"/>
      <c r="EP170" s="48"/>
      <c r="EQ170" s="48"/>
      <c r="ER170" s="48"/>
      <c r="ES170" s="48"/>
      <c r="ET170" s="48"/>
      <c r="EU170" s="48"/>
      <c r="EV170" s="48"/>
      <c r="EW170" s="48"/>
      <c r="EX170" s="48"/>
      <c r="EY170" s="48"/>
      <c r="EZ170" s="48"/>
      <c r="FA170" s="48"/>
      <c r="FB170" s="48"/>
      <c r="FC170" s="48"/>
      <c r="FD170" s="48"/>
      <c r="FE170" s="48"/>
      <c r="FF170" s="48"/>
      <c r="FG170" s="48"/>
      <c r="FH170" s="48"/>
      <c r="FI170" s="48"/>
      <c r="FJ170" s="48"/>
      <c r="FK170" s="48"/>
      <c r="FL170" s="48"/>
      <c r="FM170" s="48"/>
      <c r="FN170" s="48"/>
      <c r="FO170" s="48"/>
      <c r="FP170" s="48"/>
      <c r="FQ170" s="48"/>
      <c r="FR170" s="48"/>
      <c r="FS170" s="48"/>
      <c r="FT170" s="48"/>
      <c r="FU170" s="48"/>
      <c r="FV170" s="48"/>
      <c r="FW170" s="48"/>
      <c r="FX170" s="48"/>
      <c r="FY170" s="48"/>
      <c r="FZ170" s="48"/>
      <c r="GA170" s="48"/>
      <c r="GB170" s="48"/>
      <c r="GC170" s="48"/>
      <c r="GD170" s="48"/>
      <c r="GE170" s="48"/>
      <c r="GF170" s="48"/>
      <c r="GG170" s="48"/>
      <c r="GH170" s="48"/>
      <c r="GI170" s="48"/>
      <c r="GJ170" s="48"/>
      <c r="GK170" s="48"/>
      <c r="GL170" s="48"/>
      <c r="GM170" s="48"/>
      <c r="GN170" s="48"/>
      <c r="GO170" s="48"/>
      <c r="GP170" s="48"/>
      <c r="GQ170" s="48"/>
      <c r="GR170" s="48"/>
      <c r="GS170" s="48"/>
      <c r="GT170" s="48"/>
      <c r="GU170" s="48"/>
      <c r="GV170" s="48"/>
      <c r="GW170" s="48"/>
      <c r="GX170" s="48"/>
      <c r="GY170" s="48"/>
      <c r="GZ170" s="48"/>
      <c r="HA170" s="48"/>
      <c r="HB170" s="48"/>
    </row>
    <row r="171" spans="1:210" ht="15.75" customHeight="1">
      <c r="A171" s="5"/>
      <c r="B171" s="5"/>
      <c r="C171" s="5"/>
      <c r="D171" s="5"/>
      <c r="E171" s="5"/>
      <c r="F171" s="5"/>
      <c r="G171" s="49"/>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48"/>
      <c r="CQ171" s="48"/>
      <c r="CR171" s="48"/>
      <c r="CS171" s="48"/>
      <c r="CT171" s="48"/>
      <c r="CU171" s="48"/>
      <c r="CV171" s="48"/>
      <c r="CW171" s="48"/>
      <c r="CX171" s="48"/>
      <c r="CY171" s="48"/>
      <c r="CZ171" s="48"/>
      <c r="DA171" s="48"/>
      <c r="DB171" s="48"/>
      <c r="DC171" s="48"/>
      <c r="DD171" s="48"/>
      <c r="DE171" s="48"/>
      <c r="DF171" s="48"/>
      <c r="DG171" s="48"/>
      <c r="DH171" s="48"/>
      <c r="DI171" s="48"/>
      <c r="DJ171" s="48"/>
      <c r="DK171" s="48"/>
      <c r="DL171" s="48"/>
      <c r="DM171" s="48"/>
      <c r="DN171" s="48"/>
      <c r="DO171" s="48"/>
      <c r="DP171" s="48"/>
      <c r="DQ171" s="48"/>
      <c r="DR171" s="48"/>
      <c r="DS171" s="48"/>
      <c r="DT171" s="48"/>
      <c r="DU171" s="48"/>
      <c r="DV171" s="48"/>
      <c r="DW171" s="48"/>
      <c r="DX171" s="48"/>
      <c r="DY171" s="48"/>
      <c r="DZ171" s="48"/>
      <c r="EA171" s="48"/>
      <c r="EB171" s="48"/>
      <c r="EC171" s="48"/>
      <c r="ED171" s="48"/>
      <c r="EE171" s="48"/>
      <c r="EF171" s="48"/>
      <c r="EG171" s="48"/>
      <c r="EH171" s="48"/>
      <c r="EI171" s="48"/>
      <c r="EJ171" s="48"/>
      <c r="EK171" s="48"/>
      <c r="EL171" s="48"/>
      <c r="EM171" s="48"/>
      <c r="EN171" s="48"/>
      <c r="EO171" s="48"/>
      <c r="EP171" s="48"/>
      <c r="EQ171" s="48"/>
      <c r="ER171" s="48"/>
      <c r="ES171" s="48"/>
      <c r="ET171" s="48"/>
      <c r="EU171" s="48"/>
      <c r="EV171" s="48"/>
      <c r="EW171" s="48"/>
      <c r="EX171" s="48"/>
      <c r="EY171" s="48"/>
      <c r="EZ171" s="48"/>
      <c r="FA171" s="48"/>
      <c r="FB171" s="48"/>
      <c r="FC171" s="48"/>
      <c r="FD171" s="48"/>
      <c r="FE171" s="48"/>
      <c r="FF171" s="48"/>
      <c r="FG171" s="48"/>
      <c r="FH171" s="48"/>
      <c r="FI171" s="48"/>
      <c r="FJ171" s="48"/>
      <c r="FK171" s="48"/>
      <c r="FL171" s="48"/>
      <c r="FM171" s="48"/>
      <c r="FN171" s="48"/>
      <c r="FO171" s="48"/>
      <c r="FP171" s="48"/>
      <c r="FQ171" s="48"/>
      <c r="FR171" s="48"/>
      <c r="FS171" s="48"/>
      <c r="FT171" s="48"/>
      <c r="FU171" s="48"/>
      <c r="FV171" s="48"/>
      <c r="FW171" s="48"/>
      <c r="FX171" s="48"/>
      <c r="FY171" s="48"/>
      <c r="FZ171" s="48"/>
      <c r="GA171" s="48"/>
      <c r="GB171" s="48"/>
      <c r="GC171" s="48"/>
      <c r="GD171" s="48"/>
      <c r="GE171" s="48"/>
      <c r="GF171" s="48"/>
      <c r="GG171" s="48"/>
      <c r="GH171" s="48"/>
      <c r="GI171" s="48"/>
      <c r="GJ171" s="48"/>
      <c r="GK171" s="48"/>
      <c r="GL171" s="48"/>
      <c r="GM171" s="48"/>
      <c r="GN171" s="48"/>
      <c r="GO171" s="48"/>
      <c r="GP171" s="48"/>
      <c r="GQ171" s="48"/>
      <c r="GR171" s="48"/>
      <c r="GS171" s="48"/>
      <c r="GT171" s="48"/>
      <c r="GU171" s="48"/>
      <c r="GV171" s="48"/>
      <c r="GW171" s="48"/>
      <c r="GX171" s="48"/>
      <c r="GY171" s="48"/>
      <c r="GZ171" s="48"/>
      <c r="HA171" s="48"/>
      <c r="HB171" s="48"/>
    </row>
    <row r="172" spans="1:210" ht="15.75" customHeight="1">
      <c r="A172" s="5"/>
      <c r="B172" s="5"/>
      <c r="C172" s="5"/>
      <c r="D172" s="5"/>
      <c r="E172" s="5"/>
      <c r="F172" s="5"/>
      <c r="G172" s="49"/>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48"/>
      <c r="CQ172" s="48"/>
      <c r="CR172" s="48"/>
      <c r="CS172" s="48"/>
      <c r="CT172" s="48"/>
      <c r="CU172" s="48"/>
      <c r="CV172" s="48"/>
      <c r="CW172" s="48"/>
      <c r="CX172" s="48"/>
      <c r="CY172" s="48"/>
      <c r="CZ172" s="48"/>
      <c r="DA172" s="48"/>
      <c r="DB172" s="48"/>
      <c r="DC172" s="48"/>
      <c r="DD172" s="48"/>
      <c r="DE172" s="48"/>
      <c r="DF172" s="48"/>
      <c r="DG172" s="48"/>
      <c r="DH172" s="48"/>
      <c r="DI172" s="48"/>
      <c r="DJ172" s="48"/>
      <c r="DK172" s="48"/>
      <c r="DL172" s="48"/>
      <c r="DM172" s="48"/>
      <c r="DN172" s="48"/>
      <c r="DO172" s="48"/>
      <c r="DP172" s="48"/>
      <c r="DQ172" s="48"/>
      <c r="DR172" s="48"/>
      <c r="DS172" s="48"/>
      <c r="DT172" s="48"/>
      <c r="DU172" s="48"/>
      <c r="DV172" s="48"/>
      <c r="DW172" s="48"/>
      <c r="DX172" s="48"/>
      <c r="DY172" s="48"/>
      <c r="DZ172" s="48"/>
      <c r="EA172" s="48"/>
      <c r="EB172" s="48"/>
      <c r="EC172" s="48"/>
      <c r="ED172" s="48"/>
      <c r="EE172" s="48"/>
      <c r="EF172" s="48"/>
      <c r="EG172" s="48"/>
      <c r="EH172" s="48"/>
      <c r="EI172" s="48"/>
      <c r="EJ172" s="48"/>
      <c r="EK172" s="48"/>
      <c r="EL172" s="48"/>
      <c r="EM172" s="48"/>
      <c r="EN172" s="48"/>
      <c r="EO172" s="48"/>
      <c r="EP172" s="48"/>
      <c r="EQ172" s="48"/>
      <c r="ER172" s="48"/>
      <c r="ES172" s="48"/>
      <c r="ET172" s="48"/>
      <c r="EU172" s="48"/>
      <c r="EV172" s="48"/>
      <c r="EW172" s="48"/>
      <c r="EX172" s="48"/>
      <c r="EY172" s="48"/>
      <c r="EZ172" s="48"/>
      <c r="FA172" s="48"/>
      <c r="FB172" s="48"/>
      <c r="FC172" s="48"/>
      <c r="FD172" s="48"/>
      <c r="FE172" s="48"/>
      <c r="FF172" s="48"/>
      <c r="FG172" s="48"/>
      <c r="FH172" s="48"/>
      <c r="FI172" s="48"/>
      <c r="FJ172" s="48"/>
      <c r="FK172" s="48"/>
      <c r="FL172" s="48"/>
      <c r="FM172" s="48"/>
      <c r="FN172" s="48"/>
      <c r="FO172" s="48"/>
      <c r="FP172" s="48"/>
      <c r="FQ172" s="48"/>
      <c r="FR172" s="48"/>
      <c r="FS172" s="48"/>
      <c r="FT172" s="48"/>
      <c r="FU172" s="48"/>
      <c r="FV172" s="48"/>
      <c r="FW172" s="48"/>
      <c r="FX172" s="48"/>
      <c r="FY172" s="48"/>
      <c r="FZ172" s="48"/>
      <c r="GA172" s="48"/>
      <c r="GB172" s="48"/>
      <c r="GC172" s="48"/>
      <c r="GD172" s="48"/>
      <c r="GE172" s="48"/>
      <c r="GF172" s="48"/>
      <c r="GG172" s="48"/>
      <c r="GH172" s="48"/>
      <c r="GI172" s="48"/>
      <c r="GJ172" s="48"/>
      <c r="GK172" s="48"/>
      <c r="GL172" s="48"/>
      <c r="GM172" s="48"/>
      <c r="GN172" s="48"/>
      <c r="GO172" s="48"/>
      <c r="GP172" s="48"/>
      <c r="GQ172" s="48"/>
      <c r="GR172" s="48"/>
      <c r="GS172" s="48"/>
      <c r="GT172" s="48"/>
      <c r="GU172" s="48"/>
      <c r="GV172" s="48"/>
      <c r="GW172" s="48"/>
      <c r="GX172" s="48"/>
      <c r="GY172" s="48"/>
      <c r="GZ172" s="48"/>
      <c r="HA172" s="48"/>
      <c r="HB172" s="48"/>
    </row>
    <row r="173" spans="1:210" ht="15.75" customHeight="1">
      <c r="A173" s="5"/>
      <c r="B173" s="5"/>
      <c r="C173" s="5"/>
      <c r="D173" s="5"/>
      <c r="E173" s="5"/>
      <c r="F173" s="5"/>
      <c r="G173" s="49"/>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48"/>
      <c r="CQ173" s="48"/>
      <c r="CR173" s="48"/>
      <c r="CS173" s="48"/>
      <c r="CT173" s="48"/>
      <c r="CU173" s="48"/>
      <c r="CV173" s="48"/>
      <c r="CW173" s="48"/>
      <c r="CX173" s="48"/>
      <c r="CY173" s="48"/>
      <c r="CZ173" s="48"/>
      <c r="DA173" s="48"/>
      <c r="DB173" s="48"/>
      <c r="DC173" s="48"/>
      <c r="DD173" s="48"/>
      <c r="DE173" s="48"/>
      <c r="DF173" s="48"/>
      <c r="DG173" s="48"/>
      <c r="DH173" s="48"/>
      <c r="DI173" s="48"/>
      <c r="DJ173" s="48"/>
      <c r="DK173" s="48"/>
      <c r="DL173" s="48"/>
      <c r="DM173" s="48"/>
      <c r="DN173" s="48"/>
      <c r="DO173" s="48"/>
      <c r="DP173" s="48"/>
      <c r="DQ173" s="48"/>
      <c r="DR173" s="48"/>
      <c r="DS173" s="48"/>
      <c r="DT173" s="48"/>
      <c r="DU173" s="48"/>
      <c r="DV173" s="48"/>
      <c r="DW173" s="48"/>
      <c r="DX173" s="48"/>
      <c r="DY173" s="48"/>
      <c r="DZ173" s="48"/>
      <c r="EA173" s="48"/>
      <c r="EB173" s="48"/>
      <c r="EC173" s="48"/>
      <c r="ED173" s="48"/>
      <c r="EE173" s="48"/>
      <c r="EF173" s="48"/>
      <c r="EG173" s="48"/>
      <c r="EH173" s="48"/>
      <c r="EI173" s="48"/>
      <c r="EJ173" s="48"/>
      <c r="EK173" s="48"/>
      <c r="EL173" s="48"/>
      <c r="EM173" s="48"/>
      <c r="EN173" s="48"/>
      <c r="EO173" s="48"/>
      <c r="EP173" s="48"/>
      <c r="EQ173" s="48"/>
      <c r="ER173" s="48"/>
      <c r="ES173" s="48"/>
      <c r="ET173" s="48"/>
      <c r="EU173" s="48"/>
      <c r="EV173" s="48"/>
      <c r="EW173" s="48"/>
      <c r="EX173" s="48"/>
      <c r="EY173" s="48"/>
      <c r="EZ173" s="48"/>
      <c r="FA173" s="48"/>
      <c r="FB173" s="48"/>
      <c r="FC173" s="48"/>
      <c r="FD173" s="48"/>
      <c r="FE173" s="48"/>
      <c r="FF173" s="48"/>
      <c r="FG173" s="48"/>
      <c r="FH173" s="48"/>
      <c r="FI173" s="48"/>
      <c r="FJ173" s="48"/>
      <c r="FK173" s="48"/>
      <c r="FL173" s="48"/>
      <c r="FM173" s="48"/>
      <c r="FN173" s="48"/>
      <c r="FO173" s="48"/>
      <c r="FP173" s="48"/>
      <c r="FQ173" s="48"/>
      <c r="FR173" s="48"/>
      <c r="FS173" s="48"/>
      <c r="FT173" s="48"/>
      <c r="FU173" s="48"/>
      <c r="FV173" s="48"/>
      <c r="FW173" s="48"/>
      <c r="FX173" s="48"/>
      <c r="FY173" s="48"/>
      <c r="FZ173" s="48"/>
      <c r="GA173" s="48"/>
      <c r="GB173" s="48"/>
      <c r="GC173" s="48"/>
      <c r="GD173" s="48"/>
      <c r="GE173" s="48"/>
      <c r="GF173" s="48"/>
      <c r="GG173" s="48"/>
      <c r="GH173" s="48"/>
      <c r="GI173" s="48"/>
      <c r="GJ173" s="48"/>
      <c r="GK173" s="48"/>
      <c r="GL173" s="48"/>
      <c r="GM173" s="48"/>
      <c r="GN173" s="48"/>
      <c r="GO173" s="48"/>
      <c r="GP173" s="48"/>
      <c r="GQ173" s="48"/>
      <c r="GR173" s="48"/>
      <c r="GS173" s="48"/>
      <c r="GT173" s="48"/>
      <c r="GU173" s="48"/>
      <c r="GV173" s="48"/>
      <c r="GW173" s="48"/>
      <c r="GX173" s="48"/>
      <c r="GY173" s="48"/>
      <c r="GZ173" s="48"/>
      <c r="HA173" s="48"/>
      <c r="HB173" s="48"/>
    </row>
    <row r="174" spans="1:210" ht="15.75" customHeight="1">
      <c r="A174" s="5"/>
      <c r="B174" s="5"/>
      <c r="C174" s="5"/>
      <c r="D174" s="5"/>
      <c r="E174" s="5"/>
      <c r="F174" s="5"/>
      <c r="G174" s="49"/>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48"/>
      <c r="CQ174" s="48"/>
      <c r="CR174" s="48"/>
      <c r="CS174" s="48"/>
      <c r="CT174" s="48"/>
      <c r="CU174" s="48"/>
      <c r="CV174" s="48"/>
      <c r="CW174" s="48"/>
      <c r="CX174" s="48"/>
      <c r="CY174" s="48"/>
      <c r="CZ174" s="48"/>
      <c r="DA174" s="48"/>
      <c r="DB174" s="48"/>
      <c r="DC174" s="48"/>
      <c r="DD174" s="48"/>
      <c r="DE174" s="48"/>
      <c r="DF174" s="48"/>
      <c r="DG174" s="48"/>
      <c r="DH174" s="48"/>
      <c r="DI174" s="48"/>
      <c r="DJ174" s="48"/>
      <c r="DK174" s="48"/>
      <c r="DL174" s="48"/>
      <c r="DM174" s="48"/>
      <c r="DN174" s="48"/>
      <c r="DO174" s="48"/>
      <c r="DP174" s="48"/>
      <c r="DQ174" s="48"/>
      <c r="DR174" s="48"/>
      <c r="DS174" s="48"/>
      <c r="DT174" s="48"/>
      <c r="DU174" s="48"/>
      <c r="DV174" s="48"/>
      <c r="DW174" s="48"/>
      <c r="DX174" s="48"/>
      <c r="DY174" s="48"/>
      <c r="DZ174" s="48"/>
      <c r="EA174" s="48"/>
      <c r="EB174" s="48"/>
      <c r="EC174" s="48"/>
      <c r="ED174" s="48"/>
      <c r="EE174" s="48"/>
      <c r="EF174" s="48"/>
      <c r="EG174" s="48"/>
      <c r="EH174" s="48"/>
      <c r="EI174" s="48"/>
      <c r="EJ174" s="48"/>
      <c r="EK174" s="48"/>
      <c r="EL174" s="48"/>
      <c r="EM174" s="48"/>
      <c r="EN174" s="48"/>
      <c r="EO174" s="48"/>
      <c r="EP174" s="48"/>
      <c r="EQ174" s="48"/>
      <c r="ER174" s="48"/>
      <c r="ES174" s="48"/>
      <c r="ET174" s="48"/>
      <c r="EU174" s="48"/>
      <c r="EV174" s="48"/>
      <c r="EW174" s="48"/>
      <c r="EX174" s="48"/>
      <c r="EY174" s="48"/>
      <c r="EZ174" s="48"/>
      <c r="FA174" s="48"/>
      <c r="FB174" s="48"/>
      <c r="FC174" s="48"/>
      <c r="FD174" s="48"/>
      <c r="FE174" s="48"/>
      <c r="FF174" s="48"/>
      <c r="FG174" s="48"/>
      <c r="FH174" s="48"/>
      <c r="FI174" s="48"/>
      <c r="FJ174" s="48"/>
      <c r="FK174" s="48"/>
      <c r="FL174" s="48"/>
      <c r="FM174" s="48"/>
      <c r="FN174" s="48"/>
      <c r="FO174" s="48"/>
      <c r="FP174" s="48"/>
      <c r="FQ174" s="48"/>
      <c r="FR174" s="48"/>
      <c r="FS174" s="48"/>
      <c r="FT174" s="48"/>
      <c r="FU174" s="48"/>
      <c r="FV174" s="48"/>
      <c r="FW174" s="48"/>
      <c r="FX174" s="48"/>
      <c r="FY174" s="48"/>
      <c r="FZ174" s="48"/>
      <c r="GA174" s="48"/>
      <c r="GB174" s="48"/>
      <c r="GC174" s="48"/>
      <c r="GD174" s="48"/>
      <c r="GE174" s="48"/>
      <c r="GF174" s="48"/>
      <c r="GG174" s="48"/>
      <c r="GH174" s="48"/>
      <c r="GI174" s="48"/>
      <c r="GJ174" s="48"/>
      <c r="GK174" s="48"/>
      <c r="GL174" s="48"/>
      <c r="GM174" s="48"/>
      <c r="GN174" s="48"/>
      <c r="GO174" s="48"/>
      <c r="GP174" s="48"/>
      <c r="GQ174" s="48"/>
      <c r="GR174" s="48"/>
      <c r="GS174" s="48"/>
      <c r="GT174" s="48"/>
      <c r="GU174" s="48"/>
      <c r="GV174" s="48"/>
      <c r="GW174" s="48"/>
      <c r="GX174" s="48"/>
      <c r="GY174" s="48"/>
      <c r="GZ174" s="48"/>
      <c r="HA174" s="48"/>
      <c r="HB174" s="48"/>
    </row>
    <row r="175" spans="1:210" ht="15.75" customHeight="1">
      <c r="A175" s="5"/>
      <c r="B175" s="5"/>
      <c r="C175" s="5"/>
      <c r="D175" s="5"/>
      <c r="E175" s="5"/>
      <c r="F175" s="5"/>
      <c r="G175" s="49"/>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48"/>
      <c r="CQ175" s="48"/>
      <c r="CR175" s="48"/>
      <c r="CS175" s="48"/>
      <c r="CT175" s="48"/>
      <c r="CU175" s="48"/>
      <c r="CV175" s="48"/>
      <c r="CW175" s="48"/>
      <c r="CX175" s="48"/>
      <c r="CY175" s="48"/>
      <c r="CZ175" s="48"/>
      <c r="DA175" s="48"/>
      <c r="DB175" s="48"/>
      <c r="DC175" s="48"/>
      <c r="DD175" s="48"/>
      <c r="DE175" s="48"/>
      <c r="DF175" s="48"/>
      <c r="DG175" s="48"/>
      <c r="DH175" s="48"/>
      <c r="DI175" s="48"/>
      <c r="DJ175" s="48"/>
      <c r="DK175" s="48"/>
      <c r="DL175" s="48"/>
      <c r="DM175" s="48"/>
      <c r="DN175" s="48"/>
      <c r="DO175" s="48"/>
      <c r="DP175" s="48"/>
      <c r="DQ175" s="48"/>
      <c r="DR175" s="48"/>
      <c r="DS175" s="48"/>
      <c r="DT175" s="48"/>
      <c r="DU175" s="48"/>
      <c r="DV175" s="48"/>
      <c r="DW175" s="48"/>
      <c r="DX175" s="48"/>
      <c r="DY175" s="48"/>
      <c r="DZ175" s="48"/>
      <c r="EA175" s="48"/>
      <c r="EB175" s="48"/>
      <c r="EC175" s="48"/>
      <c r="ED175" s="48"/>
      <c r="EE175" s="48"/>
      <c r="EF175" s="48"/>
      <c r="EG175" s="48"/>
      <c r="EH175" s="48"/>
      <c r="EI175" s="48"/>
      <c r="EJ175" s="48"/>
      <c r="EK175" s="48"/>
      <c r="EL175" s="48"/>
      <c r="EM175" s="48"/>
      <c r="EN175" s="48"/>
      <c r="EO175" s="48"/>
      <c r="EP175" s="48"/>
      <c r="EQ175" s="48"/>
      <c r="ER175" s="48"/>
      <c r="ES175" s="48"/>
      <c r="ET175" s="48"/>
      <c r="EU175" s="48"/>
      <c r="EV175" s="48"/>
      <c r="EW175" s="48"/>
      <c r="EX175" s="48"/>
      <c r="EY175" s="48"/>
      <c r="EZ175" s="48"/>
      <c r="FA175" s="48"/>
      <c r="FB175" s="48"/>
      <c r="FC175" s="48"/>
      <c r="FD175" s="48"/>
      <c r="FE175" s="48"/>
      <c r="FF175" s="48"/>
      <c r="FG175" s="48"/>
      <c r="FH175" s="48"/>
      <c r="FI175" s="48"/>
      <c r="FJ175" s="48"/>
      <c r="FK175" s="48"/>
      <c r="FL175" s="48"/>
      <c r="FM175" s="48"/>
      <c r="FN175" s="48"/>
      <c r="FO175" s="48"/>
      <c r="FP175" s="48"/>
      <c r="FQ175" s="48"/>
      <c r="FR175" s="48"/>
      <c r="FS175" s="48"/>
      <c r="FT175" s="48"/>
      <c r="FU175" s="48"/>
      <c r="FV175" s="48"/>
      <c r="FW175" s="48"/>
      <c r="FX175" s="48"/>
      <c r="FY175" s="48"/>
      <c r="FZ175" s="48"/>
      <c r="GA175" s="48"/>
      <c r="GB175" s="48"/>
      <c r="GC175" s="48"/>
      <c r="GD175" s="48"/>
      <c r="GE175" s="48"/>
      <c r="GF175" s="48"/>
      <c r="GG175" s="48"/>
      <c r="GH175" s="48"/>
      <c r="GI175" s="48"/>
      <c r="GJ175" s="48"/>
      <c r="GK175" s="48"/>
      <c r="GL175" s="48"/>
      <c r="GM175" s="48"/>
      <c r="GN175" s="48"/>
      <c r="GO175" s="48"/>
      <c r="GP175" s="48"/>
      <c r="GQ175" s="48"/>
      <c r="GR175" s="48"/>
      <c r="GS175" s="48"/>
      <c r="GT175" s="48"/>
      <c r="GU175" s="48"/>
      <c r="GV175" s="48"/>
      <c r="GW175" s="48"/>
      <c r="GX175" s="48"/>
      <c r="GY175" s="48"/>
      <c r="GZ175" s="48"/>
      <c r="HA175" s="48"/>
      <c r="HB175" s="48"/>
    </row>
    <row r="176" spans="1:210" ht="15.75" customHeight="1">
      <c r="A176" s="5"/>
      <c r="B176" s="5"/>
      <c r="C176" s="5"/>
      <c r="D176" s="5"/>
      <c r="E176" s="5"/>
      <c r="F176" s="5"/>
      <c r="G176" s="49"/>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48"/>
      <c r="CQ176" s="48"/>
      <c r="CR176" s="48"/>
      <c r="CS176" s="48"/>
      <c r="CT176" s="48"/>
      <c r="CU176" s="48"/>
      <c r="CV176" s="48"/>
      <c r="CW176" s="48"/>
      <c r="CX176" s="48"/>
      <c r="CY176" s="48"/>
      <c r="CZ176" s="48"/>
      <c r="DA176" s="48"/>
      <c r="DB176" s="48"/>
      <c r="DC176" s="48"/>
      <c r="DD176" s="48"/>
      <c r="DE176" s="48"/>
      <c r="DF176" s="48"/>
      <c r="DG176" s="48"/>
      <c r="DH176" s="48"/>
      <c r="DI176" s="48"/>
      <c r="DJ176" s="48"/>
      <c r="DK176" s="48"/>
      <c r="DL176" s="48"/>
      <c r="DM176" s="48"/>
      <c r="DN176" s="48"/>
      <c r="DO176" s="48"/>
      <c r="DP176" s="48"/>
      <c r="DQ176" s="48"/>
      <c r="DR176" s="48"/>
      <c r="DS176" s="48"/>
      <c r="DT176" s="48"/>
      <c r="DU176" s="48"/>
      <c r="DV176" s="48"/>
      <c r="DW176" s="48"/>
      <c r="DX176" s="48"/>
      <c r="DY176" s="48"/>
      <c r="DZ176" s="48"/>
      <c r="EA176" s="48"/>
      <c r="EB176" s="48"/>
      <c r="EC176" s="48"/>
      <c r="ED176" s="48"/>
      <c r="EE176" s="48"/>
      <c r="EF176" s="48"/>
      <c r="EG176" s="48"/>
      <c r="EH176" s="48"/>
      <c r="EI176" s="48"/>
      <c r="EJ176" s="48"/>
      <c r="EK176" s="48"/>
      <c r="EL176" s="48"/>
      <c r="EM176" s="48"/>
      <c r="EN176" s="48"/>
      <c r="EO176" s="48"/>
      <c r="EP176" s="48"/>
      <c r="EQ176" s="48"/>
      <c r="ER176" s="48"/>
      <c r="ES176" s="48"/>
      <c r="ET176" s="48"/>
      <c r="EU176" s="48"/>
      <c r="EV176" s="48"/>
      <c r="EW176" s="48"/>
      <c r="EX176" s="48"/>
      <c r="EY176" s="48"/>
      <c r="EZ176" s="48"/>
      <c r="FA176" s="48"/>
      <c r="FB176" s="48"/>
      <c r="FC176" s="48"/>
      <c r="FD176" s="48"/>
      <c r="FE176" s="48"/>
      <c r="FF176" s="48"/>
      <c r="FG176" s="48"/>
      <c r="FH176" s="48"/>
      <c r="FI176" s="48"/>
      <c r="FJ176" s="48"/>
      <c r="FK176" s="48"/>
      <c r="FL176" s="48"/>
      <c r="FM176" s="48"/>
      <c r="FN176" s="48"/>
      <c r="FO176" s="48"/>
      <c r="FP176" s="48"/>
      <c r="FQ176" s="48"/>
      <c r="FR176" s="48"/>
      <c r="FS176" s="48"/>
      <c r="FT176" s="48"/>
      <c r="FU176" s="48"/>
      <c r="FV176" s="48"/>
      <c r="FW176" s="48"/>
      <c r="FX176" s="48"/>
      <c r="FY176" s="48"/>
      <c r="FZ176" s="48"/>
      <c r="GA176" s="48"/>
      <c r="GB176" s="48"/>
      <c r="GC176" s="48"/>
      <c r="GD176" s="48"/>
      <c r="GE176" s="48"/>
      <c r="GF176" s="48"/>
      <c r="GG176" s="48"/>
      <c r="GH176" s="48"/>
      <c r="GI176" s="48"/>
      <c r="GJ176" s="48"/>
      <c r="GK176" s="48"/>
      <c r="GL176" s="48"/>
      <c r="GM176" s="48"/>
      <c r="GN176" s="48"/>
      <c r="GO176" s="48"/>
      <c r="GP176" s="48"/>
      <c r="GQ176" s="48"/>
      <c r="GR176" s="48"/>
      <c r="GS176" s="48"/>
      <c r="GT176" s="48"/>
      <c r="GU176" s="48"/>
      <c r="GV176" s="48"/>
      <c r="GW176" s="48"/>
      <c r="GX176" s="48"/>
      <c r="GY176" s="48"/>
      <c r="GZ176" s="48"/>
      <c r="HA176" s="48"/>
      <c r="HB176" s="48"/>
    </row>
    <row r="177" spans="1:210" ht="15.75" customHeight="1">
      <c r="A177" s="5"/>
      <c r="B177" s="5"/>
      <c r="C177" s="5"/>
      <c r="D177" s="5"/>
      <c r="E177" s="5"/>
      <c r="F177" s="5"/>
      <c r="G177" s="49"/>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48"/>
      <c r="CQ177" s="48"/>
      <c r="CR177" s="48"/>
      <c r="CS177" s="48"/>
      <c r="CT177" s="48"/>
      <c r="CU177" s="48"/>
      <c r="CV177" s="48"/>
      <c r="CW177" s="48"/>
      <c r="CX177" s="48"/>
      <c r="CY177" s="48"/>
      <c r="CZ177" s="48"/>
      <c r="DA177" s="48"/>
      <c r="DB177" s="48"/>
      <c r="DC177" s="48"/>
      <c r="DD177" s="48"/>
      <c r="DE177" s="48"/>
      <c r="DF177" s="48"/>
      <c r="DG177" s="48"/>
      <c r="DH177" s="48"/>
      <c r="DI177" s="48"/>
      <c r="DJ177" s="48"/>
      <c r="DK177" s="48"/>
      <c r="DL177" s="48"/>
      <c r="DM177" s="48"/>
      <c r="DN177" s="48"/>
      <c r="DO177" s="48"/>
      <c r="DP177" s="48"/>
      <c r="DQ177" s="48"/>
      <c r="DR177" s="48"/>
      <c r="DS177" s="48"/>
      <c r="DT177" s="48"/>
      <c r="DU177" s="48"/>
      <c r="DV177" s="48"/>
      <c r="DW177" s="48"/>
      <c r="DX177" s="48"/>
      <c r="DY177" s="48"/>
      <c r="DZ177" s="48"/>
      <c r="EA177" s="48"/>
      <c r="EB177" s="48"/>
      <c r="EC177" s="48"/>
      <c r="ED177" s="48"/>
      <c r="EE177" s="48"/>
      <c r="EF177" s="48"/>
      <c r="EG177" s="48"/>
      <c r="EH177" s="48"/>
      <c r="EI177" s="48"/>
      <c r="EJ177" s="48"/>
      <c r="EK177" s="48"/>
      <c r="EL177" s="48"/>
      <c r="EM177" s="48"/>
      <c r="EN177" s="48"/>
      <c r="EO177" s="48"/>
      <c r="EP177" s="48"/>
      <c r="EQ177" s="48"/>
      <c r="ER177" s="48"/>
      <c r="ES177" s="48"/>
      <c r="ET177" s="48"/>
      <c r="EU177" s="48"/>
      <c r="EV177" s="48"/>
      <c r="EW177" s="48"/>
      <c r="EX177" s="48"/>
      <c r="EY177" s="48"/>
      <c r="EZ177" s="48"/>
      <c r="FA177" s="48"/>
      <c r="FB177" s="48"/>
      <c r="FC177" s="48"/>
      <c r="FD177" s="48"/>
      <c r="FE177" s="48"/>
      <c r="FF177" s="48"/>
      <c r="FG177" s="48"/>
      <c r="FH177" s="48"/>
      <c r="FI177" s="48"/>
      <c r="FJ177" s="48"/>
      <c r="FK177" s="48"/>
      <c r="FL177" s="48"/>
      <c r="FM177" s="48"/>
      <c r="FN177" s="48"/>
      <c r="FO177" s="48"/>
      <c r="FP177" s="48"/>
      <c r="FQ177" s="48"/>
      <c r="FR177" s="48"/>
      <c r="FS177" s="48"/>
      <c r="FT177" s="48"/>
      <c r="FU177" s="48"/>
      <c r="FV177" s="48"/>
      <c r="FW177" s="48"/>
      <c r="FX177" s="48"/>
      <c r="FY177" s="48"/>
      <c r="FZ177" s="48"/>
      <c r="GA177" s="48"/>
      <c r="GB177" s="48"/>
      <c r="GC177" s="48"/>
      <c r="GD177" s="48"/>
      <c r="GE177" s="48"/>
      <c r="GF177" s="48"/>
      <c r="GG177" s="48"/>
      <c r="GH177" s="48"/>
      <c r="GI177" s="48"/>
      <c r="GJ177" s="48"/>
      <c r="GK177" s="48"/>
      <c r="GL177" s="48"/>
      <c r="GM177" s="48"/>
      <c r="GN177" s="48"/>
      <c r="GO177" s="48"/>
      <c r="GP177" s="48"/>
      <c r="GQ177" s="48"/>
      <c r="GR177" s="48"/>
      <c r="GS177" s="48"/>
      <c r="GT177" s="48"/>
      <c r="GU177" s="48"/>
      <c r="GV177" s="48"/>
      <c r="GW177" s="48"/>
      <c r="GX177" s="48"/>
      <c r="GY177" s="48"/>
      <c r="GZ177" s="48"/>
      <c r="HA177" s="48"/>
      <c r="HB177" s="48"/>
    </row>
    <row r="178" spans="1:210" ht="15.75" customHeight="1">
      <c r="A178" s="5"/>
      <c r="B178" s="5"/>
      <c r="C178" s="5"/>
      <c r="D178" s="5"/>
      <c r="E178" s="5"/>
      <c r="F178" s="5"/>
      <c r="G178" s="49"/>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48"/>
      <c r="CQ178" s="48"/>
      <c r="CR178" s="48"/>
      <c r="CS178" s="48"/>
      <c r="CT178" s="48"/>
      <c r="CU178" s="48"/>
      <c r="CV178" s="48"/>
      <c r="CW178" s="48"/>
      <c r="CX178" s="48"/>
      <c r="CY178" s="48"/>
      <c r="CZ178" s="48"/>
      <c r="DA178" s="48"/>
      <c r="DB178" s="48"/>
      <c r="DC178" s="48"/>
      <c r="DD178" s="48"/>
      <c r="DE178" s="48"/>
      <c r="DF178" s="48"/>
      <c r="DG178" s="48"/>
      <c r="DH178" s="48"/>
      <c r="DI178" s="48"/>
      <c r="DJ178" s="48"/>
      <c r="DK178" s="48"/>
      <c r="DL178" s="48"/>
      <c r="DM178" s="48"/>
      <c r="DN178" s="48"/>
      <c r="DO178" s="48"/>
      <c r="DP178" s="48"/>
      <c r="DQ178" s="48"/>
      <c r="DR178" s="48"/>
      <c r="DS178" s="48"/>
      <c r="DT178" s="48"/>
      <c r="DU178" s="48"/>
      <c r="DV178" s="48"/>
      <c r="DW178" s="48"/>
      <c r="DX178" s="48"/>
      <c r="DY178" s="48"/>
      <c r="DZ178" s="48"/>
      <c r="EA178" s="48"/>
      <c r="EB178" s="48"/>
      <c r="EC178" s="48"/>
      <c r="ED178" s="48"/>
      <c r="EE178" s="48"/>
      <c r="EF178" s="48"/>
      <c r="EG178" s="48"/>
      <c r="EH178" s="48"/>
      <c r="EI178" s="48"/>
      <c r="EJ178" s="48"/>
      <c r="EK178" s="48"/>
      <c r="EL178" s="48"/>
      <c r="EM178" s="48"/>
      <c r="EN178" s="48"/>
      <c r="EO178" s="48"/>
      <c r="EP178" s="48"/>
      <c r="EQ178" s="48"/>
      <c r="ER178" s="48"/>
      <c r="ES178" s="48"/>
      <c r="ET178" s="48"/>
      <c r="EU178" s="48"/>
      <c r="EV178" s="48"/>
      <c r="EW178" s="48"/>
      <c r="EX178" s="48"/>
      <c r="EY178" s="48"/>
      <c r="EZ178" s="48"/>
      <c r="FA178" s="48"/>
      <c r="FB178" s="48"/>
      <c r="FC178" s="48"/>
      <c r="FD178" s="48"/>
      <c r="FE178" s="48"/>
      <c r="FF178" s="48"/>
      <c r="FG178" s="48"/>
      <c r="FH178" s="48"/>
      <c r="FI178" s="48"/>
      <c r="FJ178" s="48"/>
      <c r="FK178" s="48"/>
      <c r="FL178" s="48"/>
      <c r="FM178" s="48"/>
      <c r="FN178" s="48"/>
      <c r="FO178" s="48"/>
      <c r="FP178" s="48"/>
      <c r="FQ178" s="48"/>
      <c r="FR178" s="48"/>
      <c r="FS178" s="48"/>
      <c r="FT178" s="48"/>
      <c r="FU178" s="48"/>
      <c r="FV178" s="48"/>
      <c r="FW178" s="48"/>
      <c r="FX178" s="48"/>
      <c r="FY178" s="48"/>
      <c r="FZ178" s="48"/>
      <c r="GA178" s="48"/>
      <c r="GB178" s="48"/>
      <c r="GC178" s="48"/>
      <c r="GD178" s="48"/>
      <c r="GE178" s="48"/>
      <c r="GF178" s="48"/>
      <c r="GG178" s="48"/>
      <c r="GH178" s="48"/>
      <c r="GI178" s="48"/>
      <c r="GJ178" s="48"/>
      <c r="GK178" s="48"/>
      <c r="GL178" s="48"/>
      <c r="GM178" s="48"/>
      <c r="GN178" s="48"/>
      <c r="GO178" s="48"/>
      <c r="GP178" s="48"/>
      <c r="GQ178" s="48"/>
      <c r="GR178" s="48"/>
      <c r="GS178" s="48"/>
      <c r="GT178" s="48"/>
      <c r="GU178" s="48"/>
      <c r="GV178" s="48"/>
      <c r="GW178" s="48"/>
      <c r="GX178" s="48"/>
      <c r="GY178" s="48"/>
      <c r="GZ178" s="48"/>
      <c r="HA178" s="48"/>
      <c r="HB178" s="48"/>
    </row>
    <row r="179" spans="1:210" ht="15.75" customHeight="1">
      <c r="A179" s="5"/>
      <c r="B179" s="5"/>
      <c r="C179" s="5"/>
      <c r="D179" s="5"/>
      <c r="E179" s="5"/>
      <c r="F179" s="5"/>
      <c r="G179" s="49"/>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48"/>
      <c r="CQ179" s="48"/>
      <c r="CR179" s="48"/>
      <c r="CS179" s="48"/>
      <c r="CT179" s="48"/>
      <c r="CU179" s="48"/>
      <c r="CV179" s="48"/>
      <c r="CW179" s="48"/>
      <c r="CX179" s="48"/>
      <c r="CY179" s="48"/>
      <c r="CZ179" s="48"/>
      <c r="DA179" s="48"/>
      <c r="DB179" s="48"/>
      <c r="DC179" s="48"/>
      <c r="DD179" s="48"/>
      <c r="DE179" s="48"/>
      <c r="DF179" s="48"/>
      <c r="DG179" s="48"/>
      <c r="DH179" s="48"/>
      <c r="DI179" s="48"/>
      <c r="DJ179" s="48"/>
      <c r="DK179" s="48"/>
      <c r="DL179" s="48"/>
      <c r="DM179" s="48"/>
      <c r="DN179" s="48"/>
      <c r="DO179" s="48"/>
      <c r="DP179" s="48"/>
      <c r="DQ179" s="48"/>
      <c r="DR179" s="48"/>
      <c r="DS179" s="48"/>
      <c r="DT179" s="48"/>
      <c r="DU179" s="48"/>
      <c r="DV179" s="48"/>
      <c r="DW179" s="48"/>
      <c r="DX179" s="48"/>
      <c r="DY179" s="48"/>
      <c r="DZ179" s="48"/>
      <c r="EA179" s="48"/>
      <c r="EB179" s="48"/>
      <c r="EC179" s="48"/>
      <c r="ED179" s="48"/>
      <c r="EE179" s="48"/>
      <c r="EF179" s="48"/>
      <c r="EG179" s="48"/>
      <c r="EH179" s="48"/>
      <c r="EI179" s="48"/>
      <c r="EJ179" s="48"/>
      <c r="EK179" s="48"/>
      <c r="EL179" s="48"/>
      <c r="EM179" s="48"/>
      <c r="EN179" s="48"/>
      <c r="EO179" s="48"/>
      <c r="EP179" s="48"/>
      <c r="EQ179" s="48"/>
      <c r="ER179" s="48"/>
      <c r="ES179" s="48"/>
      <c r="ET179" s="48"/>
      <c r="EU179" s="48"/>
      <c r="EV179" s="48"/>
      <c r="EW179" s="48"/>
      <c r="EX179" s="48"/>
      <c r="EY179" s="48"/>
      <c r="EZ179" s="48"/>
      <c r="FA179" s="48"/>
      <c r="FB179" s="48"/>
      <c r="FC179" s="48"/>
      <c r="FD179" s="48"/>
      <c r="FE179" s="48"/>
      <c r="FF179" s="48"/>
      <c r="FG179" s="48"/>
      <c r="FH179" s="48"/>
      <c r="FI179" s="48"/>
      <c r="FJ179" s="48"/>
      <c r="FK179" s="48"/>
      <c r="FL179" s="48"/>
      <c r="FM179" s="48"/>
      <c r="FN179" s="48"/>
      <c r="FO179" s="48"/>
      <c r="FP179" s="48"/>
      <c r="FQ179" s="48"/>
      <c r="FR179" s="48"/>
      <c r="FS179" s="48"/>
      <c r="FT179" s="48"/>
      <c r="FU179" s="48"/>
      <c r="FV179" s="48"/>
      <c r="FW179" s="48"/>
      <c r="FX179" s="48"/>
      <c r="FY179" s="48"/>
      <c r="FZ179" s="48"/>
      <c r="GA179" s="48"/>
      <c r="GB179" s="48"/>
      <c r="GC179" s="48"/>
      <c r="GD179" s="48"/>
      <c r="GE179" s="48"/>
      <c r="GF179" s="48"/>
      <c r="GG179" s="48"/>
      <c r="GH179" s="48"/>
      <c r="GI179" s="48"/>
      <c r="GJ179" s="48"/>
      <c r="GK179" s="48"/>
      <c r="GL179" s="48"/>
      <c r="GM179" s="48"/>
      <c r="GN179" s="48"/>
      <c r="GO179" s="48"/>
      <c r="GP179" s="48"/>
      <c r="GQ179" s="48"/>
      <c r="GR179" s="48"/>
      <c r="GS179" s="48"/>
      <c r="GT179" s="48"/>
      <c r="GU179" s="48"/>
      <c r="GV179" s="48"/>
      <c r="GW179" s="48"/>
      <c r="GX179" s="48"/>
      <c r="GY179" s="48"/>
      <c r="GZ179" s="48"/>
      <c r="HA179" s="48"/>
      <c r="HB179" s="48"/>
    </row>
    <row r="180" spans="1:210" ht="15.75" customHeight="1">
      <c r="A180" s="5"/>
      <c r="B180" s="5"/>
      <c r="C180" s="5"/>
      <c r="D180" s="5"/>
      <c r="E180" s="5"/>
      <c r="F180" s="5"/>
      <c r="G180" s="49"/>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48"/>
      <c r="CQ180" s="48"/>
      <c r="CR180" s="48"/>
      <c r="CS180" s="48"/>
      <c r="CT180" s="48"/>
      <c r="CU180" s="48"/>
      <c r="CV180" s="48"/>
      <c r="CW180" s="48"/>
      <c r="CX180" s="48"/>
      <c r="CY180" s="48"/>
      <c r="CZ180" s="48"/>
      <c r="DA180" s="48"/>
      <c r="DB180" s="48"/>
      <c r="DC180" s="48"/>
      <c r="DD180" s="48"/>
      <c r="DE180" s="48"/>
      <c r="DF180" s="48"/>
      <c r="DG180" s="48"/>
      <c r="DH180" s="48"/>
      <c r="DI180" s="48"/>
      <c r="DJ180" s="48"/>
      <c r="DK180" s="48"/>
      <c r="DL180" s="48"/>
      <c r="DM180" s="48"/>
      <c r="DN180" s="48"/>
      <c r="DO180" s="48"/>
      <c r="DP180" s="48"/>
      <c r="DQ180" s="48"/>
      <c r="DR180" s="48"/>
      <c r="DS180" s="48"/>
      <c r="DT180" s="48"/>
      <c r="DU180" s="48"/>
      <c r="DV180" s="48"/>
      <c r="DW180" s="48"/>
      <c r="DX180" s="48"/>
      <c r="DY180" s="48"/>
      <c r="DZ180" s="48"/>
      <c r="EA180" s="48"/>
      <c r="EB180" s="48"/>
      <c r="EC180" s="48"/>
      <c r="ED180" s="48"/>
      <c r="EE180" s="48"/>
      <c r="EF180" s="48"/>
      <c r="EG180" s="48"/>
      <c r="EH180" s="48"/>
      <c r="EI180" s="48"/>
      <c r="EJ180" s="48"/>
      <c r="EK180" s="48"/>
      <c r="EL180" s="48"/>
      <c r="EM180" s="48"/>
      <c r="EN180" s="48"/>
      <c r="EO180" s="48"/>
      <c r="EP180" s="48"/>
      <c r="EQ180" s="48"/>
      <c r="ER180" s="48"/>
      <c r="ES180" s="48"/>
      <c r="ET180" s="48"/>
      <c r="EU180" s="48"/>
      <c r="EV180" s="48"/>
      <c r="EW180" s="48"/>
      <c r="EX180" s="48"/>
      <c r="EY180" s="48"/>
      <c r="EZ180" s="48"/>
      <c r="FA180" s="48"/>
      <c r="FB180" s="48"/>
      <c r="FC180" s="48"/>
      <c r="FD180" s="48"/>
      <c r="FE180" s="48"/>
      <c r="FF180" s="48"/>
      <c r="FG180" s="48"/>
      <c r="FH180" s="48"/>
      <c r="FI180" s="48"/>
      <c r="FJ180" s="48"/>
      <c r="FK180" s="48"/>
      <c r="FL180" s="48"/>
      <c r="FM180" s="48"/>
      <c r="FN180" s="48"/>
      <c r="FO180" s="48"/>
      <c r="FP180" s="48"/>
      <c r="FQ180" s="48"/>
      <c r="FR180" s="48"/>
      <c r="FS180" s="48"/>
      <c r="FT180" s="48"/>
      <c r="FU180" s="48"/>
      <c r="FV180" s="48"/>
      <c r="FW180" s="48"/>
      <c r="FX180" s="48"/>
      <c r="FY180" s="48"/>
      <c r="FZ180" s="48"/>
      <c r="GA180" s="48"/>
      <c r="GB180" s="48"/>
      <c r="GC180" s="48"/>
      <c r="GD180" s="48"/>
      <c r="GE180" s="48"/>
      <c r="GF180" s="48"/>
      <c r="GG180" s="48"/>
      <c r="GH180" s="48"/>
      <c r="GI180" s="48"/>
      <c r="GJ180" s="48"/>
      <c r="GK180" s="48"/>
      <c r="GL180" s="48"/>
      <c r="GM180" s="48"/>
      <c r="GN180" s="48"/>
      <c r="GO180" s="48"/>
      <c r="GP180" s="48"/>
      <c r="GQ180" s="48"/>
      <c r="GR180" s="48"/>
      <c r="GS180" s="48"/>
      <c r="GT180" s="48"/>
      <c r="GU180" s="48"/>
      <c r="GV180" s="48"/>
      <c r="GW180" s="48"/>
      <c r="GX180" s="48"/>
      <c r="GY180" s="48"/>
      <c r="GZ180" s="48"/>
      <c r="HA180" s="48"/>
      <c r="HB180" s="48"/>
    </row>
    <row r="181" spans="1:210" ht="15.75" customHeight="1">
      <c r="A181" s="5"/>
      <c r="B181" s="5"/>
      <c r="C181" s="5"/>
      <c r="D181" s="5"/>
      <c r="E181" s="5"/>
      <c r="F181" s="5"/>
      <c r="G181" s="49"/>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48"/>
      <c r="CQ181" s="48"/>
      <c r="CR181" s="48"/>
      <c r="CS181" s="48"/>
      <c r="CT181" s="48"/>
      <c r="CU181" s="48"/>
      <c r="CV181" s="48"/>
      <c r="CW181" s="48"/>
      <c r="CX181" s="48"/>
      <c r="CY181" s="48"/>
      <c r="CZ181" s="48"/>
      <c r="DA181" s="48"/>
      <c r="DB181" s="48"/>
      <c r="DC181" s="48"/>
      <c r="DD181" s="48"/>
      <c r="DE181" s="48"/>
      <c r="DF181" s="48"/>
      <c r="DG181" s="48"/>
      <c r="DH181" s="48"/>
      <c r="DI181" s="48"/>
      <c r="DJ181" s="48"/>
      <c r="DK181" s="48"/>
      <c r="DL181" s="48"/>
      <c r="DM181" s="48"/>
      <c r="DN181" s="48"/>
      <c r="DO181" s="48"/>
      <c r="DP181" s="48"/>
      <c r="DQ181" s="48"/>
      <c r="DR181" s="48"/>
      <c r="DS181" s="48"/>
      <c r="DT181" s="48"/>
      <c r="DU181" s="48"/>
      <c r="DV181" s="48"/>
      <c r="DW181" s="48"/>
      <c r="DX181" s="48"/>
      <c r="DY181" s="48"/>
      <c r="DZ181" s="48"/>
      <c r="EA181" s="48"/>
      <c r="EB181" s="48"/>
      <c r="EC181" s="48"/>
      <c r="ED181" s="48"/>
      <c r="EE181" s="48"/>
      <c r="EF181" s="48"/>
      <c r="EG181" s="48"/>
      <c r="EH181" s="48"/>
      <c r="EI181" s="48"/>
      <c r="EJ181" s="48"/>
      <c r="EK181" s="48"/>
      <c r="EL181" s="48"/>
      <c r="EM181" s="48"/>
      <c r="EN181" s="48"/>
      <c r="EO181" s="48"/>
      <c r="EP181" s="48"/>
      <c r="EQ181" s="48"/>
      <c r="ER181" s="48"/>
      <c r="ES181" s="48"/>
      <c r="ET181" s="48"/>
      <c r="EU181" s="48"/>
      <c r="EV181" s="48"/>
      <c r="EW181" s="48"/>
      <c r="EX181" s="48"/>
      <c r="EY181" s="48"/>
      <c r="EZ181" s="48"/>
      <c r="FA181" s="48"/>
      <c r="FB181" s="48"/>
      <c r="FC181" s="48"/>
      <c r="FD181" s="48"/>
      <c r="FE181" s="48"/>
      <c r="FF181" s="48"/>
      <c r="FG181" s="48"/>
      <c r="FH181" s="48"/>
      <c r="FI181" s="48"/>
      <c r="FJ181" s="48"/>
      <c r="FK181" s="48"/>
      <c r="FL181" s="48"/>
      <c r="FM181" s="48"/>
      <c r="FN181" s="48"/>
      <c r="FO181" s="48"/>
      <c r="FP181" s="48"/>
      <c r="FQ181" s="48"/>
      <c r="FR181" s="48"/>
      <c r="FS181" s="48"/>
      <c r="FT181" s="48"/>
      <c r="FU181" s="48"/>
      <c r="FV181" s="48"/>
      <c r="FW181" s="48"/>
      <c r="FX181" s="48"/>
      <c r="FY181" s="48"/>
      <c r="FZ181" s="48"/>
      <c r="GA181" s="48"/>
      <c r="GB181" s="48"/>
      <c r="GC181" s="48"/>
      <c r="GD181" s="48"/>
      <c r="GE181" s="48"/>
      <c r="GF181" s="48"/>
      <c r="GG181" s="48"/>
      <c r="GH181" s="48"/>
      <c r="GI181" s="48"/>
      <c r="GJ181" s="48"/>
      <c r="GK181" s="48"/>
      <c r="GL181" s="48"/>
      <c r="GM181" s="48"/>
      <c r="GN181" s="48"/>
      <c r="GO181" s="48"/>
      <c r="GP181" s="48"/>
      <c r="GQ181" s="48"/>
      <c r="GR181" s="48"/>
      <c r="GS181" s="48"/>
      <c r="GT181" s="48"/>
      <c r="GU181" s="48"/>
      <c r="GV181" s="48"/>
      <c r="GW181" s="48"/>
      <c r="GX181" s="48"/>
      <c r="GY181" s="48"/>
      <c r="GZ181" s="48"/>
      <c r="HA181" s="48"/>
      <c r="HB181" s="48"/>
    </row>
    <row r="182" spans="1:210" ht="15.75" customHeight="1">
      <c r="A182" s="5"/>
      <c r="B182" s="5"/>
      <c r="C182" s="5"/>
      <c r="D182" s="5"/>
      <c r="E182" s="5"/>
      <c r="F182" s="5"/>
      <c r="G182" s="49"/>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48"/>
      <c r="CQ182" s="48"/>
      <c r="CR182" s="48"/>
      <c r="CS182" s="48"/>
      <c r="CT182" s="48"/>
      <c r="CU182" s="48"/>
      <c r="CV182" s="48"/>
      <c r="CW182" s="48"/>
      <c r="CX182" s="48"/>
      <c r="CY182" s="48"/>
      <c r="CZ182" s="48"/>
      <c r="DA182" s="48"/>
      <c r="DB182" s="48"/>
      <c r="DC182" s="48"/>
      <c r="DD182" s="48"/>
      <c r="DE182" s="48"/>
      <c r="DF182" s="48"/>
      <c r="DG182" s="48"/>
      <c r="DH182" s="48"/>
      <c r="DI182" s="48"/>
      <c r="DJ182" s="48"/>
      <c r="DK182" s="48"/>
      <c r="DL182" s="48"/>
      <c r="DM182" s="48"/>
      <c r="DN182" s="48"/>
      <c r="DO182" s="48"/>
      <c r="DP182" s="48"/>
      <c r="DQ182" s="48"/>
      <c r="DR182" s="48"/>
      <c r="DS182" s="48"/>
      <c r="DT182" s="48"/>
      <c r="DU182" s="48"/>
      <c r="DV182" s="48"/>
      <c r="DW182" s="48"/>
      <c r="DX182" s="48"/>
      <c r="DY182" s="48"/>
      <c r="DZ182" s="48"/>
      <c r="EA182" s="48"/>
      <c r="EB182" s="48"/>
      <c r="EC182" s="48"/>
      <c r="ED182" s="48"/>
      <c r="EE182" s="48"/>
      <c r="EF182" s="48"/>
      <c r="EG182" s="48"/>
      <c r="EH182" s="48"/>
      <c r="EI182" s="48"/>
      <c r="EJ182" s="48"/>
      <c r="EK182" s="48"/>
      <c r="EL182" s="48"/>
      <c r="EM182" s="48"/>
      <c r="EN182" s="48"/>
      <c r="EO182" s="48"/>
      <c r="EP182" s="48"/>
      <c r="EQ182" s="48"/>
      <c r="ER182" s="48"/>
      <c r="ES182" s="48"/>
      <c r="ET182" s="48"/>
      <c r="EU182" s="48"/>
      <c r="EV182" s="48"/>
      <c r="EW182" s="48"/>
      <c r="EX182" s="48"/>
      <c r="EY182" s="48"/>
      <c r="EZ182" s="48"/>
      <c r="FA182" s="48"/>
      <c r="FB182" s="48"/>
      <c r="FC182" s="48"/>
      <c r="FD182" s="48"/>
      <c r="FE182" s="48"/>
      <c r="FF182" s="48"/>
      <c r="FG182" s="48"/>
      <c r="FH182" s="48"/>
      <c r="FI182" s="48"/>
      <c r="FJ182" s="48"/>
      <c r="FK182" s="48"/>
      <c r="FL182" s="48"/>
      <c r="FM182" s="48"/>
      <c r="FN182" s="48"/>
      <c r="FO182" s="48"/>
      <c r="FP182" s="48"/>
      <c r="FQ182" s="48"/>
      <c r="FR182" s="48"/>
      <c r="FS182" s="48"/>
      <c r="FT182" s="48"/>
      <c r="FU182" s="48"/>
      <c r="FV182" s="48"/>
      <c r="FW182" s="48"/>
      <c r="FX182" s="48"/>
      <c r="FY182" s="48"/>
      <c r="FZ182" s="48"/>
      <c r="GA182" s="48"/>
      <c r="GB182" s="48"/>
      <c r="GC182" s="48"/>
      <c r="GD182" s="48"/>
      <c r="GE182" s="48"/>
      <c r="GF182" s="48"/>
      <c r="GG182" s="48"/>
      <c r="GH182" s="48"/>
      <c r="GI182" s="48"/>
      <c r="GJ182" s="48"/>
      <c r="GK182" s="48"/>
      <c r="GL182" s="48"/>
      <c r="GM182" s="48"/>
      <c r="GN182" s="48"/>
      <c r="GO182" s="48"/>
      <c r="GP182" s="48"/>
      <c r="GQ182" s="48"/>
      <c r="GR182" s="48"/>
      <c r="GS182" s="48"/>
      <c r="GT182" s="48"/>
      <c r="GU182" s="48"/>
      <c r="GV182" s="48"/>
      <c r="GW182" s="48"/>
      <c r="GX182" s="48"/>
      <c r="GY182" s="48"/>
      <c r="GZ182" s="48"/>
      <c r="HA182" s="48"/>
      <c r="HB182" s="48"/>
    </row>
    <row r="183" spans="1:210" ht="15.75" customHeight="1">
      <c r="A183" s="5"/>
      <c r="B183" s="5"/>
      <c r="C183" s="5"/>
      <c r="D183" s="5"/>
      <c r="E183" s="5"/>
      <c r="F183" s="5"/>
      <c r="G183" s="49"/>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48"/>
      <c r="CQ183" s="48"/>
      <c r="CR183" s="48"/>
      <c r="CS183" s="48"/>
      <c r="CT183" s="48"/>
      <c r="CU183" s="48"/>
      <c r="CV183" s="48"/>
      <c r="CW183" s="48"/>
      <c r="CX183" s="48"/>
      <c r="CY183" s="48"/>
      <c r="CZ183" s="48"/>
      <c r="DA183" s="48"/>
      <c r="DB183" s="48"/>
      <c r="DC183" s="48"/>
      <c r="DD183" s="48"/>
      <c r="DE183" s="48"/>
      <c r="DF183" s="48"/>
      <c r="DG183" s="48"/>
      <c r="DH183" s="48"/>
      <c r="DI183" s="48"/>
      <c r="DJ183" s="48"/>
      <c r="DK183" s="48"/>
      <c r="DL183" s="48"/>
      <c r="DM183" s="48"/>
      <c r="DN183" s="48"/>
      <c r="DO183" s="48"/>
      <c r="DP183" s="48"/>
      <c r="DQ183" s="48"/>
      <c r="DR183" s="48"/>
      <c r="DS183" s="48"/>
      <c r="DT183" s="48"/>
      <c r="DU183" s="48"/>
      <c r="DV183" s="48"/>
      <c r="DW183" s="48"/>
      <c r="DX183" s="48"/>
      <c r="DY183" s="48"/>
      <c r="DZ183" s="48"/>
      <c r="EA183" s="48"/>
      <c r="EB183" s="48"/>
      <c r="EC183" s="48"/>
      <c r="ED183" s="48"/>
      <c r="EE183" s="48"/>
      <c r="EF183" s="48"/>
      <c r="EG183" s="48"/>
      <c r="EH183" s="48"/>
      <c r="EI183" s="48"/>
      <c r="EJ183" s="48"/>
      <c r="EK183" s="48"/>
      <c r="EL183" s="48"/>
      <c r="EM183" s="48"/>
      <c r="EN183" s="48"/>
      <c r="EO183" s="48"/>
      <c r="EP183" s="48"/>
      <c r="EQ183" s="48"/>
      <c r="ER183" s="48"/>
      <c r="ES183" s="48"/>
      <c r="ET183" s="48"/>
      <c r="EU183" s="48"/>
      <c r="EV183" s="48"/>
      <c r="EW183" s="48"/>
      <c r="EX183" s="48"/>
      <c r="EY183" s="48"/>
      <c r="EZ183" s="48"/>
      <c r="FA183" s="48"/>
      <c r="FB183" s="48"/>
      <c r="FC183" s="48"/>
      <c r="FD183" s="48"/>
      <c r="FE183" s="48"/>
      <c r="FF183" s="48"/>
      <c r="FG183" s="48"/>
      <c r="FH183" s="48"/>
      <c r="FI183" s="48"/>
      <c r="FJ183" s="48"/>
      <c r="FK183" s="48"/>
      <c r="FL183" s="48"/>
      <c r="FM183" s="48"/>
      <c r="FN183" s="48"/>
      <c r="FO183" s="48"/>
      <c r="FP183" s="48"/>
      <c r="FQ183" s="48"/>
      <c r="FR183" s="48"/>
      <c r="FS183" s="48"/>
      <c r="FT183" s="48"/>
      <c r="FU183" s="48"/>
      <c r="FV183" s="48"/>
      <c r="FW183" s="48"/>
      <c r="FX183" s="48"/>
      <c r="FY183" s="48"/>
      <c r="FZ183" s="48"/>
      <c r="GA183" s="48"/>
      <c r="GB183" s="48"/>
      <c r="GC183" s="48"/>
      <c r="GD183" s="48"/>
      <c r="GE183" s="48"/>
      <c r="GF183" s="48"/>
      <c r="GG183" s="48"/>
      <c r="GH183" s="48"/>
      <c r="GI183" s="48"/>
      <c r="GJ183" s="48"/>
      <c r="GK183" s="48"/>
      <c r="GL183" s="48"/>
      <c r="GM183" s="48"/>
      <c r="GN183" s="48"/>
      <c r="GO183" s="48"/>
      <c r="GP183" s="48"/>
      <c r="GQ183" s="48"/>
      <c r="GR183" s="48"/>
      <c r="GS183" s="48"/>
      <c r="GT183" s="48"/>
      <c r="GU183" s="48"/>
      <c r="GV183" s="48"/>
      <c r="GW183" s="48"/>
      <c r="GX183" s="48"/>
      <c r="GY183" s="48"/>
      <c r="GZ183" s="48"/>
      <c r="HA183" s="48"/>
      <c r="HB183" s="48"/>
    </row>
    <row r="184" spans="1:210" ht="15.75" customHeight="1">
      <c r="A184" s="5"/>
      <c r="B184" s="5"/>
      <c r="C184" s="5"/>
      <c r="D184" s="5"/>
      <c r="E184" s="5"/>
      <c r="F184" s="5"/>
      <c r="G184" s="49"/>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48"/>
      <c r="CQ184" s="48"/>
      <c r="CR184" s="48"/>
      <c r="CS184" s="48"/>
      <c r="CT184" s="48"/>
      <c r="CU184" s="48"/>
      <c r="CV184" s="48"/>
      <c r="CW184" s="48"/>
      <c r="CX184" s="48"/>
      <c r="CY184" s="48"/>
      <c r="CZ184" s="48"/>
      <c r="DA184" s="48"/>
      <c r="DB184" s="48"/>
      <c r="DC184" s="48"/>
      <c r="DD184" s="48"/>
      <c r="DE184" s="48"/>
      <c r="DF184" s="48"/>
      <c r="DG184" s="48"/>
      <c r="DH184" s="48"/>
      <c r="DI184" s="48"/>
      <c r="DJ184" s="48"/>
      <c r="DK184" s="48"/>
      <c r="DL184" s="48"/>
      <c r="DM184" s="48"/>
      <c r="DN184" s="48"/>
      <c r="DO184" s="48"/>
      <c r="DP184" s="48"/>
      <c r="DQ184" s="48"/>
      <c r="DR184" s="48"/>
      <c r="DS184" s="48"/>
      <c r="DT184" s="48"/>
      <c r="DU184" s="48"/>
      <c r="DV184" s="48"/>
      <c r="DW184" s="48"/>
      <c r="DX184" s="48"/>
      <c r="DY184" s="48"/>
      <c r="DZ184" s="48"/>
      <c r="EA184" s="48"/>
      <c r="EB184" s="48"/>
      <c r="EC184" s="48"/>
      <c r="ED184" s="48"/>
      <c r="EE184" s="48"/>
      <c r="EF184" s="48"/>
      <c r="EG184" s="48"/>
      <c r="EH184" s="48"/>
      <c r="EI184" s="48"/>
      <c r="EJ184" s="48"/>
      <c r="EK184" s="48"/>
      <c r="EL184" s="48"/>
      <c r="EM184" s="48"/>
      <c r="EN184" s="48"/>
      <c r="EO184" s="48"/>
      <c r="EP184" s="48"/>
      <c r="EQ184" s="48"/>
      <c r="ER184" s="48"/>
      <c r="ES184" s="48"/>
      <c r="ET184" s="48"/>
      <c r="EU184" s="48"/>
      <c r="EV184" s="48"/>
      <c r="EW184" s="48"/>
      <c r="EX184" s="48"/>
      <c r="EY184" s="48"/>
      <c r="EZ184" s="48"/>
      <c r="FA184" s="48"/>
      <c r="FB184" s="48"/>
      <c r="FC184" s="48"/>
      <c r="FD184" s="48"/>
      <c r="FE184" s="48"/>
      <c r="FF184" s="48"/>
      <c r="FG184" s="48"/>
      <c r="FH184" s="48"/>
      <c r="FI184" s="48"/>
      <c r="FJ184" s="48"/>
      <c r="FK184" s="48"/>
      <c r="FL184" s="48"/>
      <c r="FM184" s="48"/>
      <c r="FN184" s="48"/>
      <c r="FO184" s="48"/>
      <c r="FP184" s="48"/>
      <c r="FQ184" s="48"/>
      <c r="FR184" s="48"/>
      <c r="FS184" s="48"/>
      <c r="FT184" s="48"/>
      <c r="FU184" s="48"/>
      <c r="FV184" s="48"/>
      <c r="FW184" s="48"/>
      <c r="FX184" s="48"/>
      <c r="FY184" s="48"/>
      <c r="FZ184" s="48"/>
      <c r="GA184" s="48"/>
      <c r="GB184" s="48"/>
      <c r="GC184" s="48"/>
      <c r="GD184" s="48"/>
      <c r="GE184" s="48"/>
      <c r="GF184" s="48"/>
      <c r="GG184" s="48"/>
      <c r="GH184" s="48"/>
      <c r="GI184" s="48"/>
      <c r="GJ184" s="48"/>
      <c r="GK184" s="48"/>
      <c r="GL184" s="48"/>
      <c r="GM184" s="48"/>
      <c r="GN184" s="48"/>
      <c r="GO184" s="48"/>
      <c r="GP184" s="48"/>
      <c r="GQ184" s="48"/>
      <c r="GR184" s="48"/>
      <c r="GS184" s="48"/>
      <c r="GT184" s="48"/>
      <c r="GU184" s="48"/>
      <c r="GV184" s="48"/>
      <c r="GW184" s="48"/>
      <c r="GX184" s="48"/>
      <c r="GY184" s="48"/>
      <c r="GZ184" s="48"/>
      <c r="HA184" s="48"/>
      <c r="HB184" s="48"/>
    </row>
    <row r="185" spans="1:210" ht="15.75" customHeight="1">
      <c r="A185" s="5"/>
      <c r="B185" s="5"/>
      <c r="C185" s="5"/>
      <c r="D185" s="5"/>
      <c r="E185" s="5"/>
      <c r="F185" s="5"/>
      <c r="G185" s="49"/>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48"/>
      <c r="CQ185" s="48"/>
      <c r="CR185" s="48"/>
      <c r="CS185" s="48"/>
      <c r="CT185" s="48"/>
      <c r="CU185" s="48"/>
      <c r="CV185" s="48"/>
      <c r="CW185" s="48"/>
      <c r="CX185" s="48"/>
      <c r="CY185" s="48"/>
      <c r="CZ185" s="48"/>
      <c r="DA185" s="48"/>
      <c r="DB185" s="48"/>
      <c r="DC185" s="48"/>
      <c r="DD185" s="48"/>
      <c r="DE185" s="48"/>
      <c r="DF185" s="48"/>
      <c r="DG185" s="48"/>
      <c r="DH185" s="48"/>
      <c r="DI185" s="48"/>
      <c r="DJ185" s="48"/>
      <c r="DK185" s="48"/>
      <c r="DL185" s="48"/>
      <c r="DM185" s="48"/>
      <c r="DN185" s="48"/>
      <c r="DO185" s="48"/>
      <c r="DP185" s="48"/>
      <c r="DQ185" s="48"/>
      <c r="DR185" s="48"/>
      <c r="DS185" s="48"/>
      <c r="DT185" s="48"/>
      <c r="DU185" s="48"/>
      <c r="DV185" s="48"/>
      <c r="DW185" s="48"/>
      <c r="DX185" s="48"/>
      <c r="DY185" s="48"/>
      <c r="DZ185" s="48"/>
      <c r="EA185" s="48"/>
      <c r="EB185" s="48"/>
      <c r="EC185" s="48"/>
      <c r="ED185" s="48"/>
      <c r="EE185" s="48"/>
      <c r="EF185" s="48"/>
      <c r="EG185" s="48"/>
      <c r="EH185" s="48"/>
      <c r="EI185" s="48"/>
      <c r="EJ185" s="48"/>
      <c r="EK185" s="48"/>
      <c r="EL185" s="48"/>
      <c r="EM185" s="48"/>
      <c r="EN185" s="48"/>
      <c r="EO185" s="48"/>
      <c r="EP185" s="48"/>
      <c r="EQ185" s="48"/>
      <c r="ER185" s="48"/>
      <c r="ES185" s="48"/>
      <c r="ET185" s="48"/>
      <c r="EU185" s="48"/>
      <c r="EV185" s="48"/>
      <c r="EW185" s="48"/>
      <c r="EX185" s="48"/>
      <c r="EY185" s="48"/>
      <c r="EZ185" s="48"/>
      <c r="FA185" s="48"/>
      <c r="FB185" s="48"/>
      <c r="FC185" s="48"/>
      <c r="FD185" s="48"/>
      <c r="FE185" s="48"/>
      <c r="FF185" s="48"/>
      <c r="FG185" s="48"/>
      <c r="FH185" s="48"/>
      <c r="FI185" s="48"/>
      <c r="FJ185" s="48"/>
      <c r="FK185" s="48"/>
      <c r="FL185" s="48"/>
      <c r="FM185" s="48"/>
      <c r="FN185" s="48"/>
      <c r="FO185" s="48"/>
      <c r="FP185" s="48"/>
      <c r="FQ185" s="48"/>
      <c r="FR185" s="48"/>
      <c r="FS185" s="48"/>
      <c r="FT185" s="48"/>
      <c r="FU185" s="48"/>
      <c r="FV185" s="48"/>
      <c r="FW185" s="48"/>
      <c r="FX185" s="48"/>
      <c r="FY185" s="48"/>
      <c r="FZ185" s="48"/>
      <c r="GA185" s="48"/>
      <c r="GB185" s="48"/>
      <c r="GC185" s="48"/>
      <c r="GD185" s="48"/>
      <c r="GE185" s="48"/>
      <c r="GF185" s="48"/>
      <c r="GG185" s="48"/>
      <c r="GH185" s="48"/>
      <c r="GI185" s="48"/>
      <c r="GJ185" s="48"/>
      <c r="GK185" s="48"/>
      <c r="GL185" s="48"/>
      <c r="GM185" s="48"/>
      <c r="GN185" s="48"/>
      <c r="GO185" s="48"/>
      <c r="GP185" s="48"/>
      <c r="GQ185" s="48"/>
      <c r="GR185" s="48"/>
      <c r="GS185" s="48"/>
      <c r="GT185" s="48"/>
      <c r="GU185" s="48"/>
      <c r="GV185" s="48"/>
      <c r="GW185" s="48"/>
      <c r="GX185" s="48"/>
      <c r="GY185" s="48"/>
      <c r="GZ185" s="48"/>
      <c r="HA185" s="48"/>
      <c r="HB185" s="48"/>
    </row>
    <row r="186" spans="1:210" ht="15.75" customHeight="1">
      <c r="A186" s="5"/>
      <c r="B186" s="5"/>
      <c r="C186" s="5"/>
      <c r="D186" s="5"/>
      <c r="E186" s="5"/>
      <c r="F186" s="5"/>
      <c r="G186" s="49"/>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48"/>
      <c r="CQ186" s="48"/>
      <c r="CR186" s="48"/>
      <c r="CS186" s="48"/>
      <c r="CT186" s="48"/>
      <c r="CU186" s="48"/>
      <c r="CV186" s="48"/>
      <c r="CW186" s="48"/>
      <c r="CX186" s="48"/>
      <c r="CY186" s="48"/>
      <c r="CZ186" s="48"/>
      <c r="DA186" s="48"/>
      <c r="DB186" s="48"/>
      <c r="DC186" s="48"/>
      <c r="DD186" s="48"/>
      <c r="DE186" s="48"/>
      <c r="DF186" s="48"/>
      <c r="DG186" s="48"/>
      <c r="DH186" s="48"/>
      <c r="DI186" s="48"/>
      <c r="DJ186" s="48"/>
      <c r="DK186" s="48"/>
      <c r="DL186" s="48"/>
      <c r="DM186" s="48"/>
      <c r="DN186" s="48"/>
      <c r="DO186" s="48"/>
      <c r="DP186" s="48"/>
      <c r="DQ186" s="48"/>
      <c r="DR186" s="48"/>
      <c r="DS186" s="48"/>
      <c r="DT186" s="48"/>
      <c r="DU186" s="48"/>
      <c r="DV186" s="48"/>
      <c r="DW186" s="48"/>
      <c r="DX186" s="48"/>
      <c r="DY186" s="48"/>
      <c r="DZ186" s="48"/>
      <c r="EA186" s="48"/>
      <c r="EB186" s="48"/>
      <c r="EC186" s="48"/>
      <c r="ED186" s="48"/>
      <c r="EE186" s="48"/>
      <c r="EF186" s="48"/>
      <c r="EG186" s="48"/>
      <c r="EH186" s="48"/>
      <c r="EI186" s="48"/>
      <c r="EJ186" s="48"/>
      <c r="EK186" s="48"/>
      <c r="EL186" s="48"/>
      <c r="EM186" s="48"/>
      <c r="EN186" s="48"/>
      <c r="EO186" s="48"/>
      <c r="EP186" s="48"/>
      <c r="EQ186" s="48"/>
      <c r="ER186" s="48"/>
      <c r="ES186" s="48"/>
      <c r="ET186" s="48"/>
      <c r="EU186" s="48"/>
      <c r="EV186" s="48"/>
      <c r="EW186" s="48"/>
      <c r="EX186" s="48"/>
      <c r="EY186" s="48"/>
      <c r="EZ186" s="48"/>
      <c r="FA186" s="48"/>
      <c r="FB186" s="48"/>
      <c r="FC186" s="48"/>
      <c r="FD186" s="48"/>
      <c r="FE186" s="48"/>
      <c r="FF186" s="48"/>
      <c r="FG186" s="48"/>
      <c r="FH186" s="48"/>
      <c r="FI186" s="48"/>
      <c r="FJ186" s="48"/>
      <c r="FK186" s="48"/>
      <c r="FL186" s="48"/>
      <c r="FM186" s="48"/>
      <c r="FN186" s="48"/>
      <c r="FO186" s="48"/>
      <c r="FP186" s="48"/>
      <c r="FQ186" s="48"/>
      <c r="FR186" s="48"/>
      <c r="FS186" s="48"/>
      <c r="FT186" s="48"/>
      <c r="FU186" s="48"/>
      <c r="FV186" s="48"/>
      <c r="FW186" s="48"/>
      <c r="FX186" s="48"/>
      <c r="FY186" s="48"/>
      <c r="FZ186" s="48"/>
      <c r="GA186" s="48"/>
      <c r="GB186" s="48"/>
      <c r="GC186" s="48"/>
      <c r="GD186" s="48"/>
      <c r="GE186" s="48"/>
      <c r="GF186" s="48"/>
      <c r="GG186" s="48"/>
      <c r="GH186" s="48"/>
      <c r="GI186" s="48"/>
      <c r="GJ186" s="48"/>
      <c r="GK186" s="48"/>
      <c r="GL186" s="48"/>
      <c r="GM186" s="48"/>
      <c r="GN186" s="48"/>
      <c r="GO186" s="48"/>
      <c r="GP186" s="48"/>
      <c r="GQ186" s="48"/>
      <c r="GR186" s="48"/>
      <c r="GS186" s="48"/>
      <c r="GT186" s="48"/>
      <c r="GU186" s="48"/>
      <c r="GV186" s="48"/>
      <c r="GW186" s="48"/>
      <c r="GX186" s="48"/>
      <c r="GY186" s="48"/>
      <c r="GZ186" s="48"/>
      <c r="HA186" s="48"/>
      <c r="HB186" s="48"/>
    </row>
    <row r="187" spans="1:210" ht="15.75" customHeight="1">
      <c r="A187" s="5"/>
      <c r="B187" s="5"/>
      <c r="C187" s="5"/>
      <c r="D187" s="5"/>
      <c r="E187" s="5"/>
      <c r="F187" s="5"/>
      <c r="G187" s="49"/>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48"/>
      <c r="CQ187" s="48"/>
      <c r="CR187" s="48"/>
      <c r="CS187" s="48"/>
      <c r="CT187" s="48"/>
      <c r="CU187" s="48"/>
      <c r="CV187" s="48"/>
      <c r="CW187" s="48"/>
      <c r="CX187" s="48"/>
      <c r="CY187" s="48"/>
      <c r="CZ187" s="48"/>
      <c r="DA187" s="48"/>
      <c r="DB187" s="48"/>
      <c r="DC187" s="48"/>
      <c r="DD187" s="48"/>
      <c r="DE187" s="48"/>
      <c r="DF187" s="48"/>
      <c r="DG187" s="48"/>
      <c r="DH187" s="48"/>
      <c r="DI187" s="48"/>
      <c r="DJ187" s="48"/>
      <c r="DK187" s="48"/>
      <c r="DL187" s="48"/>
      <c r="DM187" s="48"/>
      <c r="DN187" s="48"/>
      <c r="DO187" s="48"/>
      <c r="DP187" s="48"/>
      <c r="DQ187" s="48"/>
      <c r="DR187" s="48"/>
      <c r="DS187" s="48"/>
      <c r="DT187" s="48"/>
      <c r="DU187" s="48"/>
      <c r="DV187" s="48"/>
      <c r="DW187" s="48"/>
      <c r="DX187" s="48"/>
      <c r="DY187" s="48"/>
      <c r="DZ187" s="48"/>
      <c r="EA187" s="48"/>
      <c r="EB187" s="48"/>
      <c r="EC187" s="48"/>
      <c r="ED187" s="48"/>
      <c r="EE187" s="48"/>
      <c r="EF187" s="48"/>
      <c r="EG187" s="48"/>
      <c r="EH187" s="48"/>
      <c r="EI187" s="48"/>
      <c r="EJ187" s="48"/>
      <c r="EK187" s="48"/>
      <c r="EL187" s="48"/>
      <c r="EM187" s="48"/>
      <c r="EN187" s="48"/>
      <c r="EO187" s="48"/>
      <c r="EP187" s="48"/>
      <c r="EQ187" s="48"/>
      <c r="ER187" s="48"/>
      <c r="ES187" s="48"/>
      <c r="ET187" s="48"/>
      <c r="EU187" s="48"/>
      <c r="EV187" s="48"/>
      <c r="EW187" s="48"/>
      <c r="EX187" s="48"/>
      <c r="EY187" s="48"/>
      <c r="EZ187" s="48"/>
      <c r="FA187" s="48"/>
      <c r="FB187" s="48"/>
      <c r="FC187" s="48"/>
      <c r="FD187" s="48"/>
      <c r="FE187" s="48"/>
      <c r="FF187" s="48"/>
      <c r="FG187" s="48"/>
      <c r="FH187" s="48"/>
      <c r="FI187" s="48"/>
      <c r="FJ187" s="48"/>
      <c r="FK187" s="48"/>
      <c r="FL187" s="48"/>
      <c r="FM187" s="48"/>
      <c r="FN187" s="48"/>
      <c r="FO187" s="48"/>
      <c r="FP187" s="48"/>
      <c r="FQ187" s="48"/>
      <c r="FR187" s="48"/>
      <c r="FS187" s="48"/>
      <c r="FT187" s="48"/>
      <c r="FU187" s="48"/>
      <c r="FV187" s="48"/>
      <c r="FW187" s="48"/>
      <c r="FX187" s="48"/>
      <c r="FY187" s="48"/>
      <c r="FZ187" s="48"/>
      <c r="GA187" s="48"/>
      <c r="GB187" s="48"/>
      <c r="GC187" s="48"/>
      <c r="GD187" s="48"/>
      <c r="GE187" s="48"/>
      <c r="GF187" s="48"/>
      <c r="GG187" s="48"/>
      <c r="GH187" s="48"/>
      <c r="GI187" s="48"/>
      <c r="GJ187" s="48"/>
      <c r="GK187" s="48"/>
      <c r="GL187" s="48"/>
      <c r="GM187" s="48"/>
      <c r="GN187" s="48"/>
      <c r="GO187" s="48"/>
      <c r="GP187" s="48"/>
      <c r="GQ187" s="48"/>
      <c r="GR187" s="48"/>
      <c r="GS187" s="48"/>
      <c r="GT187" s="48"/>
      <c r="GU187" s="48"/>
      <c r="GV187" s="48"/>
      <c r="GW187" s="48"/>
      <c r="GX187" s="48"/>
      <c r="GY187" s="48"/>
      <c r="GZ187" s="48"/>
      <c r="HA187" s="48"/>
      <c r="HB187" s="48"/>
    </row>
    <row r="188" spans="1:210" ht="15.75" customHeight="1">
      <c r="A188" s="5"/>
      <c r="B188" s="5"/>
      <c r="C188" s="5"/>
      <c r="D188" s="5"/>
      <c r="E188" s="5"/>
      <c r="F188" s="5"/>
      <c r="G188" s="49"/>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48"/>
      <c r="CQ188" s="48"/>
      <c r="CR188" s="48"/>
      <c r="CS188" s="48"/>
      <c r="CT188" s="48"/>
      <c r="CU188" s="48"/>
      <c r="CV188" s="48"/>
      <c r="CW188" s="48"/>
      <c r="CX188" s="48"/>
      <c r="CY188" s="48"/>
      <c r="CZ188" s="48"/>
      <c r="DA188" s="48"/>
      <c r="DB188" s="48"/>
      <c r="DC188" s="48"/>
      <c r="DD188" s="48"/>
      <c r="DE188" s="48"/>
      <c r="DF188" s="48"/>
      <c r="DG188" s="48"/>
      <c r="DH188" s="48"/>
      <c r="DI188" s="48"/>
      <c r="DJ188" s="48"/>
      <c r="DK188" s="48"/>
      <c r="DL188" s="48"/>
      <c r="DM188" s="48"/>
      <c r="DN188" s="48"/>
      <c r="DO188" s="48"/>
      <c r="DP188" s="48"/>
      <c r="DQ188" s="48"/>
      <c r="DR188" s="48"/>
      <c r="DS188" s="48"/>
      <c r="DT188" s="48"/>
      <c r="DU188" s="48"/>
      <c r="DV188" s="48"/>
      <c r="DW188" s="48"/>
      <c r="DX188" s="48"/>
      <c r="DY188" s="48"/>
      <c r="DZ188" s="48"/>
      <c r="EA188" s="48"/>
      <c r="EB188" s="48"/>
      <c r="EC188" s="48"/>
      <c r="ED188" s="48"/>
      <c r="EE188" s="48"/>
      <c r="EF188" s="48"/>
      <c r="EG188" s="48"/>
      <c r="EH188" s="48"/>
      <c r="EI188" s="48"/>
      <c r="EJ188" s="48"/>
      <c r="EK188" s="48"/>
      <c r="EL188" s="48"/>
      <c r="EM188" s="48"/>
      <c r="EN188" s="48"/>
      <c r="EO188" s="48"/>
      <c r="EP188" s="48"/>
      <c r="EQ188" s="48"/>
      <c r="ER188" s="48"/>
      <c r="ES188" s="48"/>
      <c r="ET188" s="48"/>
      <c r="EU188" s="48"/>
      <c r="EV188" s="48"/>
      <c r="EW188" s="48"/>
      <c r="EX188" s="48"/>
      <c r="EY188" s="48"/>
      <c r="EZ188" s="48"/>
      <c r="FA188" s="48"/>
      <c r="FB188" s="48"/>
      <c r="FC188" s="48"/>
      <c r="FD188" s="48"/>
      <c r="FE188" s="48"/>
      <c r="FF188" s="48"/>
      <c r="FG188" s="48"/>
      <c r="FH188" s="48"/>
      <c r="FI188" s="48"/>
      <c r="FJ188" s="48"/>
      <c r="FK188" s="48"/>
      <c r="FL188" s="48"/>
      <c r="FM188" s="48"/>
      <c r="FN188" s="48"/>
      <c r="FO188" s="48"/>
      <c r="FP188" s="48"/>
      <c r="FQ188" s="48"/>
      <c r="FR188" s="48"/>
      <c r="FS188" s="48"/>
      <c r="FT188" s="48"/>
      <c r="FU188" s="48"/>
      <c r="FV188" s="48"/>
      <c r="FW188" s="48"/>
      <c r="FX188" s="48"/>
      <c r="FY188" s="48"/>
      <c r="FZ188" s="48"/>
      <c r="GA188" s="48"/>
      <c r="GB188" s="48"/>
      <c r="GC188" s="48"/>
      <c r="GD188" s="48"/>
      <c r="GE188" s="48"/>
      <c r="GF188" s="48"/>
      <c r="GG188" s="48"/>
      <c r="GH188" s="48"/>
      <c r="GI188" s="48"/>
      <c r="GJ188" s="48"/>
      <c r="GK188" s="48"/>
      <c r="GL188" s="48"/>
      <c r="GM188" s="48"/>
      <c r="GN188" s="48"/>
      <c r="GO188" s="48"/>
      <c r="GP188" s="48"/>
      <c r="GQ188" s="48"/>
      <c r="GR188" s="48"/>
      <c r="GS188" s="48"/>
      <c r="GT188" s="48"/>
      <c r="GU188" s="48"/>
      <c r="GV188" s="48"/>
      <c r="GW188" s="48"/>
      <c r="GX188" s="48"/>
      <c r="GY188" s="48"/>
      <c r="GZ188" s="48"/>
      <c r="HA188" s="48"/>
      <c r="HB188" s="48"/>
    </row>
    <row r="189" spans="1:210" ht="15.75" customHeight="1">
      <c r="A189" s="5"/>
      <c r="B189" s="5"/>
      <c r="C189" s="5"/>
      <c r="D189" s="5"/>
      <c r="E189" s="5"/>
      <c r="F189" s="5"/>
      <c r="G189" s="49"/>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48"/>
      <c r="CQ189" s="48"/>
      <c r="CR189" s="48"/>
      <c r="CS189" s="48"/>
      <c r="CT189" s="48"/>
      <c r="CU189" s="48"/>
      <c r="CV189" s="48"/>
      <c r="CW189" s="48"/>
      <c r="CX189" s="48"/>
      <c r="CY189" s="48"/>
      <c r="CZ189" s="48"/>
      <c r="DA189" s="48"/>
      <c r="DB189" s="48"/>
      <c r="DC189" s="48"/>
      <c r="DD189" s="48"/>
      <c r="DE189" s="48"/>
      <c r="DF189" s="48"/>
      <c r="DG189" s="48"/>
      <c r="DH189" s="48"/>
      <c r="DI189" s="48"/>
      <c r="DJ189" s="48"/>
      <c r="DK189" s="48"/>
      <c r="DL189" s="48"/>
      <c r="DM189" s="48"/>
      <c r="DN189" s="48"/>
      <c r="DO189" s="48"/>
      <c r="DP189" s="48"/>
      <c r="DQ189" s="48"/>
      <c r="DR189" s="48"/>
      <c r="DS189" s="48"/>
      <c r="DT189" s="48"/>
      <c r="DU189" s="48"/>
      <c r="DV189" s="48"/>
      <c r="DW189" s="48"/>
      <c r="DX189" s="48"/>
      <c r="DY189" s="48"/>
      <c r="DZ189" s="48"/>
      <c r="EA189" s="48"/>
      <c r="EB189" s="48"/>
      <c r="EC189" s="48"/>
      <c r="ED189" s="48"/>
      <c r="EE189" s="48"/>
      <c r="EF189" s="48"/>
      <c r="EG189" s="48"/>
      <c r="EH189" s="48"/>
      <c r="EI189" s="48"/>
      <c r="EJ189" s="48"/>
      <c r="EK189" s="48"/>
      <c r="EL189" s="48"/>
      <c r="EM189" s="48"/>
      <c r="EN189" s="48"/>
      <c r="EO189" s="48"/>
      <c r="EP189" s="48"/>
      <c r="EQ189" s="48"/>
      <c r="ER189" s="48"/>
      <c r="ES189" s="48"/>
      <c r="ET189" s="48"/>
      <c r="EU189" s="48"/>
      <c r="EV189" s="48"/>
      <c r="EW189" s="48"/>
      <c r="EX189" s="48"/>
      <c r="EY189" s="48"/>
      <c r="EZ189" s="48"/>
      <c r="FA189" s="48"/>
      <c r="FB189" s="48"/>
      <c r="FC189" s="48"/>
      <c r="FD189" s="48"/>
      <c r="FE189" s="48"/>
      <c r="FF189" s="48"/>
      <c r="FG189" s="48"/>
      <c r="FH189" s="48"/>
      <c r="FI189" s="48"/>
      <c r="FJ189" s="48"/>
      <c r="FK189" s="48"/>
      <c r="FL189" s="48"/>
      <c r="FM189" s="48"/>
      <c r="FN189" s="48"/>
      <c r="FO189" s="48"/>
      <c r="FP189" s="48"/>
      <c r="FQ189" s="48"/>
      <c r="FR189" s="48"/>
      <c r="FS189" s="48"/>
      <c r="FT189" s="48"/>
      <c r="FU189" s="48"/>
      <c r="FV189" s="48"/>
      <c r="FW189" s="48"/>
      <c r="FX189" s="48"/>
      <c r="FY189" s="48"/>
      <c r="FZ189" s="48"/>
      <c r="GA189" s="48"/>
      <c r="GB189" s="48"/>
      <c r="GC189" s="48"/>
      <c r="GD189" s="48"/>
      <c r="GE189" s="48"/>
      <c r="GF189" s="48"/>
      <c r="GG189" s="48"/>
      <c r="GH189" s="48"/>
      <c r="GI189" s="48"/>
      <c r="GJ189" s="48"/>
      <c r="GK189" s="48"/>
      <c r="GL189" s="48"/>
      <c r="GM189" s="48"/>
      <c r="GN189" s="48"/>
      <c r="GO189" s="48"/>
      <c r="GP189" s="48"/>
      <c r="GQ189" s="48"/>
      <c r="GR189" s="48"/>
      <c r="GS189" s="48"/>
      <c r="GT189" s="48"/>
      <c r="GU189" s="48"/>
      <c r="GV189" s="48"/>
      <c r="GW189" s="48"/>
      <c r="GX189" s="48"/>
      <c r="GY189" s="48"/>
      <c r="GZ189" s="48"/>
      <c r="HA189" s="48"/>
      <c r="HB189" s="48"/>
    </row>
    <row r="190" spans="1:210" ht="15.75" customHeight="1">
      <c r="A190" s="5"/>
      <c r="B190" s="5"/>
      <c r="C190" s="5"/>
      <c r="D190" s="5"/>
      <c r="E190" s="5"/>
      <c r="F190" s="5"/>
      <c r="G190" s="49"/>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48"/>
      <c r="CQ190" s="48"/>
      <c r="CR190" s="48"/>
      <c r="CS190" s="48"/>
      <c r="CT190" s="48"/>
      <c r="CU190" s="48"/>
      <c r="CV190" s="48"/>
      <c r="CW190" s="48"/>
      <c r="CX190" s="48"/>
      <c r="CY190" s="48"/>
      <c r="CZ190" s="48"/>
      <c r="DA190" s="48"/>
      <c r="DB190" s="48"/>
      <c r="DC190" s="48"/>
      <c r="DD190" s="48"/>
      <c r="DE190" s="48"/>
      <c r="DF190" s="48"/>
      <c r="DG190" s="48"/>
      <c r="DH190" s="48"/>
      <c r="DI190" s="48"/>
      <c r="DJ190" s="48"/>
      <c r="DK190" s="48"/>
      <c r="DL190" s="48"/>
      <c r="DM190" s="48"/>
      <c r="DN190" s="48"/>
      <c r="DO190" s="48"/>
      <c r="DP190" s="48"/>
      <c r="DQ190" s="48"/>
      <c r="DR190" s="48"/>
      <c r="DS190" s="48"/>
      <c r="DT190" s="48"/>
      <c r="DU190" s="48"/>
      <c r="DV190" s="48"/>
      <c r="DW190" s="48"/>
      <c r="DX190" s="48"/>
      <c r="DY190" s="48"/>
      <c r="DZ190" s="48"/>
      <c r="EA190" s="48"/>
      <c r="EB190" s="48"/>
      <c r="EC190" s="48"/>
      <c r="ED190" s="48"/>
      <c r="EE190" s="48"/>
      <c r="EF190" s="48"/>
      <c r="EG190" s="48"/>
      <c r="EH190" s="48"/>
      <c r="EI190" s="48"/>
      <c r="EJ190" s="48"/>
      <c r="EK190" s="48"/>
      <c r="EL190" s="48"/>
      <c r="EM190" s="48"/>
      <c r="EN190" s="48"/>
      <c r="EO190" s="48"/>
      <c r="EP190" s="48"/>
      <c r="EQ190" s="48"/>
      <c r="ER190" s="48"/>
      <c r="ES190" s="48"/>
      <c r="ET190" s="48"/>
      <c r="EU190" s="48"/>
      <c r="EV190" s="48"/>
      <c r="EW190" s="48"/>
      <c r="EX190" s="48"/>
      <c r="EY190" s="48"/>
      <c r="EZ190" s="48"/>
      <c r="FA190" s="48"/>
      <c r="FB190" s="48"/>
      <c r="FC190" s="48"/>
      <c r="FD190" s="48"/>
      <c r="FE190" s="48"/>
      <c r="FF190" s="48"/>
      <c r="FG190" s="48"/>
      <c r="FH190" s="48"/>
      <c r="FI190" s="48"/>
      <c r="FJ190" s="48"/>
      <c r="FK190" s="48"/>
      <c r="FL190" s="48"/>
      <c r="FM190" s="48"/>
      <c r="FN190" s="48"/>
      <c r="FO190" s="48"/>
      <c r="FP190" s="48"/>
      <c r="FQ190" s="48"/>
      <c r="FR190" s="48"/>
      <c r="FS190" s="48"/>
      <c r="FT190" s="48"/>
      <c r="FU190" s="48"/>
      <c r="FV190" s="48"/>
      <c r="FW190" s="48"/>
      <c r="FX190" s="48"/>
      <c r="FY190" s="48"/>
      <c r="FZ190" s="48"/>
      <c r="GA190" s="48"/>
      <c r="GB190" s="48"/>
      <c r="GC190" s="48"/>
      <c r="GD190" s="48"/>
      <c r="GE190" s="48"/>
      <c r="GF190" s="48"/>
      <c r="GG190" s="48"/>
      <c r="GH190" s="48"/>
      <c r="GI190" s="48"/>
      <c r="GJ190" s="48"/>
      <c r="GK190" s="48"/>
      <c r="GL190" s="48"/>
      <c r="GM190" s="48"/>
      <c r="GN190" s="48"/>
      <c r="GO190" s="48"/>
      <c r="GP190" s="48"/>
      <c r="GQ190" s="48"/>
      <c r="GR190" s="48"/>
      <c r="GS190" s="48"/>
      <c r="GT190" s="48"/>
      <c r="GU190" s="48"/>
      <c r="GV190" s="48"/>
      <c r="GW190" s="48"/>
      <c r="GX190" s="48"/>
      <c r="GY190" s="48"/>
      <c r="GZ190" s="48"/>
      <c r="HA190" s="48"/>
      <c r="HB190" s="48"/>
    </row>
    <row r="191" spans="1:210" ht="15.75" customHeight="1">
      <c r="A191" s="5"/>
      <c r="B191" s="5"/>
      <c r="C191" s="5"/>
      <c r="D191" s="5"/>
      <c r="E191" s="5"/>
      <c r="F191" s="5"/>
      <c r="G191" s="49"/>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48"/>
      <c r="CQ191" s="48"/>
      <c r="CR191" s="48"/>
      <c r="CS191" s="48"/>
      <c r="CT191" s="48"/>
      <c r="CU191" s="48"/>
      <c r="CV191" s="48"/>
      <c r="CW191" s="48"/>
      <c r="CX191" s="48"/>
      <c r="CY191" s="48"/>
      <c r="CZ191" s="48"/>
      <c r="DA191" s="48"/>
      <c r="DB191" s="48"/>
      <c r="DC191" s="48"/>
      <c r="DD191" s="48"/>
      <c r="DE191" s="48"/>
      <c r="DF191" s="48"/>
      <c r="DG191" s="48"/>
      <c r="DH191" s="48"/>
      <c r="DI191" s="48"/>
      <c r="DJ191" s="48"/>
      <c r="DK191" s="48"/>
      <c r="DL191" s="48"/>
      <c r="DM191" s="48"/>
      <c r="DN191" s="48"/>
      <c r="DO191" s="48"/>
      <c r="DP191" s="48"/>
      <c r="DQ191" s="48"/>
      <c r="DR191" s="48"/>
      <c r="DS191" s="48"/>
      <c r="DT191" s="48"/>
      <c r="DU191" s="48"/>
      <c r="DV191" s="48"/>
      <c r="DW191" s="48"/>
      <c r="DX191" s="48"/>
      <c r="DY191" s="48"/>
      <c r="DZ191" s="48"/>
      <c r="EA191" s="48"/>
      <c r="EB191" s="48"/>
      <c r="EC191" s="48"/>
      <c r="ED191" s="48"/>
      <c r="EE191" s="48"/>
      <c r="EF191" s="48"/>
      <c r="EG191" s="48"/>
      <c r="EH191" s="48"/>
      <c r="EI191" s="48"/>
      <c r="EJ191" s="48"/>
      <c r="EK191" s="48"/>
      <c r="EL191" s="48"/>
      <c r="EM191" s="48"/>
      <c r="EN191" s="48"/>
      <c r="EO191" s="48"/>
      <c r="EP191" s="48"/>
      <c r="EQ191" s="48"/>
      <c r="ER191" s="48"/>
      <c r="ES191" s="48"/>
      <c r="ET191" s="48"/>
      <c r="EU191" s="48"/>
      <c r="EV191" s="48"/>
      <c r="EW191" s="48"/>
      <c r="EX191" s="48"/>
      <c r="EY191" s="48"/>
      <c r="EZ191" s="48"/>
      <c r="FA191" s="48"/>
      <c r="FB191" s="48"/>
      <c r="FC191" s="48"/>
      <c r="FD191" s="48"/>
      <c r="FE191" s="48"/>
      <c r="FF191" s="48"/>
      <c r="FG191" s="48"/>
      <c r="FH191" s="48"/>
      <c r="FI191" s="48"/>
      <c r="FJ191" s="48"/>
      <c r="FK191" s="48"/>
      <c r="FL191" s="48"/>
      <c r="FM191" s="48"/>
      <c r="FN191" s="48"/>
      <c r="FO191" s="48"/>
      <c r="FP191" s="48"/>
      <c r="FQ191" s="48"/>
      <c r="FR191" s="48"/>
      <c r="FS191" s="48"/>
      <c r="FT191" s="48"/>
      <c r="FU191" s="48"/>
      <c r="FV191" s="48"/>
      <c r="FW191" s="48"/>
      <c r="FX191" s="48"/>
      <c r="FY191" s="48"/>
      <c r="FZ191" s="48"/>
      <c r="GA191" s="48"/>
      <c r="GB191" s="48"/>
      <c r="GC191" s="48"/>
      <c r="GD191" s="48"/>
      <c r="GE191" s="48"/>
      <c r="GF191" s="48"/>
      <c r="GG191" s="48"/>
      <c r="GH191" s="48"/>
      <c r="GI191" s="48"/>
      <c r="GJ191" s="48"/>
      <c r="GK191" s="48"/>
      <c r="GL191" s="48"/>
      <c r="GM191" s="48"/>
      <c r="GN191" s="48"/>
      <c r="GO191" s="48"/>
      <c r="GP191" s="48"/>
      <c r="GQ191" s="48"/>
      <c r="GR191" s="48"/>
      <c r="GS191" s="48"/>
      <c r="GT191" s="48"/>
      <c r="GU191" s="48"/>
      <c r="GV191" s="48"/>
      <c r="GW191" s="48"/>
      <c r="GX191" s="48"/>
      <c r="GY191" s="48"/>
      <c r="GZ191" s="48"/>
      <c r="HA191" s="48"/>
      <c r="HB191" s="48"/>
    </row>
    <row r="192" spans="1:210" ht="15.75" customHeight="1">
      <c r="A192" s="5"/>
      <c r="B192" s="5"/>
      <c r="C192" s="5"/>
      <c r="D192" s="5"/>
      <c r="E192" s="5"/>
      <c r="F192" s="5"/>
      <c r="G192" s="49"/>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48"/>
      <c r="CQ192" s="48"/>
      <c r="CR192" s="48"/>
      <c r="CS192" s="48"/>
      <c r="CT192" s="48"/>
      <c r="CU192" s="48"/>
      <c r="CV192" s="48"/>
      <c r="CW192" s="48"/>
      <c r="CX192" s="48"/>
      <c r="CY192" s="48"/>
      <c r="CZ192" s="48"/>
      <c r="DA192" s="48"/>
      <c r="DB192" s="48"/>
      <c r="DC192" s="48"/>
      <c r="DD192" s="48"/>
      <c r="DE192" s="48"/>
      <c r="DF192" s="48"/>
      <c r="DG192" s="48"/>
      <c r="DH192" s="48"/>
      <c r="DI192" s="48"/>
      <c r="DJ192" s="48"/>
      <c r="DK192" s="48"/>
      <c r="DL192" s="48"/>
      <c r="DM192" s="48"/>
      <c r="DN192" s="48"/>
      <c r="DO192" s="48"/>
      <c r="DP192" s="48"/>
      <c r="DQ192" s="48"/>
      <c r="DR192" s="48"/>
      <c r="DS192" s="48"/>
      <c r="DT192" s="48"/>
      <c r="DU192" s="48"/>
      <c r="DV192" s="48"/>
      <c r="DW192" s="48"/>
      <c r="DX192" s="48"/>
      <c r="DY192" s="48"/>
      <c r="DZ192" s="48"/>
      <c r="EA192" s="48"/>
      <c r="EB192" s="48"/>
      <c r="EC192" s="48"/>
      <c r="ED192" s="48"/>
      <c r="EE192" s="48"/>
      <c r="EF192" s="48"/>
      <c r="EG192" s="48"/>
      <c r="EH192" s="48"/>
      <c r="EI192" s="48"/>
      <c r="EJ192" s="48"/>
      <c r="EK192" s="48"/>
      <c r="EL192" s="48"/>
      <c r="EM192" s="48"/>
      <c r="EN192" s="48"/>
      <c r="EO192" s="48"/>
      <c r="EP192" s="48"/>
      <c r="EQ192" s="48"/>
      <c r="ER192" s="48"/>
      <c r="ES192" s="48"/>
      <c r="ET192" s="48"/>
      <c r="EU192" s="48"/>
      <c r="EV192" s="48"/>
      <c r="EW192" s="48"/>
      <c r="EX192" s="48"/>
      <c r="EY192" s="48"/>
      <c r="EZ192" s="48"/>
      <c r="FA192" s="48"/>
      <c r="FB192" s="48"/>
      <c r="FC192" s="48"/>
      <c r="FD192" s="48"/>
      <c r="FE192" s="48"/>
      <c r="FF192" s="48"/>
      <c r="FG192" s="48"/>
      <c r="FH192" s="48"/>
      <c r="FI192" s="48"/>
      <c r="FJ192" s="48"/>
      <c r="FK192" s="48"/>
      <c r="FL192" s="48"/>
      <c r="FM192" s="48"/>
      <c r="FN192" s="48"/>
      <c r="FO192" s="48"/>
      <c r="FP192" s="48"/>
      <c r="FQ192" s="48"/>
      <c r="FR192" s="48"/>
      <c r="FS192" s="48"/>
      <c r="FT192" s="48"/>
      <c r="FU192" s="48"/>
      <c r="FV192" s="48"/>
      <c r="FW192" s="48"/>
      <c r="FX192" s="48"/>
      <c r="FY192" s="48"/>
      <c r="FZ192" s="48"/>
      <c r="GA192" s="48"/>
      <c r="GB192" s="48"/>
      <c r="GC192" s="48"/>
      <c r="GD192" s="48"/>
      <c r="GE192" s="48"/>
      <c r="GF192" s="48"/>
      <c r="GG192" s="48"/>
      <c r="GH192" s="48"/>
      <c r="GI192" s="48"/>
      <c r="GJ192" s="48"/>
      <c r="GK192" s="48"/>
      <c r="GL192" s="48"/>
      <c r="GM192" s="48"/>
      <c r="GN192" s="48"/>
      <c r="GO192" s="48"/>
      <c r="GP192" s="48"/>
      <c r="GQ192" s="48"/>
      <c r="GR192" s="48"/>
      <c r="GS192" s="48"/>
      <c r="GT192" s="48"/>
      <c r="GU192" s="48"/>
      <c r="GV192" s="48"/>
      <c r="GW192" s="48"/>
      <c r="GX192" s="48"/>
      <c r="GY192" s="48"/>
      <c r="GZ192" s="48"/>
      <c r="HA192" s="48"/>
      <c r="HB192" s="48"/>
    </row>
    <row r="193" spans="1:210" ht="15.75" customHeight="1">
      <c r="A193" s="5"/>
      <c r="B193" s="5"/>
      <c r="C193" s="5"/>
      <c r="D193" s="5"/>
      <c r="E193" s="5"/>
      <c r="F193" s="5"/>
      <c r="G193" s="49"/>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48"/>
      <c r="CQ193" s="48"/>
      <c r="CR193" s="48"/>
      <c r="CS193" s="48"/>
      <c r="CT193" s="48"/>
      <c r="CU193" s="48"/>
      <c r="CV193" s="48"/>
      <c r="CW193" s="48"/>
      <c r="CX193" s="48"/>
      <c r="CY193" s="48"/>
      <c r="CZ193" s="48"/>
      <c r="DA193" s="48"/>
      <c r="DB193" s="48"/>
      <c r="DC193" s="48"/>
      <c r="DD193" s="48"/>
      <c r="DE193" s="48"/>
      <c r="DF193" s="48"/>
      <c r="DG193" s="48"/>
      <c r="DH193" s="48"/>
      <c r="DI193" s="48"/>
      <c r="DJ193" s="48"/>
      <c r="DK193" s="48"/>
      <c r="DL193" s="48"/>
      <c r="DM193" s="48"/>
      <c r="DN193" s="48"/>
      <c r="DO193" s="48"/>
      <c r="DP193" s="48"/>
      <c r="DQ193" s="48"/>
      <c r="DR193" s="48"/>
      <c r="DS193" s="48"/>
      <c r="DT193" s="48"/>
      <c r="DU193" s="48"/>
      <c r="DV193" s="48"/>
      <c r="DW193" s="48"/>
      <c r="DX193" s="48"/>
      <c r="DY193" s="48"/>
      <c r="DZ193" s="48"/>
      <c r="EA193" s="48"/>
      <c r="EB193" s="48"/>
      <c r="EC193" s="48"/>
      <c r="ED193" s="48"/>
      <c r="EE193" s="48"/>
      <c r="EF193" s="48"/>
      <c r="EG193" s="48"/>
      <c r="EH193" s="48"/>
      <c r="EI193" s="48"/>
      <c r="EJ193" s="48"/>
      <c r="EK193" s="48"/>
      <c r="EL193" s="48"/>
      <c r="EM193" s="48"/>
      <c r="EN193" s="48"/>
      <c r="EO193" s="48"/>
      <c r="EP193" s="48"/>
      <c r="EQ193" s="48"/>
      <c r="ER193" s="48"/>
      <c r="ES193" s="48"/>
      <c r="ET193" s="48"/>
      <c r="EU193" s="48"/>
      <c r="EV193" s="48"/>
      <c r="EW193" s="48"/>
      <c r="EX193" s="48"/>
      <c r="EY193" s="48"/>
      <c r="EZ193" s="48"/>
      <c r="FA193" s="48"/>
      <c r="FB193" s="48"/>
      <c r="FC193" s="48"/>
      <c r="FD193" s="48"/>
      <c r="FE193" s="48"/>
      <c r="FF193" s="48"/>
      <c r="FG193" s="48"/>
      <c r="FH193" s="48"/>
      <c r="FI193" s="48"/>
      <c r="FJ193" s="48"/>
      <c r="FK193" s="48"/>
      <c r="FL193" s="48"/>
      <c r="FM193" s="48"/>
      <c r="FN193" s="48"/>
      <c r="FO193" s="48"/>
      <c r="FP193" s="48"/>
      <c r="FQ193" s="48"/>
      <c r="FR193" s="48"/>
      <c r="FS193" s="48"/>
      <c r="FT193" s="48"/>
      <c r="FU193" s="48"/>
      <c r="FV193" s="48"/>
      <c r="FW193" s="48"/>
      <c r="FX193" s="48"/>
      <c r="FY193" s="48"/>
      <c r="FZ193" s="48"/>
      <c r="GA193" s="48"/>
      <c r="GB193" s="48"/>
      <c r="GC193" s="48"/>
      <c r="GD193" s="48"/>
      <c r="GE193" s="48"/>
      <c r="GF193" s="48"/>
      <c r="GG193" s="48"/>
      <c r="GH193" s="48"/>
      <c r="GI193" s="48"/>
      <c r="GJ193" s="48"/>
      <c r="GK193" s="48"/>
      <c r="GL193" s="48"/>
      <c r="GM193" s="48"/>
      <c r="GN193" s="48"/>
      <c r="GO193" s="48"/>
      <c r="GP193" s="48"/>
      <c r="GQ193" s="48"/>
      <c r="GR193" s="48"/>
      <c r="GS193" s="48"/>
      <c r="GT193" s="48"/>
      <c r="GU193" s="48"/>
      <c r="GV193" s="48"/>
      <c r="GW193" s="48"/>
      <c r="GX193" s="48"/>
      <c r="GY193" s="48"/>
      <c r="GZ193" s="48"/>
      <c r="HA193" s="48"/>
      <c r="HB193" s="48"/>
    </row>
    <row r="194" spans="1:210" ht="15.75" customHeight="1">
      <c r="A194" s="5"/>
      <c r="B194" s="5"/>
      <c r="C194" s="5"/>
      <c r="D194" s="5"/>
      <c r="E194" s="5"/>
      <c r="F194" s="5"/>
      <c r="G194" s="49"/>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48"/>
      <c r="CQ194" s="48"/>
      <c r="CR194" s="48"/>
      <c r="CS194" s="48"/>
      <c r="CT194" s="48"/>
      <c r="CU194" s="48"/>
      <c r="CV194" s="48"/>
      <c r="CW194" s="48"/>
      <c r="CX194" s="48"/>
      <c r="CY194" s="48"/>
      <c r="CZ194" s="48"/>
      <c r="DA194" s="48"/>
      <c r="DB194" s="48"/>
      <c r="DC194" s="48"/>
      <c r="DD194" s="48"/>
      <c r="DE194" s="48"/>
      <c r="DF194" s="48"/>
      <c r="DG194" s="48"/>
      <c r="DH194" s="48"/>
      <c r="DI194" s="48"/>
      <c r="DJ194" s="48"/>
      <c r="DK194" s="48"/>
      <c r="DL194" s="48"/>
      <c r="DM194" s="48"/>
      <c r="DN194" s="48"/>
      <c r="DO194" s="48"/>
      <c r="DP194" s="48"/>
      <c r="DQ194" s="48"/>
      <c r="DR194" s="48"/>
      <c r="DS194" s="48"/>
      <c r="DT194" s="48"/>
      <c r="DU194" s="48"/>
      <c r="DV194" s="48"/>
      <c r="DW194" s="48"/>
      <c r="DX194" s="48"/>
      <c r="DY194" s="48"/>
      <c r="DZ194" s="48"/>
      <c r="EA194" s="48"/>
      <c r="EB194" s="48"/>
      <c r="EC194" s="48"/>
      <c r="ED194" s="48"/>
      <c r="EE194" s="48"/>
      <c r="EF194" s="48"/>
      <c r="EG194" s="48"/>
      <c r="EH194" s="48"/>
      <c r="EI194" s="48"/>
      <c r="EJ194" s="48"/>
      <c r="EK194" s="48"/>
      <c r="EL194" s="48"/>
      <c r="EM194" s="48"/>
      <c r="EN194" s="48"/>
      <c r="EO194" s="48"/>
      <c r="EP194" s="48"/>
      <c r="EQ194" s="48"/>
      <c r="ER194" s="48"/>
      <c r="ES194" s="48"/>
      <c r="ET194" s="48"/>
      <c r="EU194" s="48"/>
      <c r="EV194" s="48"/>
      <c r="EW194" s="48"/>
      <c r="EX194" s="48"/>
      <c r="EY194" s="48"/>
      <c r="EZ194" s="48"/>
      <c r="FA194" s="48"/>
      <c r="FB194" s="48"/>
      <c r="FC194" s="48"/>
      <c r="FD194" s="48"/>
      <c r="FE194" s="48"/>
      <c r="FF194" s="48"/>
      <c r="FG194" s="48"/>
      <c r="FH194" s="48"/>
      <c r="FI194" s="48"/>
      <c r="FJ194" s="48"/>
      <c r="FK194" s="48"/>
      <c r="FL194" s="48"/>
      <c r="FM194" s="48"/>
      <c r="FN194" s="48"/>
      <c r="FO194" s="48"/>
      <c r="FP194" s="48"/>
      <c r="FQ194" s="48"/>
      <c r="FR194" s="48"/>
      <c r="FS194" s="48"/>
      <c r="FT194" s="48"/>
      <c r="FU194" s="48"/>
      <c r="FV194" s="48"/>
      <c r="FW194" s="48"/>
      <c r="FX194" s="48"/>
      <c r="FY194" s="48"/>
      <c r="FZ194" s="48"/>
      <c r="GA194" s="48"/>
      <c r="GB194" s="48"/>
      <c r="GC194" s="48"/>
      <c r="GD194" s="48"/>
      <c r="GE194" s="48"/>
      <c r="GF194" s="48"/>
      <c r="GG194" s="48"/>
      <c r="GH194" s="48"/>
      <c r="GI194" s="48"/>
      <c r="GJ194" s="48"/>
      <c r="GK194" s="48"/>
      <c r="GL194" s="48"/>
      <c r="GM194" s="48"/>
      <c r="GN194" s="48"/>
      <c r="GO194" s="48"/>
      <c r="GP194" s="48"/>
      <c r="GQ194" s="48"/>
      <c r="GR194" s="48"/>
      <c r="GS194" s="48"/>
      <c r="GT194" s="48"/>
      <c r="GU194" s="48"/>
      <c r="GV194" s="48"/>
      <c r="GW194" s="48"/>
      <c r="GX194" s="48"/>
      <c r="GY194" s="48"/>
      <c r="GZ194" s="48"/>
      <c r="HA194" s="48"/>
      <c r="HB194" s="48"/>
    </row>
    <row r="195" spans="1:210" ht="15.75" customHeight="1">
      <c r="A195" s="5"/>
      <c r="B195" s="5"/>
      <c r="C195" s="5"/>
      <c r="D195" s="5"/>
      <c r="E195" s="5"/>
      <c r="F195" s="5"/>
      <c r="G195" s="49"/>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48"/>
      <c r="CQ195" s="48"/>
      <c r="CR195" s="48"/>
      <c r="CS195" s="48"/>
      <c r="CT195" s="48"/>
      <c r="CU195" s="48"/>
      <c r="CV195" s="48"/>
      <c r="CW195" s="48"/>
      <c r="CX195" s="48"/>
      <c r="CY195" s="48"/>
      <c r="CZ195" s="48"/>
      <c r="DA195" s="48"/>
      <c r="DB195" s="48"/>
      <c r="DC195" s="48"/>
      <c r="DD195" s="48"/>
      <c r="DE195" s="48"/>
      <c r="DF195" s="48"/>
      <c r="DG195" s="48"/>
      <c r="DH195" s="48"/>
      <c r="DI195" s="48"/>
      <c r="DJ195" s="48"/>
      <c r="DK195" s="48"/>
      <c r="DL195" s="48"/>
      <c r="DM195" s="48"/>
      <c r="DN195" s="48"/>
      <c r="DO195" s="48"/>
      <c r="DP195" s="48"/>
      <c r="DQ195" s="48"/>
      <c r="DR195" s="48"/>
      <c r="DS195" s="48"/>
      <c r="DT195" s="48"/>
      <c r="DU195" s="48"/>
      <c r="DV195" s="48"/>
      <c r="DW195" s="48"/>
      <c r="DX195" s="48"/>
      <c r="DY195" s="48"/>
      <c r="DZ195" s="48"/>
      <c r="EA195" s="48"/>
      <c r="EB195" s="48"/>
      <c r="EC195" s="48"/>
      <c r="ED195" s="48"/>
      <c r="EE195" s="48"/>
      <c r="EF195" s="48"/>
      <c r="EG195" s="48"/>
      <c r="EH195" s="48"/>
      <c r="EI195" s="48"/>
      <c r="EJ195" s="48"/>
      <c r="EK195" s="48"/>
      <c r="EL195" s="48"/>
      <c r="EM195" s="48"/>
      <c r="EN195" s="48"/>
      <c r="EO195" s="48"/>
      <c r="EP195" s="48"/>
      <c r="EQ195" s="48"/>
      <c r="ER195" s="48"/>
      <c r="ES195" s="48"/>
      <c r="ET195" s="48"/>
      <c r="EU195" s="48"/>
      <c r="EV195" s="48"/>
      <c r="EW195" s="48"/>
      <c r="EX195" s="48"/>
      <c r="EY195" s="48"/>
      <c r="EZ195" s="48"/>
      <c r="FA195" s="48"/>
      <c r="FB195" s="48"/>
      <c r="FC195" s="48"/>
      <c r="FD195" s="48"/>
      <c r="FE195" s="48"/>
      <c r="FF195" s="48"/>
      <c r="FG195" s="48"/>
      <c r="FH195" s="48"/>
      <c r="FI195" s="48"/>
      <c r="FJ195" s="48"/>
      <c r="FK195" s="48"/>
      <c r="FL195" s="48"/>
      <c r="FM195" s="48"/>
      <c r="FN195" s="48"/>
      <c r="FO195" s="48"/>
      <c r="FP195" s="48"/>
      <c r="FQ195" s="48"/>
      <c r="FR195" s="48"/>
      <c r="FS195" s="48"/>
      <c r="FT195" s="48"/>
      <c r="FU195" s="48"/>
      <c r="FV195" s="48"/>
      <c r="FW195" s="48"/>
      <c r="FX195" s="48"/>
      <c r="FY195" s="48"/>
      <c r="FZ195" s="48"/>
      <c r="GA195" s="48"/>
      <c r="GB195" s="48"/>
      <c r="GC195" s="48"/>
      <c r="GD195" s="48"/>
      <c r="GE195" s="48"/>
      <c r="GF195" s="48"/>
      <c r="GG195" s="48"/>
      <c r="GH195" s="48"/>
      <c r="GI195" s="48"/>
      <c r="GJ195" s="48"/>
      <c r="GK195" s="48"/>
      <c r="GL195" s="48"/>
      <c r="GM195" s="48"/>
      <c r="GN195" s="48"/>
      <c r="GO195" s="48"/>
      <c r="GP195" s="48"/>
      <c r="GQ195" s="48"/>
      <c r="GR195" s="48"/>
      <c r="GS195" s="48"/>
      <c r="GT195" s="48"/>
      <c r="GU195" s="48"/>
      <c r="GV195" s="48"/>
      <c r="GW195" s="48"/>
      <c r="GX195" s="48"/>
      <c r="GY195" s="48"/>
      <c r="GZ195" s="48"/>
      <c r="HA195" s="48"/>
      <c r="HB195" s="48"/>
    </row>
    <row r="196" spans="1:210" ht="15.75" customHeight="1">
      <c r="A196" s="5"/>
      <c r="B196" s="5"/>
      <c r="C196" s="5"/>
      <c r="D196" s="5"/>
      <c r="E196" s="5"/>
      <c r="F196" s="5"/>
      <c r="G196" s="49"/>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48"/>
      <c r="CQ196" s="48"/>
      <c r="CR196" s="48"/>
      <c r="CS196" s="48"/>
      <c r="CT196" s="48"/>
      <c r="CU196" s="48"/>
      <c r="CV196" s="48"/>
      <c r="CW196" s="48"/>
      <c r="CX196" s="48"/>
      <c r="CY196" s="48"/>
      <c r="CZ196" s="48"/>
      <c r="DA196" s="48"/>
      <c r="DB196" s="48"/>
      <c r="DC196" s="48"/>
      <c r="DD196" s="48"/>
      <c r="DE196" s="48"/>
      <c r="DF196" s="48"/>
      <c r="DG196" s="48"/>
      <c r="DH196" s="48"/>
      <c r="DI196" s="48"/>
      <c r="DJ196" s="48"/>
      <c r="DK196" s="48"/>
      <c r="DL196" s="48"/>
      <c r="DM196" s="48"/>
      <c r="DN196" s="48"/>
      <c r="DO196" s="48"/>
      <c r="DP196" s="48"/>
      <c r="DQ196" s="48"/>
      <c r="DR196" s="48"/>
      <c r="DS196" s="48"/>
      <c r="DT196" s="48"/>
      <c r="DU196" s="48"/>
      <c r="DV196" s="48"/>
      <c r="DW196" s="48"/>
      <c r="DX196" s="48"/>
      <c r="DY196" s="48"/>
      <c r="DZ196" s="48"/>
      <c r="EA196" s="48"/>
      <c r="EB196" s="48"/>
      <c r="EC196" s="48"/>
      <c r="ED196" s="48"/>
      <c r="EE196" s="48"/>
      <c r="EF196" s="48"/>
      <c r="EG196" s="48"/>
      <c r="EH196" s="48"/>
      <c r="EI196" s="48"/>
      <c r="EJ196" s="48"/>
      <c r="EK196" s="48"/>
      <c r="EL196" s="48"/>
      <c r="EM196" s="48"/>
      <c r="EN196" s="48"/>
      <c r="EO196" s="48"/>
      <c r="EP196" s="48"/>
      <c r="EQ196" s="48"/>
      <c r="ER196" s="48"/>
      <c r="ES196" s="48"/>
      <c r="ET196" s="48"/>
      <c r="EU196" s="48"/>
      <c r="EV196" s="48"/>
      <c r="EW196" s="48"/>
      <c r="EX196" s="48"/>
      <c r="EY196" s="48"/>
      <c r="EZ196" s="48"/>
      <c r="FA196" s="48"/>
      <c r="FB196" s="48"/>
      <c r="FC196" s="48"/>
      <c r="FD196" s="48"/>
      <c r="FE196" s="48"/>
      <c r="FF196" s="48"/>
      <c r="FG196" s="48"/>
      <c r="FH196" s="48"/>
      <c r="FI196" s="48"/>
      <c r="FJ196" s="48"/>
      <c r="FK196" s="48"/>
      <c r="FL196" s="48"/>
      <c r="FM196" s="48"/>
      <c r="FN196" s="48"/>
      <c r="FO196" s="48"/>
      <c r="FP196" s="48"/>
      <c r="FQ196" s="48"/>
      <c r="FR196" s="48"/>
      <c r="FS196" s="48"/>
      <c r="FT196" s="48"/>
      <c r="FU196" s="48"/>
      <c r="FV196" s="48"/>
      <c r="FW196" s="48"/>
      <c r="FX196" s="48"/>
      <c r="FY196" s="48"/>
      <c r="FZ196" s="48"/>
      <c r="GA196" s="48"/>
      <c r="GB196" s="48"/>
      <c r="GC196" s="48"/>
      <c r="GD196" s="48"/>
      <c r="GE196" s="48"/>
      <c r="GF196" s="48"/>
      <c r="GG196" s="48"/>
      <c r="GH196" s="48"/>
      <c r="GI196" s="48"/>
      <c r="GJ196" s="48"/>
      <c r="GK196" s="48"/>
      <c r="GL196" s="48"/>
      <c r="GM196" s="48"/>
      <c r="GN196" s="48"/>
      <c r="GO196" s="48"/>
      <c r="GP196" s="48"/>
      <c r="GQ196" s="48"/>
      <c r="GR196" s="48"/>
      <c r="GS196" s="48"/>
      <c r="GT196" s="48"/>
      <c r="GU196" s="48"/>
      <c r="GV196" s="48"/>
      <c r="GW196" s="48"/>
      <c r="GX196" s="48"/>
      <c r="GY196" s="48"/>
      <c r="GZ196" s="48"/>
      <c r="HA196" s="48"/>
      <c r="HB196" s="48"/>
    </row>
    <row r="197" spans="1:210" ht="15.75" customHeight="1">
      <c r="A197" s="5"/>
      <c r="B197" s="5"/>
      <c r="C197" s="5"/>
      <c r="D197" s="5"/>
      <c r="E197" s="5"/>
      <c r="F197" s="5"/>
      <c r="G197" s="49"/>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48"/>
      <c r="CQ197" s="48"/>
      <c r="CR197" s="48"/>
      <c r="CS197" s="48"/>
      <c r="CT197" s="48"/>
      <c r="CU197" s="48"/>
      <c r="CV197" s="48"/>
      <c r="CW197" s="48"/>
      <c r="CX197" s="48"/>
      <c r="CY197" s="48"/>
      <c r="CZ197" s="48"/>
      <c r="DA197" s="48"/>
      <c r="DB197" s="48"/>
      <c r="DC197" s="48"/>
      <c r="DD197" s="48"/>
      <c r="DE197" s="48"/>
      <c r="DF197" s="48"/>
      <c r="DG197" s="48"/>
      <c r="DH197" s="48"/>
      <c r="DI197" s="48"/>
      <c r="DJ197" s="48"/>
      <c r="DK197" s="48"/>
      <c r="DL197" s="48"/>
      <c r="DM197" s="48"/>
      <c r="DN197" s="48"/>
      <c r="DO197" s="48"/>
      <c r="DP197" s="48"/>
      <c r="DQ197" s="48"/>
      <c r="DR197" s="48"/>
      <c r="DS197" s="48"/>
      <c r="DT197" s="48"/>
      <c r="DU197" s="48"/>
      <c r="DV197" s="48"/>
      <c r="DW197" s="48"/>
      <c r="DX197" s="48"/>
      <c r="DY197" s="48"/>
      <c r="DZ197" s="48"/>
      <c r="EA197" s="48"/>
      <c r="EB197" s="48"/>
      <c r="EC197" s="48"/>
      <c r="ED197" s="48"/>
      <c r="EE197" s="48"/>
      <c r="EF197" s="48"/>
      <c r="EG197" s="48"/>
      <c r="EH197" s="48"/>
      <c r="EI197" s="48"/>
      <c r="EJ197" s="48"/>
      <c r="EK197" s="48"/>
      <c r="EL197" s="48"/>
      <c r="EM197" s="48"/>
      <c r="EN197" s="48"/>
      <c r="EO197" s="48"/>
      <c r="EP197" s="48"/>
      <c r="EQ197" s="48"/>
      <c r="ER197" s="48"/>
      <c r="ES197" s="48"/>
      <c r="ET197" s="48"/>
      <c r="EU197" s="48"/>
      <c r="EV197" s="48"/>
      <c r="EW197" s="48"/>
      <c r="EX197" s="48"/>
      <c r="EY197" s="48"/>
      <c r="EZ197" s="48"/>
      <c r="FA197" s="48"/>
      <c r="FB197" s="48"/>
      <c r="FC197" s="48"/>
      <c r="FD197" s="48"/>
      <c r="FE197" s="48"/>
      <c r="FF197" s="48"/>
      <c r="FG197" s="48"/>
      <c r="FH197" s="48"/>
      <c r="FI197" s="48"/>
      <c r="FJ197" s="48"/>
      <c r="FK197" s="48"/>
      <c r="FL197" s="48"/>
      <c r="FM197" s="48"/>
      <c r="FN197" s="48"/>
      <c r="FO197" s="48"/>
      <c r="FP197" s="48"/>
      <c r="FQ197" s="48"/>
      <c r="FR197" s="48"/>
      <c r="FS197" s="48"/>
      <c r="FT197" s="48"/>
      <c r="FU197" s="48"/>
      <c r="FV197" s="48"/>
      <c r="FW197" s="48"/>
      <c r="FX197" s="48"/>
      <c r="FY197" s="48"/>
      <c r="FZ197" s="48"/>
      <c r="GA197" s="48"/>
      <c r="GB197" s="48"/>
      <c r="GC197" s="48"/>
      <c r="GD197" s="48"/>
      <c r="GE197" s="48"/>
      <c r="GF197" s="48"/>
      <c r="GG197" s="48"/>
      <c r="GH197" s="48"/>
      <c r="GI197" s="48"/>
      <c r="GJ197" s="48"/>
      <c r="GK197" s="48"/>
      <c r="GL197" s="48"/>
      <c r="GM197" s="48"/>
      <c r="GN197" s="48"/>
      <c r="GO197" s="48"/>
      <c r="GP197" s="48"/>
      <c r="GQ197" s="48"/>
      <c r="GR197" s="48"/>
      <c r="GS197" s="48"/>
      <c r="GT197" s="48"/>
      <c r="GU197" s="48"/>
      <c r="GV197" s="48"/>
      <c r="GW197" s="48"/>
      <c r="GX197" s="48"/>
      <c r="GY197" s="48"/>
      <c r="GZ197" s="48"/>
      <c r="HA197" s="48"/>
      <c r="HB197" s="48"/>
    </row>
    <row r="198" spans="1:210" ht="15.75" customHeight="1">
      <c r="A198" s="5"/>
      <c r="B198" s="5"/>
      <c r="C198" s="5"/>
      <c r="D198" s="5"/>
      <c r="E198" s="5"/>
      <c r="F198" s="5"/>
      <c r="G198" s="49"/>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48"/>
      <c r="CQ198" s="48"/>
      <c r="CR198" s="48"/>
      <c r="CS198" s="48"/>
      <c r="CT198" s="48"/>
      <c r="CU198" s="48"/>
      <c r="CV198" s="48"/>
      <c r="CW198" s="48"/>
      <c r="CX198" s="48"/>
      <c r="CY198" s="48"/>
      <c r="CZ198" s="48"/>
      <c r="DA198" s="48"/>
      <c r="DB198" s="48"/>
      <c r="DC198" s="48"/>
      <c r="DD198" s="48"/>
      <c r="DE198" s="48"/>
      <c r="DF198" s="48"/>
      <c r="DG198" s="48"/>
      <c r="DH198" s="48"/>
      <c r="DI198" s="48"/>
      <c r="DJ198" s="48"/>
      <c r="DK198" s="48"/>
      <c r="DL198" s="48"/>
      <c r="DM198" s="48"/>
      <c r="DN198" s="48"/>
      <c r="DO198" s="48"/>
      <c r="DP198" s="48"/>
      <c r="DQ198" s="48"/>
      <c r="DR198" s="48"/>
      <c r="DS198" s="48"/>
      <c r="DT198" s="48"/>
      <c r="DU198" s="48"/>
      <c r="DV198" s="48"/>
      <c r="DW198" s="48"/>
      <c r="DX198" s="48"/>
      <c r="DY198" s="48"/>
      <c r="DZ198" s="48"/>
      <c r="EA198" s="48"/>
      <c r="EB198" s="48"/>
      <c r="EC198" s="48"/>
      <c r="ED198" s="48"/>
      <c r="EE198" s="48"/>
      <c r="EF198" s="48"/>
      <c r="EG198" s="48"/>
      <c r="EH198" s="48"/>
      <c r="EI198" s="48"/>
      <c r="EJ198" s="48"/>
      <c r="EK198" s="48"/>
      <c r="EL198" s="48"/>
      <c r="EM198" s="48"/>
      <c r="EN198" s="48"/>
      <c r="EO198" s="48"/>
      <c r="EP198" s="48"/>
      <c r="EQ198" s="48"/>
      <c r="ER198" s="48"/>
      <c r="ES198" s="48"/>
      <c r="ET198" s="48"/>
      <c r="EU198" s="48"/>
      <c r="EV198" s="48"/>
      <c r="EW198" s="48"/>
      <c r="EX198" s="48"/>
      <c r="EY198" s="48"/>
      <c r="EZ198" s="48"/>
      <c r="FA198" s="48"/>
      <c r="FB198" s="48"/>
      <c r="FC198" s="48"/>
      <c r="FD198" s="48"/>
      <c r="FE198" s="48"/>
      <c r="FF198" s="48"/>
      <c r="FG198" s="48"/>
      <c r="FH198" s="48"/>
      <c r="FI198" s="48"/>
      <c r="FJ198" s="48"/>
      <c r="FK198" s="48"/>
      <c r="FL198" s="48"/>
      <c r="FM198" s="48"/>
      <c r="FN198" s="48"/>
      <c r="FO198" s="48"/>
      <c r="FP198" s="48"/>
      <c r="FQ198" s="48"/>
      <c r="FR198" s="48"/>
      <c r="FS198" s="48"/>
      <c r="FT198" s="48"/>
      <c r="FU198" s="48"/>
      <c r="FV198" s="48"/>
      <c r="FW198" s="48"/>
      <c r="FX198" s="48"/>
      <c r="FY198" s="48"/>
      <c r="FZ198" s="48"/>
      <c r="GA198" s="48"/>
      <c r="GB198" s="48"/>
      <c r="GC198" s="48"/>
      <c r="GD198" s="48"/>
      <c r="GE198" s="48"/>
      <c r="GF198" s="48"/>
      <c r="GG198" s="48"/>
      <c r="GH198" s="48"/>
      <c r="GI198" s="48"/>
      <c r="GJ198" s="48"/>
      <c r="GK198" s="48"/>
      <c r="GL198" s="48"/>
      <c r="GM198" s="48"/>
      <c r="GN198" s="48"/>
      <c r="GO198" s="48"/>
      <c r="GP198" s="48"/>
      <c r="GQ198" s="48"/>
      <c r="GR198" s="48"/>
      <c r="GS198" s="48"/>
      <c r="GT198" s="48"/>
      <c r="GU198" s="48"/>
      <c r="GV198" s="48"/>
      <c r="GW198" s="48"/>
      <c r="GX198" s="48"/>
      <c r="GY198" s="48"/>
      <c r="GZ198" s="48"/>
      <c r="HA198" s="48"/>
      <c r="HB198" s="48"/>
    </row>
    <row r="199" spans="1:210" ht="15.75" customHeight="1">
      <c r="A199" s="5"/>
      <c r="B199" s="5"/>
      <c r="C199" s="5"/>
      <c r="D199" s="5"/>
      <c r="E199" s="5"/>
      <c r="F199" s="5"/>
      <c r="G199" s="49"/>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48"/>
      <c r="CQ199" s="48"/>
      <c r="CR199" s="48"/>
      <c r="CS199" s="48"/>
      <c r="CT199" s="48"/>
      <c r="CU199" s="48"/>
      <c r="CV199" s="48"/>
      <c r="CW199" s="48"/>
      <c r="CX199" s="48"/>
      <c r="CY199" s="48"/>
      <c r="CZ199" s="48"/>
      <c r="DA199" s="48"/>
      <c r="DB199" s="48"/>
      <c r="DC199" s="48"/>
      <c r="DD199" s="48"/>
      <c r="DE199" s="48"/>
      <c r="DF199" s="48"/>
      <c r="DG199" s="48"/>
      <c r="DH199" s="48"/>
      <c r="DI199" s="48"/>
      <c r="DJ199" s="48"/>
      <c r="DK199" s="48"/>
      <c r="DL199" s="48"/>
      <c r="DM199" s="48"/>
      <c r="DN199" s="48"/>
      <c r="DO199" s="48"/>
      <c r="DP199" s="48"/>
      <c r="DQ199" s="48"/>
      <c r="DR199" s="48"/>
      <c r="DS199" s="48"/>
      <c r="DT199" s="48"/>
      <c r="DU199" s="48"/>
      <c r="DV199" s="48"/>
      <c r="DW199" s="48"/>
      <c r="DX199" s="48"/>
      <c r="DY199" s="48"/>
      <c r="DZ199" s="48"/>
      <c r="EA199" s="48"/>
      <c r="EB199" s="48"/>
      <c r="EC199" s="48"/>
      <c r="ED199" s="48"/>
      <c r="EE199" s="48"/>
      <c r="EF199" s="48"/>
      <c r="EG199" s="48"/>
      <c r="EH199" s="48"/>
      <c r="EI199" s="48"/>
      <c r="EJ199" s="48"/>
      <c r="EK199" s="48"/>
      <c r="EL199" s="48"/>
      <c r="EM199" s="48"/>
      <c r="EN199" s="48"/>
      <c r="EO199" s="48"/>
      <c r="EP199" s="48"/>
      <c r="EQ199" s="48"/>
      <c r="ER199" s="48"/>
      <c r="ES199" s="48"/>
      <c r="ET199" s="48"/>
      <c r="EU199" s="48"/>
      <c r="EV199" s="48"/>
      <c r="EW199" s="48"/>
      <c r="EX199" s="48"/>
      <c r="EY199" s="48"/>
      <c r="EZ199" s="48"/>
      <c r="FA199" s="48"/>
      <c r="FB199" s="48"/>
      <c r="FC199" s="48"/>
      <c r="FD199" s="48"/>
      <c r="FE199" s="48"/>
      <c r="FF199" s="48"/>
      <c r="FG199" s="48"/>
      <c r="FH199" s="48"/>
      <c r="FI199" s="48"/>
      <c r="FJ199" s="48"/>
      <c r="FK199" s="48"/>
      <c r="FL199" s="48"/>
      <c r="FM199" s="48"/>
      <c r="FN199" s="48"/>
      <c r="FO199" s="48"/>
      <c r="FP199" s="48"/>
      <c r="FQ199" s="48"/>
      <c r="FR199" s="48"/>
      <c r="FS199" s="48"/>
      <c r="FT199" s="48"/>
      <c r="FU199" s="48"/>
      <c r="FV199" s="48"/>
      <c r="FW199" s="48"/>
      <c r="FX199" s="48"/>
      <c r="FY199" s="48"/>
      <c r="FZ199" s="48"/>
      <c r="GA199" s="48"/>
      <c r="GB199" s="48"/>
      <c r="GC199" s="48"/>
      <c r="GD199" s="48"/>
      <c r="GE199" s="48"/>
      <c r="GF199" s="48"/>
      <c r="GG199" s="48"/>
      <c r="GH199" s="48"/>
      <c r="GI199" s="48"/>
      <c r="GJ199" s="48"/>
      <c r="GK199" s="48"/>
      <c r="GL199" s="48"/>
      <c r="GM199" s="48"/>
      <c r="GN199" s="48"/>
      <c r="GO199" s="48"/>
      <c r="GP199" s="48"/>
      <c r="GQ199" s="48"/>
      <c r="GR199" s="48"/>
      <c r="GS199" s="48"/>
      <c r="GT199" s="48"/>
      <c r="GU199" s="48"/>
      <c r="GV199" s="48"/>
      <c r="GW199" s="48"/>
      <c r="GX199" s="48"/>
      <c r="GY199" s="48"/>
      <c r="GZ199" s="48"/>
      <c r="HA199" s="48"/>
      <c r="HB199" s="48"/>
    </row>
    <row r="200" spans="1:210" ht="15.75" customHeight="1">
      <c r="A200" s="5"/>
      <c r="B200" s="5"/>
      <c r="C200" s="5"/>
      <c r="D200" s="5"/>
      <c r="E200" s="5"/>
      <c r="F200" s="5"/>
      <c r="G200" s="49"/>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48"/>
      <c r="CQ200" s="48"/>
      <c r="CR200" s="48"/>
      <c r="CS200" s="48"/>
      <c r="CT200" s="48"/>
      <c r="CU200" s="48"/>
      <c r="CV200" s="48"/>
      <c r="CW200" s="48"/>
      <c r="CX200" s="48"/>
      <c r="CY200" s="48"/>
      <c r="CZ200" s="48"/>
      <c r="DA200" s="48"/>
      <c r="DB200" s="48"/>
      <c r="DC200" s="48"/>
      <c r="DD200" s="48"/>
      <c r="DE200" s="48"/>
      <c r="DF200" s="48"/>
      <c r="DG200" s="48"/>
      <c r="DH200" s="48"/>
      <c r="DI200" s="48"/>
      <c r="DJ200" s="48"/>
      <c r="DK200" s="48"/>
      <c r="DL200" s="48"/>
      <c r="DM200" s="48"/>
      <c r="DN200" s="48"/>
      <c r="DO200" s="48"/>
      <c r="DP200" s="48"/>
      <c r="DQ200" s="48"/>
      <c r="DR200" s="48"/>
      <c r="DS200" s="48"/>
      <c r="DT200" s="48"/>
      <c r="DU200" s="48"/>
      <c r="DV200" s="48"/>
      <c r="DW200" s="48"/>
      <c r="DX200" s="48"/>
      <c r="DY200" s="48"/>
      <c r="DZ200" s="48"/>
      <c r="EA200" s="48"/>
      <c r="EB200" s="48"/>
      <c r="EC200" s="48"/>
      <c r="ED200" s="48"/>
      <c r="EE200" s="48"/>
      <c r="EF200" s="48"/>
      <c r="EG200" s="48"/>
      <c r="EH200" s="48"/>
      <c r="EI200" s="48"/>
      <c r="EJ200" s="48"/>
      <c r="EK200" s="48"/>
      <c r="EL200" s="48"/>
      <c r="EM200" s="48"/>
      <c r="EN200" s="48"/>
      <c r="EO200" s="48"/>
      <c r="EP200" s="48"/>
      <c r="EQ200" s="48"/>
      <c r="ER200" s="48"/>
      <c r="ES200" s="48"/>
      <c r="ET200" s="48"/>
      <c r="EU200" s="48"/>
      <c r="EV200" s="48"/>
      <c r="EW200" s="48"/>
      <c r="EX200" s="48"/>
      <c r="EY200" s="48"/>
      <c r="EZ200" s="48"/>
      <c r="FA200" s="48"/>
      <c r="FB200" s="48"/>
      <c r="FC200" s="48"/>
      <c r="FD200" s="48"/>
      <c r="FE200" s="48"/>
      <c r="FF200" s="48"/>
      <c r="FG200" s="48"/>
      <c r="FH200" s="48"/>
      <c r="FI200" s="48"/>
      <c r="FJ200" s="48"/>
      <c r="FK200" s="48"/>
      <c r="FL200" s="48"/>
      <c r="FM200" s="48"/>
      <c r="FN200" s="48"/>
      <c r="FO200" s="48"/>
      <c r="FP200" s="48"/>
      <c r="FQ200" s="48"/>
      <c r="FR200" s="48"/>
      <c r="FS200" s="48"/>
      <c r="FT200" s="48"/>
      <c r="FU200" s="48"/>
      <c r="FV200" s="48"/>
      <c r="FW200" s="48"/>
      <c r="FX200" s="48"/>
      <c r="FY200" s="48"/>
      <c r="FZ200" s="48"/>
      <c r="GA200" s="48"/>
      <c r="GB200" s="48"/>
      <c r="GC200" s="48"/>
      <c r="GD200" s="48"/>
      <c r="GE200" s="48"/>
      <c r="GF200" s="48"/>
      <c r="GG200" s="48"/>
      <c r="GH200" s="48"/>
      <c r="GI200" s="48"/>
      <c r="GJ200" s="48"/>
      <c r="GK200" s="48"/>
      <c r="GL200" s="48"/>
      <c r="GM200" s="48"/>
      <c r="GN200" s="48"/>
      <c r="GO200" s="48"/>
      <c r="GP200" s="48"/>
      <c r="GQ200" s="48"/>
      <c r="GR200" s="48"/>
      <c r="GS200" s="48"/>
      <c r="GT200" s="48"/>
      <c r="GU200" s="48"/>
      <c r="GV200" s="48"/>
      <c r="GW200" s="48"/>
      <c r="GX200" s="48"/>
      <c r="GY200" s="48"/>
      <c r="GZ200" s="48"/>
      <c r="HA200" s="48"/>
      <c r="HB200" s="48"/>
    </row>
    <row r="201" spans="1:210" ht="15.75" customHeight="1">
      <c r="A201" s="5"/>
      <c r="B201" s="5"/>
      <c r="C201" s="5"/>
      <c r="D201" s="5"/>
      <c r="E201" s="5"/>
      <c r="F201" s="5"/>
      <c r="G201" s="49"/>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48"/>
      <c r="CQ201" s="48"/>
      <c r="CR201" s="48"/>
      <c r="CS201" s="48"/>
      <c r="CT201" s="48"/>
      <c r="CU201" s="48"/>
      <c r="CV201" s="48"/>
      <c r="CW201" s="48"/>
      <c r="CX201" s="48"/>
      <c r="CY201" s="48"/>
      <c r="CZ201" s="48"/>
      <c r="DA201" s="48"/>
      <c r="DB201" s="48"/>
      <c r="DC201" s="48"/>
      <c r="DD201" s="48"/>
      <c r="DE201" s="48"/>
      <c r="DF201" s="48"/>
      <c r="DG201" s="48"/>
      <c r="DH201" s="48"/>
      <c r="DI201" s="48"/>
      <c r="DJ201" s="48"/>
      <c r="DK201" s="48"/>
      <c r="DL201" s="48"/>
      <c r="DM201" s="48"/>
      <c r="DN201" s="48"/>
      <c r="DO201" s="48"/>
      <c r="DP201" s="48"/>
      <c r="DQ201" s="48"/>
      <c r="DR201" s="48"/>
      <c r="DS201" s="48"/>
      <c r="DT201" s="48"/>
      <c r="DU201" s="48"/>
      <c r="DV201" s="48"/>
      <c r="DW201" s="48"/>
      <c r="DX201" s="48"/>
      <c r="DY201" s="48"/>
      <c r="DZ201" s="48"/>
      <c r="EA201" s="48"/>
      <c r="EB201" s="48"/>
      <c r="EC201" s="48"/>
      <c r="ED201" s="48"/>
      <c r="EE201" s="48"/>
      <c r="EF201" s="48"/>
      <c r="EG201" s="48"/>
      <c r="EH201" s="48"/>
      <c r="EI201" s="48"/>
      <c r="EJ201" s="48"/>
      <c r="EK201" s="48"/>
      <c r="EL201" s="48"/>
      <c r="EM201" s="48"/>
      <c r="EN201" s="48"/>
      <c r="EO201" s="48"/>
      <c r="EP201" s="48"/>
      <c r="EQ201" s="48"/>
      <c r="ER201" s="48"/>
      <c r="ES201" s="48"/>
      <c r="ET201" s="48"/>
      <c r="EU201" s="48"/>
      <c r="EV201" s="48"/>
      <c r="EW201" s="48"/>
      <c r="EX201" s="48"/>
      <c r="EY201" s="48"/>
      <c r="EZ201" s="48"/>
      <c r="FA201" s="48"/>
      <c r="FB201" s="48"/>
      <c r="FC201" s="48"/>
      <c r="FD201" s="48"/>
      <c r="FE201" s="48"/>
      <c r="FF201" s="48"/>
      <c r="FG201" s="48"/>
      <c r="FH201" s="48"/>
      <c r="FI201" s="48"/>
      <c r="FJ201" s="48"/>
      <c r="FK201" s="48"/>
      <c r="FL201" s="48"/>
      <c r="FM201" s="48"/>
      <c r="FN201" s="48"/>
      <c r="FO201" s="48"/>
      <c r="FP201" s="48"/>
      <c r="FQ201" s="48"/>
      <c r="FR201" s="48"/>
      <c r="FS201" s="48"/>
      <c r="FT201" s="48"/>
      <c r="FU201" s="48"/>
      <c r="FV201" s="48"/>
      <c r="FW201" s="48"/>
      <c r="FX201" s="48"/>
      <c r="FY201" s="48"/>
      <c r="FZ201" s="48"/>
      <c r="GA201" s="48"/>
      <c r="GB201" s="48"/>
      <c r="GC201" s="48"/>
      <c r="GD201" s="48"/>
      <c r="GE201" s="48"/>
      <c r="GF201" s="48"/>
      <c r="GG201" s="48"/>
      <c r="GH201" s="48"/>
      <c r="GI201" s="48"/>
      <c r="GJ201" s="48"/>
      <c r="GK201" s="48"/>
      <c r="GL201" s="48"/>
      <c r="GM201" s="48"/>
      <c r="GN201" s="48"/>
      <c r="GO201" s="48"/>
      <c r="GP201" s="48"/>
      <c r="GQ201" s="48"/>
      <c r="GR201" s="48"/>
      <c r="GS201" s="48"/>
      <c r="GT201" s="48"/>
      <c r="GU201" s="48"/>
      <c r="GV201" s="48"/>
      <c r="GW201" s="48"/>
      <c r="GX201" s="48"/>
      <c r="GY201" s="48"/>
      <c r="GZ201" s="48"/>
      <c r="HA201" s="48"/>
      <c r="HB201" s="48"/>
    </row>
    <row r="202" spans="1:210" ht="15.75" customHeight="1">
      <c r="A202" s="5"/>
      <c r="B202" s="5"/>
      <c r="C202" s="5"/>
      <c r="D202" s="5"/>
      <c r="E202" s="5"/>
      <c r="F202" s="5"/>
      <c r="G202" s="49"/>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48"/>
      <c r="CQ202" s="48"/>
      <c r="CR202" s="48"/>
      <c r="CS202" s="48"/>
      <c r="CT202" s="48"/>
      <c r="CU202" s="48"/>
      <c r="CV202" s="48"/>
      <c r="CW202" s="48"/>
      <c r="CX202" s="48"/>
      <c r="CY202" s="48"/>
      <c r="CZ202" s="48"/>
      <c r="DA202" s="48"/>
      <c r="DB202" s="48"/>
      <c r="DC202" s="48"/>
      <c r="DD202" s="48"/>
      <c r="DE202" s="48"/>
      <c r="DF202" s="48"/>
      <c r="DG202" s="48"/>
      <c r="DH202" s="48"/>
      <c r="DI202" s="48"/>
      <c r="DJ202" s="48"/>
      <c r="DK202" s="48"/>
      <c r="DL202" s="48"/>
      <c r="DM202" s="48"/>
      <c r="DN202" s="48"/>
      <c r="DO202" s="48"/>
      <c r="DP202" s="48"/>
      <c r="DQ202" s="48"/>
      <c r="DR202" s="48"/>
      <c r="DS202" s="48"/>
      <c r="DT202" s="48"/>
      <c r="DU202" s="48"/>
      <c r="DV202" s="48"/>
      <c r="DW202" s="48"/>
      <c r="DX202" s="48"/>
      <c r="DY202" s="48"/>
      <c r="DZ202" s="48"/>
      <c r="EA202" s="48"/>
      <c r="EB202" s="48"/>
      <c r="EC202" s="48"/>
      <c r="ED202" s="48"/>
      <c r="EE202" s="48"/>
      <c r="EF202" s="48"/>
      <c r="EG202" s="48"/>
      <c r="EH202" s="48"/>
      <c r="EI202" s="48"/>
      <c r="EJ202" s="48"/>
      <c r="EK202" s="48"/>
      <c r="EL202" s="48"/>
      <c r="EM202" s="48"/>
      <c r="EN202" s="48"/>
      <c r="EO202" s="48"/>
      <c r="EP202" s="48"/>
      <c r="EQ202" s="48"/>
      <c r="ER202" s="48"/>
      <c r="ES202" s="48"/>
      <c r="ET202" s="48"/>
      <c r="EU202" s="48"/>
      <c r="EV202" s="48"/>
      <c r="EW202" s="48"/>
      <c r="EX202" s="48"/>
      <c r="EY202" s="48"/>
      <c r="EZ202" s="48"/>
      <c r="FA202" s="48"/>
      <c r="FB202" s="48"/>
      <c r="FC202" s="48"/>
      <c r="FD202" s="48"/>
      <c r="FE202" s="48"/>
      <c r="FF202" s="48"/>
      <c r="FG202" s="48"/>
      <c r="FH202" s="48"/>
      <c r="FI202" s="48"/>
      <c r="FJ202" s="48"/>
      <c r="FK202" s="48"/>
      <c r="FL202" s="48"/>
      <c r="FM202" s="48"/>
      <c r="FN202" s="48"/>
      <c r="FO202" s="48"/>
      <c r="FP202" s="48"/>
      <c r="FQ202" s="48"/>
      <c r="FR202" s="48"/>
      <c r="FS202" s="48"/>
      <c r="FT202" s="48"/>
      <c r="FU202" s="48"/>
      <c r="FV202" s="48"/>
      <c r="FW202" s="48"/>
      <c r="FX202" s="48"/>
      <c r="FY202" s="48"/>
      <c r="FZ202" s="48"/>
      <c r="GA202" s="48"/>
      <c r="GB202" s="48"/>
      <c r="GC202" s="48"/>
      <c r="GD202" s="48"/>
      <c r="GE202" s="48"/>
      <c r="GF202" s="48"/>
      <c r="GG202" s="48"/>
      <c r="GH202" s="48"/>
      <c r="GI202" s="48"/>
      <c r="GJ202" s="48"/>
      <c r="GK202" s="48"/>
      <c r="GL202" s="48"/>
      <c r="GM202" s="48"/>
      <c r="GN202" s="48"/>
      <c r="GO202" s="48"/>
      <c r="GP202" s="48"/>
      <c r="GQ202" s="48"/>
      <c r="GR202" s="48"/>
      <c r="GS202" s="48"/>
      <c r="GT202" s="48"/>
      <c r="GU202" s="48"/>
      <c r="GV202" s="48"/>
      <c r="GW202" s="48"/>
      <c r="GX202" s="48"/>
      <c r="GY202" s="48"/>
      <c r="GZ202" s="48"/>
      <c r="HA202" s="48"/>
      <c r="HB202" s="48"/>
    </row>
    <row r="203" spans="1:210" ht="15.75" customHeight="1">
      <c r="A203" s="5"/>
      <c r="B203" s="5"/>
      <c r="C203" s="5"/>
      <c r="D203" s="5"/>
      <c r="E203" s="5"/>
      <c r="F203" s="5"/>
      <c r="G203" s="49"/>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48"/>
      <c r="CQ203" s="48"/>
      <c r="CR203" s="48"/>
      <c r="CS203" s="48"/>
      <c r="CT203" s="48"/>
      <c r="CU203" s="48"/>
      <c r="CV203" s="48"/>
      <c r="CW203" s="48"/>
      <c r="CX203" s="48"/>
      <c r="CY203" s="48"/>
      <c r="CZ203" s="48"/>
      <c r="DA203" s="48"/>
      <c r="DB203" s="48"/>
      <c r="DC203" s="48"/>
      <c r="DD203" s="48"/>
      <c r="DE203" s="48"/>
      <c r="DF203" s="48"/>
      <c r="DG203" s="48"/>
      <c r="DH203" s="48"/>
      <c r="DI203" s="48"/>
      <c r="DJ203" s="48"/>
      <c r="DK203" s="48"/>
      <c r="DL203" s="48"/>
      <c r="DM203" s="48"/>
      <c r="DN203" s="48"/>
      <c r="DO203" s="48"/>
      <c r="DP203" s="48"/>
      <c r="DQ203" s="48"/>
      <c r="DR203" s="48"/>
      <c r="DS203" s="48"/>
      <c r="DT203" s="48"/>
      <c r="DU203" s="48"/>
      <c r="DV203" s="48"/>
      <c r="DW203" s="48"/>
      <c r="DX203" s="48"/>
      <c r="DY203" s="48"/>
      <c r="DZ203" s="48"/>
      <c r="EA203" s="48"/>
      <c r="EB203" s="48"/>
      <c r="EC203" s="48"/>
      <c r="ED203" s="48"/>
      <c r="EE203" s="48"/>
      <c r="EF203" s="48"/>
      <c r="EG203" s="48"/>
      <c r="EH203" s="48"/>
      <c r="EI203" s="48"/>
      <c r="EJ203" s="48"/>
      <c r="EK203" s="48"/>
      <c r="EL203" s="48"/>
      <c r="EM203" s="48"/>
      <c r="EN203" s="48"/>
      <c r="EO203" s="48"/>
      <c r="EP203" s="48"/>
      <c r="EQ203" s="48"/>
      <c r="ER203" s="48"/>
      <c r="ES203" s="48"/>
      <c r="ET203" s="48"/>
      <c r="EU203" s="48"/>
      <c r="EV203" s="48"/>
      <c r="EW203" s="48"/>
      <c r="EX203" s="48"/>
      <c r="EY203" s="48"/>
      <c r="EZ203" s="48"/>
      <c r="FA203" s="48"/>
      <c r="FB203" s="48"/>
      <c r="FC203" s="48"/>
      <c r="FD203" s="48"/>
      <c r="FE203" s="48"/>
      <c r="FF203" s="48"/>
      <c r="FG203" s="48"/>
      <c r="FH203" s="48"/>
      <c r="FI203" s="48"/>
      <c r="FJ203" s="48"/>
      <c r="FK203" s="48"/>
      <c r="FL203" s="48"/>
      <c r="FM203" s="48"/>
      <c r="FN203" s="48"/>
      <c r="FO203" s="48"/>
      <c r="FP203" s="48"/>
      <c r="FQ203" s="48"/>
      <c r="FR203" s="48"/>
      <c r="FS203" s="48"/>
      <c r="FT203" s="48"/>
      <c r="FU203" s="48"/>
      <c r="FV203" s="48"/>
      <c r="FW203" s="48"/>
      <c r="FX203" s="48"/>
      <c r="FY203" s="48"/>
      <c r="FZ203" s="48"/>
      <c r="GA203" s="48"/>
      <c r="GB203" s="48"/>
      <c r="GC203" s="48"/>
      <c r="GD203" s="48"/>
      <c r="GE203" s="48"/>
      <c r="GF203" s="48"/>
      <c r="GG203" s="48"/>
      <c r="GH203" s="48"/>
      <c r="GI203" s="48"/>
      <c r="GJ203" s="48"/>
      <c r="GK203" s="48"/>
      <c r="GL203" s="48"/>
      <c r="GM203" s="48"/>
      <c r="GN203" s="48"/>
      <c r="GO203" s="48"/>
      <c r="GP203" s="48"/>
      <c r="GQ203" s="48"/>
      <c r="GR203" s="48"/>
      <c r="GS203" s="48"/>
      <c r="GT203" s="48"/>
      <c r="GU203" s="48"/>
      <c r="GV203" s="48"/>
      <c r="GW203" s="48"/>
      <c r="GX203" s="48"/>
      <c r="GY203" s="48"/>
      <c r="GZ203" s="48"/>
      <c r="HA203" s="48"/>
      <c r="HB203" s="48"/>
    </row>
    <row r="204" spans="1:210" ht="15.75" customHeight="1">
      <c r="A204" s="5"/>
      <c r="B204" s="5"/>
      <c r="C204" s="5"/>
      <c r="D204" s="5"/>
      <c r="E204" s="5"/>
      <c r="F204" s="5"/>
      <c r="G204" s="49"/>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48"/>
      <c r="CQ204" s="48"/>
      <c r="CR204" s="48"/>
      <c r="CS204" s="48"/>
      <c r="CT204" s="48"/>
      <c r="CU204" s="48"/>
      <c r="CV204" s="48"/>
      <c r="CW204" s="48"/>
      <c r="CX204" s="48"/>
      <c r="CY204" s="48"/>
      <c r="CZ204" s="48"/>
      <c r="DA204" s="48"/>
      <c r="DB204" s="48"/>
      <c r="DC204" s="48"/>
      <c r="DD204" s="48"/>
      <c r="DE204" s="48"/>
      <c r="DF204" s="48"/>
      <c r="DG204" s="48"/>
      <c r="DH204" s="48"/>
      <c r="DI204" s="48"/>
      <c r="DJ204" s="48"/>
      <c r="DK204" s="48"/>
      <c r="DL204" s="48"/>
      <c r="DM204" s="48"/>
      <c r="DN204" s="48"/>
      <c r="DO204" s="48"/>
      <c r="DP204" s="48"/>
      <c r="DQ204" s="48"/>
      <c r="DR204" s="48"/>
      <c r="DS204" s="48"/>
      <c r="DT204" s="48"/>
      <c r="DU204" s="48"/>
      <c r="DV204" s="48"/>
      <c r="DW204" s="48"/>
      <c r="DX204" s="48"/>
      <c r="DY204" s="48"/>
      <c r="DZ204" s="48"/>
      <c r="EA204" s="48"/>
      <c r="EB204" s="48"/>
      <c r="EC204" s="48"/>
      <c r="ED204" s="48"/>
      <c r="EE204" s="48"/>
      <c r="EF204" s="48"/>
      <c r="EG204" s="48"/>
      <c r="EH204" s="48"/>
      <c r="EI204" s="48"/>
      <c r="EJ204" s="48"/>
      <c r="EK204" s="48"/>
      <c r="EL204" s="48"/>
      <c r="EM204" s="48"/>
      <c r="EN204" s="48"/>
      <c r="EO204" s="48"/>
      <c r="EP204" s="48"/>
      <c r="EQ204" s="48"/>
      <c r="ER204" s="48"/>
      <c r="ES204" s="48"/>
      <c r="ET204" s="48"/>
      <c r="EU204" s="48"/>
      <c r="EV204" s="48"/>
      <c r="EW204" s="48"/>
      <c r="EX204" s="48"/>
      <c r="EY204" s="48"/>
      <c r="EZ204" s="48"/>
      <c r="FA204" s="48"/>
      <c r="FB204" s="48"/>
      <c r="FC204" s="48"/>
      <c r="FD204" s="48"/>
      <c r="FE204" s="48"/>
      <c r="FF204" s="48"/>
      <c r="FG204" s="48"/>
      <c r="FH204" s="48"/>
      <c r="FI204" s="48"/>
      <c r="FJ204" s="48"/>
      <c r="FK204" s="48"/>
      <c r="FL204" s="48"/>
      <c r="FM204" s="48"/>
      <c r="FN204" s="48"/>
      <c r="FO204" s="48"/>
      <c r="FP204" s="48"/>
      <c r="FQ204" s="48"/>
      <c r="FR204" s="48"/>
      <c r="FS204" s="48"/>
      <c r="FT204" s="48"/>
      <c r="FU204" s="48"/>
      <c r="FV204" s="48"/>
      <c r="FW204" s="48"/>
      <c r="FX204" s="48"/>
      <c r="FY204" s="48"/>
      <c r="FZ204" s="48"/>
      <c r="GA204" s="48"/>
      <c r="GB204" s="48"/>
      <c r="GC204" s="48"/>
      <c r="GD204" s="48"/>
      <c r="GE204" s="48"/>
      <c r="GF204" s="48"/>
      <c r="GG204" s="48"/>
      <c r="GH204" s="48"/>
      <c r="GI204" s="48"/>
      <c r="GJ204" s="48"/>
      <c r="GK204" s="48"/>
      <c r="GL204" s="48"/>
      <c r="GM204" s="48"/>
      <c r="GN204" s="48"/>
      <c r="GO204" s="48"/>
      <c r="GP204" s="48"/>
      <c r="GQ204" s="48"/>
      <c r="GR204" s="48"/>
      <c r="GS204" s="48"/>
      <c r="GT204" s="48"/>
      <c r="GU204" s="48"/>
      <c r="GV204" s="48"/>
      <c r="GW204" s="48"/>
      <c r="GX204" s="48"/>
      <c r="GY204" s="48"/>
      <c r="GZ204" s="48"/>
      <c r="HA204" s="48"/>
      <c r="HB204" s="48"/>
    </row>
    <row r="205" spans="1:210" ht="15.75" customHeight="1">
      <c r="A205" s="5"/>
      <c r="B205" s="5"/>
      <c r="C205" s="5"/>
      <c r="D205" s="5"/>
      <c r="E205" s="5"/>
      <c r="F205" s="5"/>
      <c r="G205" s="49"/>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48"/>
      <c r="CQ205" s="48"/>
      <c r="CR205" s="48"/>
      <c r="CS205" s="48"/>
      <c r="CT205" s="48"/>
      <c r="CU205" s="48"/>
      <c r="CV205" s="48"/>
      <c r="CW205" s="48"/>
      <c r="CX205" s="48"/>
      <c r="CY205" s="48"/>
      <c r="CZ205" s="48"/>
      <c r="DA205" s="48"/>
      <c r="DB205" s="48"/>
      <c r="DC205" s="48"/>
      <c r="DD205" s="48"/>
      <c r="DE205" s="48"/>
      <c r="DF205" s="48"/>
      <c r="DG205" s="48"/>
      <c r="DH205" s="48"/>
      <c r="DI205" s="48"/>
      <c r="DJ205" s="48"/>
      <c r="DK205" s="48"/>
      <c r="DL205" s="48"/>
      <c r="DM205" s="48"/>
      <c r="DN205" s="48"/>
      <c r="DO205" s="48"/>
      <c r="DP205" s="48"/>
      <c r="DQ205" s="48"/>
      <c r="DR205" s="48"/>
      <c r="DS205" s="48"/>
      <c r="DT205" s="48"/>
      <c r="DU205" s="48"/>
      <c r="DV205" s="48"/>
      <c r="DW205" s="48"/>
      <c r="DX205" s="48"/>
      <c r="DY205" s="48"/>
      <c r="DZ205" s="48"/>
      <c r="EA205" s="48"/>
      <c r="EB205" s="48"/>
      <c r="EC205" s="48"/>
      <c r="ED205" s="48"/>
      <c r="EE205" s="48"/>
      <c r="EF205" s="48"/>
      <c r="EG205" s="48"/>
      <c r="EH205" s="48"/>
      <c r="EI205" s="48"/>
      <c r="EJ205" s="48"/>
      <c r="EK205" s="48"/>
      <c r="EL205" s="48"/>
      <c r="EM205" s="48"/>
      <c r="EN205" s="48"/>
      <c r="EO205" s="48"/>
      <c r="EP205" s="48"/>
      <c r="EQ205" s="48"/>
      <c r="ER205" s="48"/>
      <c r="ES205" s="48"/>
      <c r="ET205" s="48"/>
      <c r="EU205" s="48"/>
      <c r="EV205" s="48"/>
      <c r="EW205" s="48"/>
      <c r="EX205" s="48"/>
      <c r="EY205" s="48"/>
      <c r="EZ205" s="48"/>
      <c r="FA205" s="48"/>
      <c r="FB205" s="48"/>
      <c r="FC205" s="48"/>
      <c r="FD205" s="48"/>
      <c r="FE205" s="48"/>
      <c r="FF205" s="48"/>
      <c r="FG205" s="48"/>
      <c r="FH205" s="48"/>
      <c r="FI205" s="48"/>
      <c r="FJ205" s="48"/>
      <c r="FK205" s="48"/>
      <c r="FL205" s="48"/>
      <c r="FM205" s="48"/>
      <c r="FN205" s="48"/>
      <c r="FO205" s="48"/>
      <c r="FP205" s="48"/>
      <c r="FQ205" s="48"/>
      <c r="FR205" s="48"/>
      <c r="FS205" s="48"/>
      <c r="FT205" s="48"/>
      <c r="FU205" s="48"/>
      <c r="FV205" s="48"/>
      <c r="FW205" s="48"/>
      <c r="FX205" s="48"/>
      <c r="FY205" s="48"/>
      <c r="FZ205" s="48"/>
      <c r="GA205" s="48"/>
      <c r="GB205" s="48"/>
      <c r="GC205" s="48"/>
      <c r="GD205" s="48"/>
      <c r="GE205" s="48"/>
      <c r="GF205" s="48"/>
      <c r="GG205" s="48"/>
      <c r="GH205" s="48"/>
      <c r="GI205" s="48"/>
      <c r="GJ205" s="48"/>
      <c r="GK205" s="48"/>
      <c r="GL205" s="48"/>
      <c r="GM205" s="48"/>
      <c r="GN205" s="48"/>
      <c r="GO205" s="48"/>
      <c r="GP205" s="48"/>
      <c r="GQ205" s="48"/>
      <c r="GR205" s="48"/>
      <c r="GS205" s="48"/>
      <c r="GT205" s="48"/>
      <c r="GU205" s="48"/>
      <c r="GV205" s="48"/>
      <c r="GW205" s="48"/>
      <c r="GX205" s="48"/>
      <c r="GY205" s="48"/>
      <c r="GZ205" s="48"/>
      <c r="HA205" s="48"/>
      <c r="HB205" s="48"/>
    </row>
    <row r="206" spans="1:210" ht="15.75" customHeight="1">
      <c r="A206" s="5"/>
      <c r="B206" s="5"/>
      <c r="C206" s="5"/>
      <c r="D206" s="5"/>
      <c r="E206" s="5"/>
      <c r="F206" s="5"/>
      <c r="G206" s="49"/>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48"/>
      <c r="CQ206" s="48"/>
      <c r="CR206" s="48"/>
      <c r="CS206" s="48"/>
      <c r="CT206" s="48"/>
      <c r="CU206" s="48"/>
      <c r="CV206" s="48"/>
      <c r="CW206" s="48"/>
      <c r="CX206" s="48"/>
      <c r="CY206" s="48"/>
      <c r="CZ206" s="48"/>
      <c r="DA206" s="48"/>
      <c r="DB206" s="48"/>
      <c r="DC206" s="48"/>
      <c r="DD206" s="48"/>
      <c r="DE206" s="48"/>
      <c r="DF206" s="48"/>
      <c r="DG206" s="48"/>
      <c r="DH206" s="48"/>
      <c r="DI206" s="48"/>
      <c r="DJ206" s="48"/>
      <c r="DK206" s="48"/>
      <c r="DL206" s="48"/>
      <c r="DM206" s="48"/>
      <c r="DN206" s="48"/>
      <c r="DO206" s="48"/>
      <c r="DP206" s="48"/>
      <c r="DQ206" s="48"/>
      <c r="DR206" s="48"/>
      <c r="DS206" s="48"/>
      <c r="DT206" s="48"/>
      <c r="DU206" s="48"/>
      <c r="DV206" s="48"/>
      <c r="DW206" s="48"/>
      <c r="DX206" s="48"/>
      <c r="DY206" s="48"/>
      <c r="DZ206" s="48"/>
      <c r="EA206" s="48"/>
      <c r="EB206" s="48"/>
      <c r="EC206" s="48"/>
      <c r="ED206" s="48"/>
      <c r="EE206" s="48"/>
      <c r="EF206" s="48"/>
      <c r="EG206" s="48"/>
      <c r="EH206" s="48"/>
      <c r="EI206" s="48"/>
      <c r="EJ206" s="48"/>
      <c r="EK206" s="48"/>
      <c r="EL206" s="48"/>
      <c r="EM206" s="48"/>
      <c r="EN206" s="48"/>
      <c r="EO206" s="48"/>
      <c r="EP206" s="48"/>
      <c r="EQ206" s="48"/>
      <c r="ER206" s="48"/>
      <c r="ES206" s="48"/>
      <c r="ET206" s="48"/>
      <c r="EU206" s="48"/>
      <c r="EV206" s="48"/>
      <c r="EW206" s="48"/>
      <c r="EX206" s="48"/>
      <c r="EY206" s="48"/>
      <c r="EZ206" s="48"/>
      <c r="FA206" s="48"/>
      <c r="FB206" s="48"/>
      <c r="FC206" s="48"/>
      <c r="FD206" s="48"/>
      <c r="FE206" s="48"/>
      <c r="FF206" s="48"/>
      <c r="FG206" s="48"/>
      <c r="FH206" s="48"/>
      <c r="FI206" s="48"/>
      <c r="FJ206" s="48"/>
      <c r="FK206" s="48"/>
      <c r="FL206" s="48"/>
      <c r="FM206" s="48"/>
      <c r="FN206" s="48"/>
      <c r="FO206" s="48"/>
      <c r="FP206" s="48"/>
      <c r="FQ206" s="48"/>
      <c r="FR206" s="48"/>
      <c r="FS206" s="48"/>
      <c r="FT206" s="48"/>
      <c r="FU206" s="48"/>
      <c r="FV206" s="48"/>
      <c r="FW206" s="48"/>
      <c r="FX206" s="48"/>
      <c r="FY206" s="48"/>
      <c r="FZ206" s="48"/>
      <c r="GA206" s="48"/>
      <c r="GB206" s="48"/>
      <c r="GC206" s="48"/>
      <c r="GD206" s="48"/>
      <c r="GE206" s="48"/>
      <c r="GF206" s="48"/>
      <c r="GG206" s="48"/>
      <c r="GH206" s="48"/>
      <c r="GI206" s="48"/>
      <c r="GJ206" s="48"/>
      <c r="GK206" s="48"/>
      <c r="GL206" s="48"/>
      <c r="GM206" s="48"/>
      <c r="GN206" s="48"/>
      <c r="GO206" s="48"/>
      <c r="GP206" s="48"/>
      <c r="GQ206" s="48"/>
      <c r="GR206" s="48"/>
      <c r="GS206" s="48"/>
      <c r="GT206" s="48"/>
      <c r="GU206" s="48"/>
      <c r="GV206" s="48"/>
      <c r="GW206" s="48"/>
      <c r="GX206" s="48"/>
      <c r="GY206" s="48"/>
      <c r="GZ206" s="48"/>
      <c r="HA206" s="48"/>
      <c r="HB206" s="48"/>
    </row>
    <row r="207" spans="1:210" ht="15.75" customHeight="1">
      <c r="A207" s="5"/>
      <c r="B207" s="5"/>
      <c r="C207" s="5"/>
      <c r="D207" s="5"/>
      <c r="E207" s="5"/>
      <c r="F207" s="5"/>
      <c r="G207" s="49"/>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48"/>
      <c r="CQ207" s="48"/>
      <c r="CR207" s="48"/>
      <c r="CS207" s="48"/>
      <c r="CT207" s="48"/>
      <c r="CU207" s="48"/>
      <c r="CV207" s="48"/>
      <c r="CW207" s="48"/>
      <c r="CX207" s="48"/>
      <c r="CY207" s="48"/>
      <c r="CZ207" s="48"/>
      <c r="DA207" s="48"/>
      <c r="DB207" s="48"/>
      <c r="DC207" s="48"/>
      <c r="DD207" s="48"/>
      <c r="DE207" s="48"/>
      <c r="DF207" s="48"/>
      <c r="DG207" s="48"/>
      <c r="DH207" s="48"/>
      <c r="DI207" s="48"/>
      <c r="DJ207" s="48"/>
      <c r="DK207" s="48"/>
      <c r="DL207" s="48"/>
      <c r="DM207" s="48"/>
      <c r="DN207" s="48"/>
      <c r="DO207" s="48"/>
      <c r="DP207" s="48"/>
      <c r="DQ207" s="48"/>
      <c r="DR207" s="48"/>
      <c r="DS207" s="48"/>
      <c r="DT207" s="48"/>
      <c r="DU207" s="48"/>
      <c r="DV207" s="48"/>
      <c r="DW207" s="48"/>
      <c r="DX207" s="48"/>
      <c r="DY207" s="48"/>
      <c r="DZ207" s="48"/>
      <c r="EA207" s="48"/>
      <c r="EB207" s="48"/>
      <c r="EC207" s="48"/>
      <c r="ED207" s="48"/>
      <c r="EE207" s="48"/>
      <c r="EF207" s="48"/>
      <c r="EG207" s="48"/>
      <c r="EH207" s="48"/>
      <c r="EI207" s="48"/>
      <c r="EJ207" s="48"/>
      <c r="EK207" s="48"/>
      <c r="EL207" s="48"/>
      <c r="EM207" s="48"/>
      <c r="EN207" s="48"/>
      <c r="EO207" s="48"/>
      <c r="EP207" s="48"/>
      <c r="EQ207" s="48"/>
      <c r="ER207" s="48"/>
      <c r="ES207" s="48"/>
      <c r="ET207" s="48"/>
      <c r="EU207" s="48"/>
      <c r="EV207" s="48"/>
      <c r="EW207" s="48"/>
      <c r="EX207" s="48"/>
      <c r="EY207" s="48"/>
      <c r="EZ207" s="48"/>
      <c r="FA207" s="48"/>
      <c r="FB207" s="48"/>
      <c r="FC207" s="48"/>
      <c r="FD207" s="48"/>
      <c r="FE207" s="48"/>
      <c r="FF207" s="48"/>
      <c r="FG207" s="48"/>
      <c r="FH207" s="48"/>
      <c r="FI207" s="48"/>
      <c r="FJ207" s="48"/>
      <c r="FK207" s="48"/>
      <c r="FL207" s="48"/>
      <c r="FM207" s="48"/>
      <c r="FN207" s="48"/>
      <c r="FO207" s="48"/>
      <c r="FP207" s="48"/>
      <c r="FQ207" s="48"/>
      <c r="FR207" s="48"/>
      <c r="FS207" s="48"/>
      <c r="FT207" s="48"/>
      <c r="FU207" s="48"/>
      <c r="FV207" s="48"/>
      <c r="FW207" s="48"/>
      <c r="FX207" s="48"/>
      <c r="FY207" s="48"/>
      <c r="FZ207" s="48"/>
      <c r="GA207" s="48"/>
      <c r="GB207" s="48"/>
      <c r="GC207" s="48"/>
      <c r="GD207" s="48"/>
      <c r="GE207" s="48"/>
      <c r="GF207" s="48"/>
      <c r="GG207" s="48"/>
      <c r="GH207" s="48"/>
      <c r="GI207" s="48"/>
      <c r="GJ207" s="48"/>
      <c r="GK207" s="48"/>
      <c r="GL207" s="48"/>
      <c r="GM207" s="48"/>
      <c r="GN207" s="48"/>
      <c r="GO207" s="48"/>
      <c r="GP207" s="48"/>
      <c r="GQ207" s="48"/>
      <c r="GR207" s="48"/>
      <c r="GS207" s="48"/>
      <c r="GT207" s="48"/>
      <c r="GU207" s="48"/>
      <c r="GV207" s="48"/>
      <c r="GW207" s="48"/>
      <c r="GX207" s="48"/>
      <c r="GY207" s="48"/>
      <c r="GZ207" s="48"/>
      <c r="HA207" s="48"/>
      <c r="HB207" s="48"/>
    </row>
    <row r="208" spans="1:210" ht="15.75" customHeight="1">
      <c r="A208" s="5"/>
      <c r="B208" s="5"/>
      <c r="C208" s="5"/>
      <c r="D208" s="5"/>
      <c r="E208" s="5"/>
      <c r="F208" s="5"/>
      <c r="G208" s="49"/>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48"/>
      <c r="CQ208" s="48"/>
      <c r="CR208" s="48"/>
      <c r="CS208" s="48"/>
      <c r="CT208" s="48"/>
      <c r="CU208" s="48"/>
      <c r="CV208" s="48"/>
      <c r="CW208" s="48"/>
      <c r="CX208" s="48"/>
      <c r="CY208" s="48"/>
      <c r="CZ208" s="48"/>
      <c r="DA208" s="48"/>
      <c r="DB208" s="48"/>
      <c r="DC208" s="48"/>
      <c r="DD208" s="48"/>
      <c r="DE208" s="48"/>
      <c r="DF208" s="48"/>
      <c r="DG208" s="48"/>
      <c r="DH208" s="48"/>
      <c r="DI208" s="48"/>
      <c r="DJ208" s="48"/>
      <c r="DK208" s="48"/>
      <c r="DL208" s="48"/>
      <c r="DM208" s="48"/>
      <c r="DN208" s="48"/>
      <c r="DO208" s="48"/>
      <c r="DP208" s="48"/>
      <c r="DQ208" s="48"/>
      <c r="DR208" s="48"/>
      <c r="DS208" s="48"/>
      <c r="DT208" s="48"/>
      <c r="DU208" s="48"/>
      <c r="DV208" s="48"/>
      <c r="DW208" s="48"/>
      <c r="DX208" s="48"/>
      <c r="DY208" s="48"/>
      <c r="DZ208" s="48"/>
      <c r="EA208" s="48"/>
      <c r="EB208" s="48"/>
      <c r="EC208" s="48"/>
      <c r="ED208" s="48"/>
      <c r="EE208" s="48"/>
      <c r="EF208" s="48"/>
      <c r="EG208" s="48"/>
      <c r="EH208" s="48"/>
      <c r="EI208" s="48"/>
      <c r="EJ208" s="48"/>
      <c r="EK208" s="48"/>
      <c r="EL208" s="48"/>
      <c r="EM208" s="48"/>
      <c r="EN208" s="48"/>
      <c r="EO208" s="48"/>
      <c r="EP208" s="48"/>
      <c r="EQ208" s="48"/>
      <c r="ER208" s="48"/>
      <c r="ES208" s="48"/>
      <c r="ET208" s="48"/>
      <c r="EU208" s="48"/>
      <c r="EV208" s="48"/>
      <c r="EW208" s="48"/>
      <c r="EX208" s="48"/>
      <c r="EY208" s="48"/>
      <c r="EZ208" s="48"/>
      <c r="FA208" s="48"/>
      <c r="FB208" s="48"/>
      <c r="FC208" s="48"/>
      <c r="FD208" s="48"/>
      <c r="FE208" s="48"/>
      <c r="FF208" s="48"/>
      <c r="FG208" s="48"/>
      <c r="FH208" s="48"/>
      <c r="FI208" s="48"/>
      <c r="FJ208" s="48"/>
      <c r="FK208" s="48"/>
      <c r="FL208" s="48"/>
      <c r="FM208" s="48"/>
      <c r="FN208" s="48"/>
      <c r="FO208" s="48"/>
      <c r="FP208" s="48"/>
      <c r="FQ208" s="48"/>
      <c r="FR208" s="48"/>
      <c r="FS208" s="48"/>
      <c r="FT208" s="48"/>
      <c r="FU208" s="48"/>
      <c r="FV208" s="48"/>
      <c r="FW208" s="48"/>
      <c r="FX208" s="48"/>
      <c r="FY208" s="48"/>
      <c r="FZ208" s="48"/>
      <c r="GA208" s="48"/>
      <c r="GB208" s="48"/>
      <c r="GC208" s="48"/>
      <c r="GD208" s="48"/>
      <c r="GE208" s="48"/>
      <c r="GF208" s="48"/>
      <c r="GG208" s="48"/>
      <c r="GH208" s="48"/>
      <c r="GI208" s="48"/>
      <c r="GJ208" s="48"/>
      <c r="GK208" s="48"/>
      <c r="GL208" s="48"/>
      <c r="GM208" s="48"/>
      <c r="GN208" s="48"/>
      <c r="GO208" s="48"/>
      <c r="GP208" s="48"/>
      <c r="GQ208" s="48"/>
      <c r="GR208" s="48"/>
      <c r="GS208" s="48"/>
      <c r="GT208" s="48"/>
      <c r="GU208" s="48"/>
      <c r="GV208" s="48"/>
      <c r="GW208" s="48"/>
      <c r="GX208" s="48"/>
      <c r="GY208" s="48"/>
      <c r="GZ208" s="48"/>
      <c r="HA208" s="48"/>
      <c r="HB208" s="48"/>
    </row>
    <row r="209" spans="1:210" ht="15.75" customHeight="1">
      <c r="A209" s="5"/>
      <c r="B209" s="5"/>
      <c r="C209" s="5"/>
      <c r="D209" s="5"/>
      <c r="E209" s="5"/>
      <c r="F209" s="5"/>
      <c r="G209" s="49"/>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48"/>
      <c r="CQ209" s="48"/>
      <c r="CR209" s="48"/>
      <c r="CS209" s="48"/>
      <c r="CT209" s="48"/>
      <c r="CU209" s="48"/>
      <c r="CV209" s="48"/>
      <c r="CW209" s="48"/>
      <c r="CX209" s="48"/>
      <c r="CY209" s="48"/>
      <c r="CZ209" s="48"/>
      <c r="DA209" s="48"/>
      <c r="DB209" s="48"/>
      <c r="DC209" s="48"/>
      <c r="DD209" s="48"/>
      <c r="DE209" s="48"/>
      <c r="DF209" s="48"/>
      <c r="DG209" s="48"/>
      <c r="DH209" s="48"/>
      <c r="DI209" s="48"/>
      <c r="DJ209" s="48"/>
      <c r="DK209" s="48"/>
      <c r="DL209" s="48"/>
      <c r="DM209" s="48"/>
      <c r="DN209" s="48"/>
      <c r="DO209" s="48"/>
      <c r="DP209" s="48"/>
      <c r="DQ209" s="48"/>
      <c r="DR209" s="48"/>
      <c r="DS209" s="48"/>
      <c r="DT209" s="48"/>
      <c r="DU209" s="48"/>
      <c r="DV209" s="48"/>
      <c r="DW209" s="48"/>
      <c r="DX209" s="48"/>
      <c r="DY209" s="48"/>
      <c r="DZ209" s="48"/>
      <c r="EA209" s="48"/>
      <c r="EB209" s="48"/>
      <c r="EC209" s="48"/>
      <c r="ED209" s="48"/>
      <c r="EE209" s="48"/>
      <c r="EF209" s="48"/>
      <c r="EG209" s="48"/>
      <c r="EH209" s="48"/>
      <c r="EI209" s="48"/>
      <c r="EJ209" s="48"/>
      <c r="EK209" s="48"/>
      <c r="EL209" s="48"/>
      <c r="EM209" s="48"/>
      <c r="EN209" s="48"/>
      <c r="EO209" s="48"/>
      <c r="EP209" s="48"/>
      <c r="EQ209" s="48"/>
      <c r="ER209" s="48"/>
      <c r="ES209" s="48"/>
      <c r="ET209" s="48"/>
      <c r="EU209" s="48"/>
      <c r="EV209" s="48"/>
      <c r="EW209" s="48"/>
      <c r="EX209" s="48"/>
      <c r="EY209" s="48"/>
      <c r="EZ209" s="48"/>
      <c r="FA209" s="48"/>
      <c r="FB209" s="48"/>
      <c r="FC209" s="48"/>
      <c r="FD209" s="48"/>
      <c r="FE209" s="48"/>
      <c r="FF209" s="48"/>
      <c r="FG209" s="48"/>
      <c r="FH209" s="48"/>
      <c r="FI209" s="48"/>
      <c r="FJ209" s="48"/>
      <c r="FK209" s="48"/>
      <c r="FL209" s="48"/>
      <c r="FM209" s="48"/>
      <c r="FN209" s="48"/>
      <c r="FO209" s="48"/>
      <c r="FP209" s="48"/>
      <c r="FQ209" s="48"/>
      <c r="FR209" s="48"/>
      <c r="FS209" s="48"/>
      <c r="FT209" s="48"/>
      <c r="FU209" s="48"/>
      <c r="FV209" s="48"/>
      <c r="FW209" s="48"/>
      <c r="FX209" s="48"/>
      <c r="FY209" s="48"/>
      <c r="FZ209" s="48"/>
      <c r="GA209" s="48"/>
      <c r="GB209" s="48"/>
      <c r="GC209" s="48"/>
      <c r="GD209" s="48"/>
      <c r="GE209" s="48"/>
      <c r="GF209" s="48"/>
      <c r="GG209" s="48"/>
      <c r="GH209" s="48"/>
      <c r="GI209" s="48"/>
      <c r="GJ209" s="48"/>
      <c r="GK209" s="48"/>
      <c r="GL209" s="48"/>
      <c r="GM209" s="48"/>
      <c r="GN209" s="48"/>
      <c r="GO209" s="48"/>
      <c r="GP209" s="48"/>
      <c r="GQ209" s="48"/>
      <c r="GR209" s="48"/>
      <c r="GS209" s="48"/>
      <c r="GT209" s="48"/>
      <c r="GU209" s="48"/>
      <c r="GV209" s="48"/>
      <c r="GW209" s="48"/>
      <c r="GX209" s="48"/>
      <c r="GY209" s="48"/>
      <c r="GZ209" s="48"/>
      <c r="HA209" s="48"/>
      <c r="HB209" s="48"/>
    </row>
    <row r="210" spans="1:210" ht="15.75" customHeight="1">
      <c r="A210" s="5"/>
      <c r="B210" s="5"/>
      <c r="C210" s="5"/>
      <c r="D210" s="5"/>
      <c r="E210" s="5"/>
      <c r="F210" s="5"/>
      <c r="G210" s="49"/>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48"/>
      <c r="CQ210" s="48"/>
      <c r="CR210" s="48"/>
      <c r="CS210" s="48"/>
      <c r="CT210" s="48"/>
      <c r="CU210" s="48"/>
      <c r="CV210" s="48"/>
      <c r="CW210" s="48"/>
      <c r="CX210" s="48"/>
      <c r="CY210" s="48"/>
      <c r="CZ210" s="48"/>
      <c r="DA210" s="48"/>
      <c r="DB210" s="48"/>
      <c r="DC210" s="48"/>
      <c r="DD210" s="48"/>
      <c r="DE210" s="48"/>
      <c r="DF210" s="48"/>
      <c r="DG210" s="48"/>
      <c r="DH210" s="48"/>
      <c r="DI210" s="48"/>
      <c r="DJ210" s="48"/>
      <c r="DK210" s="48"/>
      <c r="DL210" s="48"/>
      <c r="DM210" s="48"/>
      <c r="DN210" s="48"/>
      <c r="DO210" s="48"/>
      <c r="DP210" s="48"/>
      <c r="DQ210" s="48"/>
      <c r="DR210" s="48"/>
      <c r="DS210" s="48"/>
      <c r="DT210" s="48"/>
      <c r="DU210" s="48"/>
      <c r="DV210" s="48"/>
      <c r="DW210" s="48"/>
      <c r="DX210" s="48"/>
      <c r="DY210" s="48"/>
      <c r="DZ210" s="48"/>
      <c r="EA210" s="48"/>
      <c r="EB210" s="48"/>
      <c r="EC210" s="48"/>
      <c r="ED210" s="48"/>
      <c r="EE210" s="48"/>
      <c r="EF210" s="48"/>
      <c r="EG210" s="48"/>
      <c r="EH210" s="48"/>
      <c r="EI210" s="48"/>
      <c r="EJ210" s="48"/>
      <c r="EK210" s="48"/>
      <c r="EL210" s="48"/>
      <c r="EM210" s="48"/>
      <c r="EN210" s="48"/>
      <c r="EO210" s="48"/>
      <c r="EP210" s="48"/>
      <c r="EQ210" s="48"/>
      <c r="ER210" s="48"/>
      <c r="ES210" s="48"/>
      <c r="ET210" s="48"/>
      <c r="EU210" s="48"/>
      <c r="EV210" s="48"/>
      <c r="EW210" s="48"/>
      <c r="EX210" s="48"/>
      <c r="EY210" s="48"/>
      <c r="EZ210" s="48"/>
      <c r="FA210" s="48"/>
      <c r="FB210" s="48"/>
      <c r="FC210" s="48"/>
      <c r="FD210" s="48"/>
      <c r="FE210" s="48"/>
      <c r="FF210" s="48"/>
      <c r="FG210" s="48"/>
      <c r="FH210" s="48"/>
      <c r="FI210" s="48"/>
      <c r="FJ210" s="48"/>
      <c r="FK210" s="48"/>
      <c r="FL210" s="48"/>
      <c r="FM210" s="48"/>
      <c r="FN210" s="48"/>
      <c r="FO210" s="48"/>
      <c r="FP210" s="48"/>
      <c r="FQ210" s="48"/>
      <c r="FR210" s="48"/>
      <c r="FS210" s="48"/>
      <c r="FT210" s="48"/>
      <c r="FU210" s="48"/>
      <c r="FV210" s="48"/>
      <c r="FW210" s="48"/>
      <c r="FX210" s="48"/>
      <c r="FY210" s="48"/>
      <c r="FZ210" s="48"/>
      <c r="GA210" s="48"/>
      <c r="GB210" s="48"/>
      <c r="GC210" s="48"/>
      <c r="GD210" s="48"/>
      <c r="GE210" s="48"/>
      <c r="GF210" s="48"/>
      <c r="GG210" s="48"/>
      <c r="GH210" s="48"/>
      <c r="GI210" s="48"/>
      <c r="GJ210" s="48"/>
      <c r="GK210" s="48"/>
      <c r="GL210" s="48"/>
      <c r="GM210" s="48"/>
      <c r="GN210" s="48"/>
      <c r="GO210" s="48"/>
      <c r="GP210" s="48"/>
      <c r="GQ210" s="48"/>
      <c r="GR210" s="48"/>
      <c r="GS210" s="48"/>
      <c r="GT210" s="48"/>
      <c r="GU210" s="48"/>
      <c r="GV210" s="48"/>
      <c r="GW210" s="48"/>
      <c r="GX210" s="48"/>
      <c r="GY210" s="48"/>
      <c r="GZ210" s="48"/>
      <c r="HA210" s="48"/>
      <c r="HB210" s="48"/>
    </row>
    <row r="211" spans="1:210" ht="15.75" customHeight="1">
      <c r="A211" s="5"/>
      <c r="B211" s="5"/>
      <c r="C211" s="5"/>
      <c r="D211" s="5"/>
      <c r="E211" s="5"/>
      <c r="F211" s="5"/>
      <c r="G211" s="49"/>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48"/>
      <c r="CQ211" s="48"/>
      <c r="CR211" s="48"/>
      <c r="CS211" s="48"/>
      <c r="CT211" s="48"/>
      <c r="CU211" s="48"/>
      <c r="CV211" s="48"/>
      <c r="CW211" s="48"/>
      <c r="CX211" s="48"/>
      <c r="CY211" s="48"/>
      <c r="CZ211" s="48"/>
      <c r="DA211" s="48"/>
      <c r="DB211" s="48"/>
      <c r="DC211" s="48"/>
      <c r="DD211" s="48"/>
      <c r="DE211" s="48"/>
      <c r="DF211" s="48"/>
      <c r="DG211" s="48"/>
      <c r="DH211" s="48"/>
      <c r="DI211" s="48"/>
      <c r="DJ211" s="48"/>
      <c r="DK211" s="48"/>
      <c r="DL211" s="48"/>
      <c r="DM211" s="48"/>
      <c r="DN211" s="48"/>
      <c r="DO211" s="48"/>
      <c r="DP211" s="48"/>
      <c r="DQ211" s="48"/>
      <c r="DR211" s="48"/>
      <c r="DS211" s="48"/>
      <c r="DT211" s="48"/>
      <c r="DU211" s="48"/>
      <c r="DV211" s="48"/>
      <c r="DW211" s="48"/>
      <c r="DX211" s="48"/>
      <c r="DY211" s="48"/>
      <c r="DZ211" s="48"/>
      <c r="EA211" s="48"/>
      <c r="EB211" s="48"/>
      <c r="EC211" s="48"/>
      <c r="ED211" s="48"/>
      <c r="EE211" s="48"/>
      <c r="EF211" s="48"/>
      <c r="EG211" s="48"/>
      <c r="EH211" s="48"/>
      <c r="EI211" s="48"/>
      <c r="EJ211" s="48"/>
      <c r="EK211" s="48"/>
      <c r="EL211" s="48"/>
      <c r="EM211" s="48"/>
      <c r="EN211" s="48"/>
      <c r="EO211" s="48"/>
      <c r="EP211" s="48"/>
      <c r="EQ211" s="48"/>
      <c r="ER211" s="48"/>
      <c r="ES211" s="48"/>
      <c r="ET211" s="48"/>
      <c r="EU211" s="48"/>
      <c r="EV211" s="48"/>
      <c r="EW211" s="48"/>
      <c r="EX211" s="48"/>
      <c r="EY211" s="48"/>
      <c r="EZ211" s="48"/>
      <c r="FA211" s="48"/>
      <c r="FB211" s="48"/>
      <c r="FC211" s="48"/>
      <c r="FD211" s="48"/>
      <c r="FE211" s="48"/>
      <c r="FF211" s="48"/>
      <c r="FG211" s="48"/>
      <c r="FH211" s="48"/>
      <c r="FI211" s="48"/>
      <c r="FJ211" s="48"/>
      <c r="FK211" s="48"/>
      <c r="FL211" s="48"/>
      <c r="FM211" s="48"/>
      <c r="FN211" s="48"/>
      <c r="FO211" s="48"/>
      <c r="FP211" s="48"/>
      <c r="FQ211" s="48"/>
      <c r="FR211" s="48"/>
      <c r="FS211" s="48"/>
      <c r="FT211" s="48"/>
      <c r="FU211" s="48"/>
      <c r="FV211" s="48"/>
      <c r="FW211" s="48"/>
      <c r="FX211" s="48"/>
      <c r="FY211" s="48"/>
      <c r="FZ211" s="48"/>
      <c r="GA211" s="48"/>
      <c r="GB211" s="48"/>
      <c r="GC211" s="48"/>
      <c r="GD211" s="48"/>
      <c r="GE211" s="48"/>
      <c r="GF211" s="48"/>
      <c r="GG211" s="48"/>
      <c r="GH211" s="48"/>
      <c r="GI211" s="48"/>
      <c r="GJ211" s="48"/>
      <c r="GK211" s="48"/>
      <c r="GL211" s="48"/>
      <c r="GM211" s="48"/>
      <c r="GN211" s="48"/>
      <c r="GO211" s="48"/>
      <c r="GP211" s="48"/>
      <c r="GQ211" s="48"/>
      <c r="GR211" s="48"/>
      <c r="GS211" s="48"/>
      <c r="GT211" s="48"/>
      <c r="GU211" s="48"/>
      <c r="GV211" s="48"/>
      <c r="GW211" s="48"/>
      <c r="GX211" s="48"/>
      <c r="GY211" s="48"/>
      <c r="GZ211" s="48"/>
      <c r="HA211" s="48"/>
      <c r="HB211" s="48"/>
    </row>
    <row r="212" spans="1:210" ht="15.75" customHeight="1">
      <c r="A212" s="5"/>
      <c r="B212" s="5"/>
      <c r="C212" s="5"/>
      <c r="D212" s="5"/>
      <c r="E212" s="5"/>
      <c r="F212" s="5"/>
      <c r="G212" s="49"/>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48"/>
      <c r="CQ212" s="48"/>
      <c r="CR212" s="48"/>
      <c r="CS212" s="48"/>
      <c r="CT212" s="48"/>
      <c r="CU212" s="48"/>
      <c r="CV212" s="48"/>
      <c r="CW212" s="48"/>
      <c r="CX212" s="48"/>
      <c r="CY212" s="48"/>
      <c r="CZ212" s="48"/>
      <c r="DA212" s="48"/>
      <c r="DB212" s="48"/>
      <c r="DC212" s="48"/>
      <c r="DD212" s="48"/>
      <c r="DE212" s="48"/>
      <c r="DF212" s="48"/>
      <c r="DG212" s="48"/>
      <c r="DH212" s="48"/>
      <c r="DI212" s="48"/>
      <c r="DJ212" s="48"/>
      <c r="DK212" s="48"/>
      <c r="DL212" s="48"/>
      <c r="DM212" s="48"/>
      <c r="DN212" s="48"/>
      <c r="DO212" s="48"/>
      <c r="DP212" s="48"/>
      <c r="DQ212" s="48"/>
      <c r="DR212" s="48"/>
      <c r="DS212" s="48"/>
      <c r="DT212" s="48"/>
      <c r="DU212" s="48"/>
      <c r="DV212" s="48"/>
      <c r="DW212" s="48"/>
      <c r="DX212" s="48"/>
      <c r="DY212" s="48"/>
      <c r="DZ212" s="48"/>
      <c r="EA212" s="48"/>
      <c r="EB212" s="48"/>
      <c r="EC212" s="48"/>
      <c r="ED212" s="48"/>
      <c r="EE212" s="48"/>
      <c r="EF212" s="48"/>
      <c r="EG212" s="48"/>
      <c r="EH212" s="48"/>
      <c r="EI212" s="48"/>
      <c r="EJ212" s="48"/>
      <c r="EK212" s="48"/>
      <c r="EL212" s="48"/>
      <c r="EM212" s="48"/>
      <c r="EN212" s="48"/>
      <c r="EO212" s="48"/>
      <c r="EP212" s="48"/>
      <c r="EQ212" s="48"/>
      <c r="ER212" s="48"/>
      <c r="ES212" s="48"/>
      <c r="ET212" s="48"/>
      <c r="EU212" s="48"/>
      <c r="EV212" s="48"/>
      <c r="EW212" s="48"/>
      <c r="EX212" s="48"/>
      <c r="EY212" s="48"/>
      <c r="EZ212" s="48"/>
      <c r="FA212" s="48"/>
      <c r="FB212" s="48"/>
      <c r="FC212" s="48"/>
      <c r="FD212" s="48"/>
      <c r="FE212" s="48"/>
      <c r="FF212" s="48"/>
      <c r="FG212" s="48"/>
      <c r="FH212" s="48"/>
      <c r="FI212" s="48"/>
      <c r="FJ212" s="48"/>
      <c r="FK212" s="48"/>
      <c r="FL212" s="48"/>
      <c r="FM212" s="48"/>
      <c r="FN212" s="48"/>
      <c r="FO212" s="48"/>
      <c r="FP212" s="48"/>
      <c r="FQ212" s="48"/>
      <c r="FR212" s="48"/>
      <c r="FS212" s="48"/>
      <c r="FT212" s="48"/>
      <c r="FU212" s="48"/>
      <c r="FV212" s="48"/>
      <c r="FW212" s="48"/>
      <c r="FX212" s="48"/>
      <c r="FY212" s="48"/>
      <c r="FZ212" s="48"/>
      <c r="GA212" s="48"/>
      <c r="GB212" s="48"/>
      <c r="GC212" s="48"/>
      <c r="GD212" s="48"/>
      <c r="GE212" s="48"/>
      <c r="GF212" s="48"/>
      <c r="GG212" s="48"/>
      <c r="GH212" s="48"/>
      <c r="GI212" s="48"/>
      <c r="GJ212" s="48"/>
      <c r="GK212" s="48"/>
      <c r="GL212" s="48"/>
      <c r="GM212" s="48"/>
      <c r="GN212" s="48"/>
      <c r="GO212" s="48"/>
      <c r="GP212" s="48"/>
      <c r="GQ212" s="48"/>
      <c r="GR212" s="48"/>
      <c r="GS212" s="48"/>
      <c r="GT212" s="48"/>
      <c r="GU212" s="48"/>
      <c r="GV212" s="48"/>
      <c r="GW212" s="48"/>
      <c r="GX212" s="48"/>
      <c r="GY212" s="48"/>
      <c r="GZ212" s="48"/>
      <c r="HA212" s="48"/>
      <c r="HB212" s="48"/>
    </row>
    <row r="213" spans="1:210" ht="15.75" customHeight="1">
      <c r="A213" s="5"/>
      <c r="B213" s="5"/>
      <c r="C213" s="5"/>
      <c r="D213" s="5"/>
      <c r="E213" s="5"/>
      <c r="F213" s="5"/>
      <c r="G213" s="49"/>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48"/>
      <c r="CQ213" s="48"/>
      <c r="CR213" s="48"/>
      <c r="CS213" s="48"/>
      <c r="CT213" s="48"/>
      <c r="CU213" s="48"/>
      <c r="CV213" s="48"/>
      <c r="CW213" s="48"/>
      <c r="CX213" s="48"/>
      <c r="CY213" s="48"/>
      <c r="CZ213" s="48"/>
      <c r="DA213" s="48"/>
      <c r="DB213" s="48"/>
      <c r="DC213" s="48"/>
      <c r="DD213" s="48"/>
      <c r="DE213" s="48"/>
      <c r="DF213" s="48"/>
      <c r="DG213" s="48"/>
      <c r="DH213" s="48"/>
      <c r="DI213" s="48"/>
      <c r="DJ213" s="48"/>
      <c r="DK213" s="48"/>
      <c r="DL213" s="48"/>
      <c r="DM213" s="48"/>
      <c r="DN213" s="48"/>
      <c r="DO213" s="48"/>
      <c r="DP213" s="48"/>
      <c r="DQ213" s="48"/>
      <c r="DR213" s="48"/>
      <c r="DS213" s="48"/>
      <c r="DT213" s="48"/>
      <c r="DU213" s="48"/>
      <c r="DV213" s="48"/>
      <c r="DW213" s="48"/>
      <c r="DX213" s="48"/>
      <c r="DY213" s="48"/>
      <c r="DZ213" s="48"/>
      <c r="EA213" s="48"/>
      <c r="EB213" s="48"/>
      <c r="EC213" s="48"/>
      <c r="ED213" s="48"/>
      <c r="EE213" s="48"/>
      <c r="EF213" s="48"/>
      <c r="EG213" s="48"/>
      <c r="EH213" s="48"/>
      <c r="EI213" s="48"/>
      <c r="EJ213" s="48"/>
      <c r="EK213" s="48"/>
      <c r="EL213" s="48"/>
      <c r="EM213" s="48"/>
      <c r="EN213" s="48"/>
      <c r="EO213" s="48"/>
      <c r="EP213" s="48"/>
      <c r="EQ213" s="48"/>
      <c r="ER213" s="48"/>
      <c r="ES213" s="48"/>
      <c r="ET213" s="48"/>
      <c r="EU213" s="48"/>
      <c r="EV213" s="48"/>
      <c r="EW213" s="48"/>
      <c r="EX213" s="48"/>
      <c r="EY213" s="48"/>
      <c r="EZ213" s="48"/>
      <c r="FA213" s="48"/>
      <c r="FB213" s="48"/>
      <c r="FC213" s="48"/>
      <c r="FD213" s="48"/>
      <c r="FE213" s="48"/>
      <c r="FF213" s="48"/>
      <c r="FG213" s="48"/>
      <c r="FH213" s="48"/>
      <c r="FI213" s="48"/>
      <c r="FJ213" s="48"/>
      <c r="FK213" s="48"/>
      <c r="FL213" s="48"/>
      <c r="FM213" s="48"/>
      <c r="FN213" s="48"/>
      <c r="FO213" s="48"/>
      <c r="FP213" s="48"/>
      <c r="FQ213" s="48"/>
      <c r="FR213" s="48"/>
      <c r="FS213" s="48"/>
      <c r="FT213" s="48"/>
      <c r="FU213" s="48"/>
      <c r="FV213" s="48"/>
      <c r="FW213" s="48"/>
      <c r="FX213" s="48"/>
      <c r="FY213" s="48"/>
      <c r="FZ213" s="48"/>
      <c r="GA213" s="48"/>
      <c r="GB213" s="48"/>
      <c r="GC213" s="48"/>
      <c r="GD213" s="48"/>
      <c r="GE213" s="48"/>
      <c r="GF213" s="48"/>
      <c r="GG213" s="48"/>
      <c r="GH213" s="48"/>
      <c r="GI213" s="48"/>
      <c r="GJ213" s="48"/>
      <c r="GK213" s="48"/>
      <c r="GL213" s="48"/>
      <c r="GM213" s="48"/>
      <c r="GN213" s="48"/>
      <c r="GO213" s="48"/>
      <c r="GP213" s="48"/>
      <c r="GQ213" s="48"/>
      <c r="GR213" s="48"/>
      <c r="GS213" s="48"/>
      <c r="GT213" s="48"/>
      <c r="GU213" s="48"/>
      <c r="GV213" s="48"/>
      <c r="GW213" s="48"/>
      <c r="GX213" s="48"/>
      <c r="GY213" s="48"/>
      <c r="GZ213" s="48"/>
      <c r="HA213" s="48"/>
      <c r="HB213" s="48"/>
    </row>
    <row r="214" spans="1:210" ht="15.75" customHeight="1">
      <c r="A214" s="5"/>
      <c r="B214" s="5"/>
      <c r="C214" s="5"/>
      <c r="D214" s="5"/>
      <c r="E214" s="5"/>
      <c r="F214" s="5"/>
      <c r="G214" s="49"/>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48"/>
      <c r="CQ214" s="48"/>
      <c r="CR214" s="48"/>
      <c r="CS214" s="48"/>
      <c r="CT214" s="48"/>
      <c r="CU214" s="48"/>
      <c r="CV214" s="48"/>
      <c r="CW214" s="48"/>
      <c r="CX214" s="48"/>
      <c r="CY214" s="48"/>
      <c r="CZ214" s="48"/>
      <c r="DA214" s="48"/>
      <c r="DB214" s="48"/>
      <c r="DC214" s="48"/>
      <c r="DD214" s="48"/>
      <c r="DE214" s="48"/>
      <c r="DF214" s="48"/>
      <c r="DG214" s="48"/>
      <c r="DH214" s="48"/>
      <c r="DI214" s="48"/>
      <c r="DJ214" s="48"/>
      <c r="DK214" s="48"/>
      <c r="DL214" s="48"/>
      <c r="DM214" s="48"/>
      <c r="DN214" s="48"/>
      <c r="DO214" s="48"/>
      <c r="DP214" s="48"/>
      <c r="DQ214" s="48"/>
      <c r="DR214" s="48"/>
      <c r="DS214" s="48"/>
      <c r="DT214" s="48"/>
      <c r="DU214" s="48"/>
      <c r="DV214" s="48"/>
      <c r="DW214" s="48"/>
      <c r="DX214" s="48"/>
      <c r="DY214" s="48"/>
      <c r="DZ214" s="48"/>
      <c r="EA214" s="48"/>
      <c r="EB214" s="48"/>
      <c r="EC214" s="48"/>
      <c r="ED214" s="48"/>
      <c r="EE214" s="48"/>
      <c r="EF214" s="48"/>
      <c r="EG214" s="48"/>
      <c r="EH214" s="48"/>
      <c r="EI214" s="48"/>
      <c r="EJ214" s="48"/>
      <c r="EK214" s="48"/>
      <c r="EL214" s="48"/>
      <c r="EM214" s="48"/>
      <c r="EN214" s="48"/>
      <c r="EO214" s="48"/>
      <c r="EP214" s="48"/>
      <c r="EQ214" s="48"/>
      <c r="ER214" s="48"/>
      <c r="ES214" s="48"/>
      <c r="ET214" s="48"/>
      <c r="EU214" s="48"/>
      <c r="EV214" s="48"/>
      <c r="EW214" s="48"/>
      <c r="EX214" s="48"/>
      <c r="EY214" s="48"/>
      <c r="EZ214" s="48"/>
      <c r="FA214" s="48"/>
      <c r="FB214" s="48"/>
      <c r="FC214" s="48"/>
      <c r="FD214" s="48"/>
      <c r="FE214" s="48"/>
      <c r="FF214" s="48"/>
      <c r="FG214" s="48"/>
      <c r="FH214" s="48"/>
      <c r="FI214" s="48"/>
      <c r="FJ214" s="48"/>
      <c r="FK214" s="48"/>
      <c r="FL214" s="48"/>
      <c r="FM214" s="48"/>
      <c r="FN214" s="48"/>
      <c r="FO214" s="48"/>
      <c r="FP214" s="48"/>
      <c r="FQ214" s="48"/>
      <c r="FR214" s="48"/>
      <c r="FS214" s="48"/>
      <c r="FT214" s="48"/>
      <c r="FU214" s="48"/>
      <c r="FV214" s="48"/>
      <c r="FW214" s="48"/>
      <c r="FX214" s="48"/>
      <c r="FY214" s="48"/>
      <c r="FZ214" s="48"/>
      <c r="GA214" s="48"/>
      <c r="GB214" s="48"/>
      <c r="GC214" s="48"/>
      <c r="GD214" s="48"/>
      <c r="GE214" s="48"/>
      <c r="GF214" s="48"/>
      <c r="GG214" s="48"/>
      <c r="GH214" s="48"/>
      <c r="GI214" s="48"/>
      <c r="GJ214" s="48"/>
      <c r="GK214" s="48"/>
      <c r="GL214" s="48"/>
      <c r="GM214" s="48"/>
      <c r="GN214" s="48"/>
      <c r="GO214" s="48"/>
      <c r="GP214" s="48"/>
      <c r="GQ214" s="48"/>
      <c r="GR214" s="48"/>
      <c r="GS214" s="48"/>
      <c r="GT214" s="48"/>
      <c r="GU214" s="48"/>
      <c r="GV214" s="48"/>
      <c r="GW214" s="48"/>
      <c r="GX214" s="48"/>
      <c r="GY214" s="48"/>
      <c r="GZ214" s="48"/>
      <c r="HA214" s="48"/>
      <c r="HB214" s="48"/>
    </row>
    <row r="215" spans="1:210" ht="15.75" customHeight="1">
      <c r="A215" s="5"/>
      <c r="B215" s="5"/>
      <c r="C215" s="5"/>
      <c r="D215" s="5"/>
      <c r="E215" s="5"/>
      <c r="F215" s="5"/>
      <c r="G215" s="49"/>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48"/>
      <c r="CQ215" s="48"/>
      <c r="CR215" s="48"/>
      <c r="CS215" s="48"/>
      <c r="CT215" s="48"/>
      <c r="CU215" s="48"/>
      <c r="CV215" s="48"/>
      <c r="CW215" s="48"/>
      <c r="CX215" s="48"/>
      <c r="CY215" s="48"/>
      <c r="CZ215" s="48"/>
      <c r="DA215" s="48"/>
      <c r="DB215" s="48"/>
      <c r="DC215" s="48"/>
      <c r="DD215" s="48"/>
      <c r="DE215" s="48"/>
      <c r="DF215" s="48"/>
      <c r="DG215" s="48"/>
      <c r="DH215" s="48"/>
      <c r="DI215" s="48"/>
      <c r="DJ215" s="48"/>
      <c r="DK215" s="48"/>
      <c r="DL215" s="48"/>
      <c r="DM215" s="48"/>
      <c r="DN215" s="48"/>
      <c r="DO215" s="48"/>
      <c r="DP215" s="48"/>
      <c r="DQ215" s="48"/>
      <c r="DR215" s="48"/>
      <c r="DS215" s="48"/>
      <c r="DT215" s="48"/>
      <c r="DU215" s="48"/>
      <c r="DV215" s="48"/>
      <c r="DW215" s="48"/>
      <c r="DX215" s="48"/>
      <c r="DY215" s="48"/>
      <c r="DZ215" s="48"/>
      <c r="EA215" s="48"/>
      <c r="EB215" s="48"/>
      <c r="EC215" s="48"/>
      <c r="ED215" s="48"/>
      <c r="EE215" s="48"/>
      <c r="EF215" s="48"/>
      <c r="EG215" s="48"/>
      <c r="EH215" s="48"/>
      <c r="EI215" s="48"/>
      <c r="EJ215" s="48"/>
      <c r="EK215" s="48"/>
      <c r="EL215" s="48"/>
      <c r="EM215" s="48"/>
      <c r="EN215" s="48"/>
      <c r="EO215" s="48"/>
      <c r="EP215" s="48"/>
      <c r="EQ215" s="48"/>
      <c r="ER215" s="48"/>
      <c r="ES215" s="48"/>
      <c r="ET215" s="48"/>
      <c r="EU215" s="48"/>
      <c r="EV215" s="48"/>
      <c r="EW215" s="48"/>
      <c r="EX215" s="48"/>
      <c r="EY215" s="48"/>
      <c r="EZ215" s="48"/>
      <c r="FA215" s="48"/>
      <c r="FB215" s="48"/>
      <c r="FC215" s="48"/>
      <c r="FD215" s="48"/>
      <c r="FE215" s="48"/>
      <c r="FF215" s="48"/>
      <c r="FG215" s="48"/>
      <c r="FH215" s="48"/>
      <c r="FI215" s="48"/>
      <c r="FJ215" s="48"/>
      <c r="FK215" s="48"/>
      <c r="FL215" s="48"/>
      <c r="FM215" s="48"/>
      <c r="FN215" s="48"/>
      <c r="FO215" s="48"/>
      <c r="FP215" s="48"/>
      <c r="FQ215" s="48"/>
      <c r="FR215" s="48"/>
      <c r="FS215" s="48"/>
      <c r="FT215" s="48"/>
      <c r="FU215" s="48"/>
      <c r="FV215" s="48"/>
      <c r="FW215" s="48"/>
      <c r="FX215" s="48"/>
      <c r="FY215" s="48"/>
      <c r="FZ215" s="48"/>
      <c r="GA215" s="48"/>
      <c r="GB215" s="48"/>
      <c r="GC215" s="48"/>
      <c r="GD215" s="48"/>
      <c r="GE215" s="48"/>
      <c r="GF215" s="48"/>
      <c r="GG215" s="48"/>
      <c r="GH215" s="48"/>
      <c r="GI215" s="48"/>
      <c r="GJ215" s="48"/>
      <c r="GK215" s="48"/>
      <c r="GL215" s="48"/>
      <c r="GM215" s="48"/>
      <c r="GN215" s="48"/>
      <c r="GO215" s="48"/>
      <c r="GP215" s="48"/>
      <c r="GQ215" s="48"/>
      <c r="GR215" s="48"/>
      <c r="GS215" s="48"/>
      <c r="GT215" s="48"/>
      <c r="GU215" s="48"/>
      <c r="GV215" s="48"/>
      <c r="GW215" s="48"/>
      <c r="GX215" s="48"/>
      <c r="GY215" s="48"/>
      <c r="GZ215" s="48"/>
      <c r="HA215" s="48"/>
      <c r="HB215" s="48"/>
    </row>
    <row r="216" spans="1:210" ht="15.75" customHeight="1">
      <c r="A216" s="5"/>
      <c r="B216" s="5"/>
      <c r="C216" s="5"/>
      <c r="D216" s="5"/>
      <c r="E216" s="5"/>
      <c r="F216" s="5"/>
      <c r="G216" s="49"/>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48"/>
      <c r="CQ216" s="48"/>
      <c r="CR216" s="48"/>
      <c r="CS216" s="48"/>
      <c r="CT216" s="48"/>
      <c r="CU216" s="48"/>
      <c r="CV216" s="48"/>
      <c r="CW216" s="48"/>
      <c r="CX216" s="48"/>
      <c r="CY216" s="48"/>
      <c r="CZ216" s="48"/>
      <c r="DA216" s="48"/>
      <c r="DB216" s="48"/>
      <c r="DC216" s="48"/>
      <c r="DD216" s="48"/>
      <c r="DE216" s="48"/>
      <c r="DF216" s="48"/>
      <c r="DG216" s="48"/>
      <c r="DH216" s="48"/>
      <c r="DI216" s="48"/>
      <c r="DJ216" s="48"/>
      <c r="DK216" s="48"/>
      <c r="DL216" s="48"/>
      <c r="DM216" s="48"/>
      <c r="DN216" s="48"/>
      <c r="DO216" s="48"/>
      <c r="DP216" s="48"/>
      <c r="DQ216" s="48"/>
      <c r="DR216" s="48"/>
      <c r="DS216" s="48"/>
      <c r="DT216" s="48"/>
      <c r="DU216" s="48"/>
      <c r="DV216" s="48"/>
      <c r="DW216" s="48"/>
      <c r="DX216" s="48"/>
      <c r="DY216" s="48"/>
      <c r="DZ216" s="48"/>
      <c r="EA216" s="48"/>
      <c r="EB216" s="48"/>
      <c r="EC216" s="48"/>
      <c r="ED216" s="48"/>
      <c r="EE216" s="48"/>
      <c r="EF216" s="48"/>
      <c r="EG216" s="48"/>
      <c r="EH216" s="48"/>
      <c r="EI216" s="48"/>
      <c r="EJ216" s="48"/>
      <c r="EK216" s="48"/>
      <c r="EL216" s="48"/>
      <c r="EM216" s="48"/>
      <c r="EN216" s="48"/>
      <c r="EO216" s="48"/>
      <c r="EP216" s="48"/>
      <c r="EQ216" s="48"/>
      <c r="ER216" s="48"/>
      <c r="ES216" s="48"/>
      <c r="ET216" s="48"/>
      <c r="EU216" s="48"/>
      <c r="EV216" s="48"/>
      <c r="EW216" s="48"/>
      <c r="EX216" s="48"/>
      <c r="EY216" s="48"/>
      <c r="EZ216" s="48"/>
      <c r="FA216" s="48"/>
      <c r="FB216" s="48"/>
      <c r="FC216" s="48"/>
      <c r="FD216" s="48"/>
      <c r="FE216" s="48"/>
      <c r="FF216" s="48"/>
      <c r="FG216" s="48"/>
      <c r="FH216" s="48"/>
      <c r="FI216" s="48"/>
      <c r="FJ216" s="48"/>
      <c r="FK216" s="48"/>
      <c r="FL216" s="48"/>
      <c r="FM216" s="48"/>
      <c r="FN216" s="48"/>
      <c r="FO216" s="48"/>
      <c r="FP216" s="48"/>
      <c r="FQ216" s="48"/>
      <c r="FR216" s="48"/>
      <c r="FS216" s="48"/>
      <c r="FT216" s="48"/>
      <c r="FU216" s="48"/>
      <c r="FV216" s="48"/>
      <c r="FW216" s="48"/>
      <c r="FX216" s="48"/>
      <c r="FY216" s="48"/>
      <c r="FZ216" s="48"/>
      <c r="GA216" s="48"/>
      <c r="GB216" s="48"/>
      <c r="GC216" s="48"/>
      <c r="GD216" s="48"/>
      <c r="GE216" s="48"/>
      <c r="GF216" s="48"/>
      <c r="GG216" s="48"/>
      <c r="GH216" s="48"/>
      <c r="GI216" s="48"/>
      <c r="GJ216" s="48"/>
      <c r="GK216" s="48"/>
      <c r="GL216" s="48"/>
      <c r="GM216" s="48"/>
      <c r="GN216" s="48"/>
      <c r="GO216" s="48"/>
      <c r="GP216" s="48"/>
      <c r="GQ216" s="48"/>
      <c r="GR216" s="48"/>
      <c r="GS216" s="48"/>
      <c r="GT216" s="48"/>
      <c r="GU216" s="48"/>
      <c r="GV216" s="48"/>
      <c r="GW216" s="48"/>
      <c r="GX216" s="48"/>
      <c r="GY216" s="48"/>
      <c r="GZ216" s="48"/>
      <c r="HA216" s="48"/>
      <c r="HB216" s="48"/>
    </row>
    <row r="217" spans="1:210" ht="15.75" customHeight="1">
      <c r="A217" s="5"/>
      <c r="B217" s="5"/>
      <c r="C217" s="5"/>
      <c r="D217" s="5"/>
      <c r="E217" s="5"/>
      <c r="F217" s="5"/>
      <c r="G217" s="49"/>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48"/>
      <c r="CQ217" s="48"/>
      <c r="CR217" s="48"/>
      <c r="CS217" s="48"/>
      <c r="CT217" s="48"/>
      <c r="CU217" s="48"/>
      <c r="CV217" s="48"/>
      <c r="CW217" s="48"/>
      <c r="CX217" s="48"/>
      <c r="CY217" s="48"/>
      <c r="CZ217" s="48"/>
      <c r="DA217" s="48"/>
      <c r="DB217" s="48"/>
      <c r="DC217" s="48"/>
      <c r="DD217" s="48"/>
      <c r="DE217" s="48"/>
      <c r="DF217" s="48"/>
      <c r="DG217" s="48"/>
      <c r="DH217" s="48"/>
      <c r="DI217" s="48"/>
      <c r="DJ217" s="48"/>
      <c r="DK217" s="48"/>
      <c r="DL217" s="48"/>
      <c r="DM217" s="48"/>
      <c r="DN217" s="48"/>
      <c r="DO217" s="48"/>
      <c r="DP217" s="48"/>
      <c r="DQ217" s="48"/>
      <c r="DR217" s="48"/>
      <c r="DS217" s="48"/>
      <c r="DT217" s="48"/>
      <c r="DU217" s="48"/>
      <c r="DV217" s="48"/>
      <c r="DW217" s="48"/>
      <c r="DX217" s="48"/>
      <c r="DY217" s="48"/>
      <c r="DZ217" s="48"/>
      <c r="EA217" s="48"/>
      <c r="EB217" s="48"/>
      <c r="EC217" s="48"/>
      <c r="ED217" s="48"/>
      <c r="EE217" s="48"/>
      <c r="EF217" s="48"/>
      <c r="EG217" s="48"/>
      <c r="EH217" s="48"/>
      <c r="EI217" s="48"/>
      <c r="EJ217" s="48"/>
      <c r="EK217" s="48"/>
      <c r="EL217" s="48"/>
      <c r="EM217" s="48"/>
      <c r="EN217" s="48"/>
      <c r="EO217" s="48"/>
      <c r="EP217" s="48"/>
      <c r="EQ217" s="48"/>
      <c r="ER217" s="48"/>
      <c r="ES217" s="48"/>
      <c r="ET217" s="48"/>
      <c r="EU217" s="48"/>
      <c r="EV217" s="48"/>
      <c r="EW217" s="48"/>
      <c r="EX217" s="48"/>
      <c r="EY217" s="48"/>
      <c r="EZ217" s="48"/>
      <c r="FA217" s="48"/>
      <c r="FB217" s="48"/>
      <c r="FC217" s="48"/>
      <c r="FD217" s="48"/>
      <c r="FE217" s="48"/>
      <c r="FF217" s="48"/>
      <c r="FG217" s="48"/>
      <c r="FH217" s="48"/>
      <c r="FI217" s="48"/>
      <c r="FJ217" s="48"/>
      <c r="FK217" s="48"/>
      <c r="FL217" s="48"/>
      <c r="FM217" s="48"/>
      <c r="FN217" s="48"/>
      <c r="FO217" s="48"/>
      <c r="FP217" s="48"/>
      <c r="FQ217" s="48"/>
      <c r="FR217" s="48"/>
      <c r="FS217" s="48"/>
      <c r="FT217" s="48"/>
      <c r="FU217" s="48"/>
      <c r="FV217" s="48"/>
      <c r="FW217" s="48"/>
      <c r="FX217" s="48"/>
      <c r="FY217" s="48"/>
      <c r="FZ217" s="48"/>
      <c r="GA217" s="48"/>
      <c r="GB217" s="48"/>
      <c r="GC217" s="48"/>
      <c r="GD217" s="48"/>
      <c r="GE217" s="48"/>
      <c r="GF217" s="48"/>
      <c r="GG217" s="48"/>
      <c r="GH217" s="48"/>
      <c r="GI217" s="48"/>
      <c r="GJ217" s="48"/>
      <c r="GK217" s="48"/>
      <c r="GL217" s="48"/>
      <c r="GM217" s="48"/>
      <c r="GN217" s="48"/>
      <c r="GO217" s="48"/>
      <c r="GP217" s="48"/>
      <c r="GQ217" s="48"/>
      <c r="GR217" s="48"/>
      <c r="GS217" s="48"/>
      <c r="GT217" s="48"/>
      <c r="GU217" s="48"/>
      <c r="GV217" s="48"/>
      <c r="GW217" s="48"/>
      <c r="GX217" s="48"/>
      <c r="GY217" s="48"/>
      <c r="GZ217" s="48"/>
      <c r="HA217" s="48"/>
      <c r="HB217" s="48"/>
    </row>
    <row r="218" spans="1:210" ht="15.75" customHeight="1">
      <c r="A218" s="5"/>
      <c r="B218" s="5"/>
      <c r="C218" s="5"/>
      <c r="D218" s="5"/>
      <c r="E218" s="5"/>
      <c r="F218" s="5"/>
      <c r="G218" s="49"/>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48"/>
      <c r="CQ218" s="48"/>
      <c r="CR218" s="48"/>
      <c r="CS218" s="48"/>
      <c r="CT218" s="48"/>
      <c r="CU218" s="48"/>
      <c r="CV218" s="48"/>
      <c r="CW218" s="48"/>
      <c r="CX218" s="48"/>
      <c r="CY218" s="48"/>
      <c r="CZ218" s="48"/>
      <c r="DA218" s="48"/>
      <c r="DB218" s="48"/>
      <c r="DC218" s="48"/>
      <c r="DD218" s="48"/>
      <c r="DE218" s="48"/>
      <c r="DF218" s="48"/>
      <c r="DG218" s="48"/>
      <c r="DH218" s="48"/>
      <c r="DI218" s="48"/>
      <c r="DJ218" s="48"/>
      <c r="DK218" s="48"/>
      <c r="DL218" s="48"/>
      <c r="DM218" s="48"/>
      <c r="DN218" s="48"/>
      <c r="DO218" s="48"/>
      <c r="DP218" s="48"/>
      <c r="DQ218" s="48"/>
      <c r="DR218" s="48"/>
      <c r="DS218" s="48"/>
      <c r="DT218" s="48"/>
      <c r="DU218" s="48"/>
      <c r="DV218" s="48"/>
      <c r="DW218" s="48"/>
      <c r="DX218" s="48"/>
      <c r="DY218" s="48"/>
      <c r="DZ218" s="48"/>
      <c r="EA218" s="48"/>
      <c r="EB218" s="48"/>
      <c r="EC218" s="48"/>
      <c r="ED218" s="48"/>
      <c r="EE218" s="48"/>
      <c r="EF218" s="48"/>
      <c r="EG218" s="48"/>
      <c r="EH218" s="48"/>
      <c r="EI218" s="48"/>
      <c r="EJ218" s="48"/>
      <c r="EK218" s="48"/>
      <c r="EL218" s="48"/>
      <c r="EM218" s="48"/>
      <c r="EN218" s="48"/>
      <c r="EO218" s="48"/>
      <c r="EP218" s="48"/>
      <c r="EQ218" s="48"/>
      <c r="ER218" s="48"/>
      <c r="ES218" s="48"/>
      <c r="ET218" s="48"/>
      <c r="EU218" s="48"/>
      <c r="EV218" s="48"/>
      <c r="EW218" s="48"/>
      <c r="EX218" s="48"/>
      <c r="EY218" s="48"/>
      <c r="EZ218" s="48"/>
      <c r="FA218" s="48"/>
      <c r="FB218" s="48"/>
      <c r="FC218" s="48"/>
      <c r="FD218" s="48"/>
      <c r="FE218" s="48"/>
      <c r="FF218" s="48"/>
      <c r="FG218" s="48"/>
      <c r="FH218" s="48"/>
      <c r="FI218" s="48"/>
      <c r="FJ218" s="48"/>
      <c r="FK218" s="48"/>
      <c r="FL218" s="48"/>
      <c r="FM218" s="48"/>
      <c r="FN218" s="48"/>
      <c r="FO218" s="48"/>
      <c r="FP218" s="48"/>
      <c r="FQ218" s="48"/>
      <c r="FR218" s="48"/>
      <c r="FS218" s="48"/>
      <c r="FT218" s="48"/>
      <c r="FU218" s="48"/>
      <c r="FV218" s="48"/>
      <c r="FW218" s="48"/>
      <c r="FX218" s="48"/>
      <c r="FY218" s="48"/>
      <c r="FZ218" s="48"/>
      <c r="GA218" s="48"/>
      <c r="GB218" s="48"/>
      <c r="GC218" s="48"/>
      <c r="GD218" s="48"/>
      <c r="GE218" s="48"/>
      <c r="GF218" s="48"/>
      <c r="GG218" s="48"/>
      <c r="GH218" s="48"/>
      <c r="GI218" s="48"/>
      <c r="GJ218" s="48"/>
      <c r="GK218" s="48"/>
      <c r="GL218" s="48"/>
      <c r="GM218" s="48"/>
      <c r="GN218" s="48"/>
      <c r="GO218" s="48"/>
      <c r="GP218" s="48"/>
      <c r="GQ218" s="48"/>
      <c r="GR218" s="48"/>
      <c r="GS218" s="48"/>
      <c r="GT218" s="48"/>
      <c r="GU218" s="48"/>
      <c r="GV218" s="48"/>
      <c r="GW218" s="48"/>
      <c r="GX218" s="48"/>
      <c r="GY218" s="48"/>
      <c r="GZ218" s="48"/>
      <c r="HA218" s="48"/>
      <c r="HB218" s="48"/>
    </row>
    <row r="219" spans="1:210" ht="15.75" customHeight="1">
      <c r="A219" s="5"/>
      <c r="B219" s="5"/>
      <c r="C219" s="5"/>
      <c r="D219" s="5"/>
      <c r="E219" s="5"/>
      <c r="F219" s="5"/>
      <c r="G219" s="49"/>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48"/>
      <c r="CQ219" s="48"/>
      <c r="CR219" s="48"/>
      <c r="CS219" s="48"/>
      <c r="CT219" s="48"/>
      <c r="CU219" s="48"/>
      <c r="CV219" s="48"/>
      <c r="CW219" s="48"/>
      <c r="CX219" s="48"/>
      <c r="CY219" s="48"/>
      <c r="CZ219" s="48"/>
      <c r="DA219" s="48"/>
      <c r="DB219" s="48"/>
      <c r="DC219" s="48"/>
      <c r="DD219" s="48"/>
      <c r="DE219" s="48"/>
      <c r="DF219" s="48"/>
      <c r="DG219" s="48"/>
      <c r="DH219" s="48"/>
      <c r="DI219" s="48"/>
      <c r="DJ219" s="48"/>
      <c r="DK219" s="48"/>
      <c r="DL219" s="48"/>
      <c r="DM219" s="48"/>
      <c r="DN219" s="48"/>
      <c r="DO219" s="48"/>
      <c r="DP219" s="48"/>
      <c r="DQ219" s="48"/>
      <c r="DR219" s="48"/>
      <c r="DS219" s="48"/>
      <c r="DT219" s="48"/>
      <c r="DU219" s="48"/>
      <c r="DV219" s="48"/>
      <c r="DW219" s="48"/>
      <c r="DX219" s="48"/>
      <c r="DY219" s="48"/>
      <c r="DZ219" s="48"/>
      <c r="EA219" s="48"/>
      <c r="EB219" s="48"/>
      <c r="EC219" s="48"/>
      <c r="ED219" s="48"/>
      <c r="EE219" s="48"/>
      <c r="EF219" s="48"/>
      <c r="EG219" s="48"/>
      <c r="EH219" s="48"/>
      <c r="EI219" s="48"/>
      <c r="EJ219" s="48"/>
      <c r="EK219" s="48"/>
      <c r="EL219" s="48"/>
      <c r="EM219" s="48"/>
      <c r="EN219" s="48"/>
      <c r="EO219" s="48"/>
      <c r="EP219" s="48"/>
      <c r="EQ219" s="48"/>
      <c r="ER219" s="48"/>
      <c r="ES219" s="48"/>
      <c r="ET219" s="48"/>
      <c r="EU219" s="48"/>
      <c r="EV219" s="48"/>
      <c r="EW219" s="48"/>
      <c r="EX219" s="48"/>
      <c r="EY219" s="48"/>
      <c r="EZ219" s="48"/>
      <c r="FA219" s="48"/>
      <c r="FB219" s="48"/>
      <c r="FC219" s="48"/>
      <c r="FD219" s="48"/>
      <c r="FE219" s="48"/>
      <c r="FF219" s="48"/>
      <c r="FG219" s="48"/>
      <c r="FH219" s="48"/>
      <c r="FI219" s="48"/>
      <c r="FJ219" s="48"/>
      <c r="FK219" s="48"/>
      <c r="FL219" s="48"/>
      <c r="FM219" s="48"/>
      <c r="FN219" s="48"/>
      <c r="FO219" s="48"/>
      <c r="FP219" s="48"/>
      <c r="FQ219" s="48"/>
      <c r="FR219" s="48"/>
      <c r="FS219" s="48"/>
      <c r="FT219" s="48"/>
      <c r="FU219" s="48"/>
      <c r="FV219" s="48"/>
      <c r="FW219" s="48"/>
      <c r="FX219" s="48"/>
      <c r="FY219" s="48"/>
      <c r="FZ219" s="48"/>
      <c r="GA219" s="48"/>
      <c r="GB219" s="48"/>
      <c r="GC219" s="48"/>
      <c r="GD219" s="48"/>
      <c r="GE219" s="48"/>
      <c r="GF219" s="48"/>
      <c r="GG219" s="48"/>
      <c r="GH219" s="48"/>
      <c r="GI219" s="48"/>
      <c r="GJ219" s="48"/>
      <c r="GK219" s="48"/>
      <c r="GL219" s="48"/>
      <c r="GM219" s="48"/>
      <c r="GN219" s="48"/>
      <c r="GO219" s="48"/>
      <c r="GP219" s="48"/>
      <c r="GQ219" s="48"/>
      <c r="GR219" s="48"/>
      <c r="GS219" s="48"/>
      <c r="GT219" s="48"/>
      <c r="GU219" s="48"/>
      <c r="GV219" s="48"/>
      <c r="GW219" s="48"/>
      <c r="GX219" s="48"/>
      <c r="GY219" s="48"/>
      <c r="GZ219" s="48"/>
      <c r="HA219" s="48"/>
      <c r="HB219" s="48"/>
    </row>
    <row r="220" spans="1:210" ht="15.75" customHeight="1">
      <c r="A220" s="5"/>
      <c r="B220" s="5"/>
      <c r="C220" s="5"/>
      <c r="D220" s="5"/>
      <c r="E220" s="5"/>
      <c r="F220" s="5"/>
      <c r="G220" s="49"/>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48"/>
      <c r="CQ220" s="48"/>
      <c r="CR220" s="48"/>
      <c r="CS220" s="48"/>
      <c r="CT220" s="48"/>
      <c r="CU220" s="48"/>
      <c r="CV220" s="48"/>
      <c r="CW220" s="48"/>
      <c r="CX220" s="48"/>
      <c r="CY220" s="48"/>
      <c r="CZ220" s="48"/>
      <c r="DA220" s="48"/>
      <c r="DB220" s="48"/>
      <c r="DC220" s="48"/>
      <c r="DD220" s="48"/>
      <c r="DE220" s="48"/>
      <c r="DF220" s="48"/>
      <c r="DG220" s="48"/>
      <c r="DH220" s="48"/>
      <c r="DI220" s="48"/>
      <c r="DJ220" s="48"/>
      <c r="DK220" s="48"/>
      <c r="DL220" s="48"/>
      <c r="DM220" s="48"/>
      <c r="DN220" s="48"/>
      <c r="DO220" s="48"/>
      <c r="DP220" s="48"/>
      <c r="DQ220" s="48"/>
      <c r="DR220" s="48"/>
      <c r="DS220" s="48"/>
      <c r="DT220" s="48"/>
      <c r="DU220" s="48"/>
      <c r="DV220" s="48"/>
      <c r="DW220" s="48"/>
      <c r="DX220" s="48"/>
      <c r="DY220" s="48"/>
      <c r="DZ220" s="48"/>
      <c r="EA220" s="48"/>
      <c r="EB220" s="48"/>
      <c r="EC220" s="48"/>
      <c r="ED220" s="48"/>
      <c r="EE220" s="48"/>
      <c r="EF220" s="48"/>
      <c r="EG220" s="48"/>
      <c r="EH220" s="48"/>
      <c r="EI220" s="48"/>
      <c r="EJ220" s="48"/>
      <c r="EK220" s="48"/>
      <c r="EL220" s="48"/>
      <c r="EM220" s="48"/>
      <c r="EN220" s="48"/>
      <c r="EO220" s="48"/>
      <c r="EP220" s="48"/>
      <c r="EQ220" s="48"/>
      <c r="ER220" s="48"/>
      <c r="ES220" s="48"/>
      <c r="ET220" s="48"/>
      <c r="EU220" s="48"/>
      <c r="EV220" s="48"/>
      <c r="EW220" s="48"/>
      <c r="EX220" s="48"/>
      <c r="EY220" s="48"/>
      <c r="EZ220" s="48"/>
      <c r="FA220" s="48"/>
      <c r="FB220" s="48"/>
      <c r="FC220" s="48"/>
      <c r="FD220" s="48"/>
      <c r="FE220" s="48"/>
      <c r="FF220" s="48"/>
      <c r="FG220" s="48"/>
      <c r="FH220" s="48"/>
      <c r="FI220" s="48"/>
      <c r="FJ220" s="48"/>
      <c r="FK220" s="48"/>
      <c r="FL220" s="48"/>
      <c r="FM220" s="48"/>
      <c r="FN220" s="48"/>
      <c r="FO220" s="48"/>
      <c r="FP220" s="48"/>
      <c r="FQ220" s="48"/>
      <c r="FR220" s="48"/>
      <c r="FS220" s="48"/>
      <c r="FT220" s="48"/>
      <c r="FU220" s="48"/>
      <c r="FV220" s="48"/>
      <c r="FW220" s="48"/>
      <c r="FX220" s="48"/>
      <c r="FY220" s="48"/>
      <c r="FZ220" s="48"/>
      <c r="GA220" s="48"/>
      <c r="GB220" s="48"/>
      <c r="GC220" s="48"/>
      <c r="GD220" s="48"/>
      <c r="GE220" s="48"/>
      <c r="GF220" s="48"/>
      <c r="GG220" s="48"/>
      <c r="GH220" s="48"/>
      <c r="GI220" s="48"/>
      <c r="GJ220" s="48"/>
      <c r="GK220" s="48"/>
      <c r="GL220" s="48"/>
      <c r="GM220" s="48"/>
      <c r="GN220" s="48"/>
      <c r="GO220" s="48"/>
      <c r="GP220" s="48"/>
      <c r="GQ220" s="48"/>
      <c r="GR220" s="48"/>
      <c r="GS220" s="48"/>
      <c r="GT220" s="48"/>
      <c r="GU220" s="48"/>
      <c r="GV220" s="48"/>
      <c r="GW220" s="48"/>
      <c r="GX220" s="48"/>
      <c r="GY220" s="48"/>
      <c r="GZ220" s="48"/>
      <c r="HA220" s="48"/>
      <c r="HB220" s="48"/>
    </row>
    <row r="221" spans="1:210" ht="15.75" customHeight="1">
      <c r="A221" s="5"/>
      <c r="B221" s="5"/>
      <c r="C221" s="5"/>
      <c r="D221" s="5"/>
      <c r="E221" s="5"/>
      <c r="F221" s="5"/>
      <c r="G221" s="49"/>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48"/>
      <c r="CQ221" s="48"/>
      <c r="CR221" s="48"/>
      <c r="CS221" s="48"/>
      <c r="CT221" s="48"/>
      <c r="CU221" s="48"/>
      <c r="CV221" s="48"/>
      <c r="CW221" s="48"/>
      <c r="CX221" s="48"/>
      <c r="CY221" s="48"/>
      <c r="CZ221" s="48"/>
      <c r="DA221" s="48"/>
      <c r="DB221" s="48"/>
      <c r="DC221" s="48"/>
      <c r="DD221" s="48"/>
      <c r="DE221" s="48"/>
      <c r="DF221" s="48"/>
      <c r="DG221" s="48"/>
      <c r="DH221" s="48"/>
      <c r="DI221" s="48"/>
      <c r="DJ221" s="48"/>
      <c r="DK221" s="48"/>
      <c r="DL221" s="48"/>
      <c r="DM221" s="48"/>
      <c r="DN221" s="48"/>
      <c r="DO221" s="48"/>
      <c r="DP221" s="48"/>
      <c r="DQ221" s="48"/>
      <c r="DR221" s="48"/>
      <c r="DS221" s="48"/>
      <c r="DT221" s="48"/>
      <c r="DU221" s="48"/>
      <c r="DV221" s="48"/>
      <c r="DW221" s="48"/>
      <c r="DX221" s="48"/>
      <c r="DY221" s="48"/>
      <c r="DZ221" s="48"/>
      <c r="EA221" s="48"/>
      <c r="EB221" s="48"/>
      <c r="EC221" s="48"/>
      <c r="ED221" s="48"/>
      <c r="EE221" s="48"/>
      <c r="EF221" s="48"/>
      <c r="EG221" s="48"/>
      <c r="EH221" s="48"/>
      <c r="EI221" s="48"/>
      <c r="EJ221" s="48"/>
      <c r="EK221" s="48"/>
      <c r="EL221" s="48"/>
      <c r="EM221" s="48"/>
      <c r="EN221" s="48"/>
      <c r="EO221" s="48"/>
      <c r="EP221" s="48"/>
      <c r="EQ221" s="48"/>
      <c r="ER221" s="48"/>
      <c r="ES221" s="48"/>
      <c r="ET221" s="48"/>
      <c r="EU221" s="48"/>
      <c r="EV221" s="48"/>
      <c r="EW221" s="48"/>
      <c r="EX221" s="48"/>
      <c r="EY221" s="48"/>
      <c r="EZ221" s="48"/>
      <c r="FA221" s="48"/>
      <c r="FB221" s="48"/>
      <c r="FC221" s="48"/>
      <c r="FD221" s="48"/>
      <c r="FE221" s="48"/>
      <c r="FF221" s="48"/>
      <c r="FG221" s="48"/>
      <c r="FH221" s="48"/>
      <c r="FI221" s="48"/>
      <c r="FJ221" s="48"/>
      <c r="FK221" s="48"/>
      <c r="FL221" s="48"/>
      <c r="FM221" s="48"/>
      <c r="FN221" s="48"/>
      <c r="FO221" s="48"/>
      <c r="FP221" s="48"/>
      <c r="FQ221" s="48"/>
      <c r="FR221" s="48"/>
      <c r="FS221" s="48"/>
      <c r="FT221" s="48"/>
      <c r="FU221" s="48"/>
      <c r="FV221" s="48"/>
      <c r="FW221" s="48"/>
      <c r="FX221" s="48"/>
      <c r="FY221" s="48"/>
      <c r="FZ221" s="48"/>
      <c r="GA221" s="48"/>
      <c r="GB221" s="48"/>
      <c r="GC221" s="48"/>
      <c r="GD221" s="48"/>
      <c r="GE221" s="48"/>
      <c r="GF221" s="48"/>
      <c r="GG221" s="48"/>
      <c r="GH221" s="48"/>
      <c r="GI221" s="48"/>
      <c r="GJ221" s="48"/>
      <c r="GK221" s="48"/>
      <c r="GL221" s="48"/>
      <c r="GM221" s="48"/>
      <c r="GN221" s="48"/>
      <c r="GO221" s="48"/>
      <c r="GP221" s="48"/>
      <c r="GQ221" s="48"/>
      <c r="GR221" s="48"/>
      <c r="GS221" s="48"/>
      <c r="GT221" s="48"/>
      <c r="GU221" s="48"/>
      <c r="GV221" s="48"/>
      <c r="GW221" s="48"/>
      <c r="GX221" s="48"/>
      <c r="GY221" s="48"/>
      <c r="GZ221" s="48"/>
      <c r="HA221" s="48"/>
      <c r="HB221" s="48"/>
    </row>
    <row r="222" spans="1:210" ht="15.75" customHeight="1">
      <c r="A222" s="5"/>
      <c r="B222" s="5"/>
      <c r="C222" s="5"/>
      <c r="D222" s="5"/>
      <c r="E222" s="5"/>
      <c r="F222" s="5"/>
      <c r="G222" s="49"/>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48"/>
      <c r="CQ222" s="48"/>
      <c r="CR222" s="48"/>
      <c r="CS222" s="48"/>
      <c r="CT222" s="48"/>
      <c r="CU222" s="48"/>
      <c r="CV222" s="48"/>
      <c r="CW222" s="48"/>
      <c r="CX222" s="48"/>
      <c r="CY222" s="48"/>
      <c r="CZ222" s="48"/>
      <c r="DA222" s="48"/>
      <c r="DB222" s="48"/>
      <c r="DC222" s="48"/>
      <c r="DD222" s="48"/>
      <c r="DE222" s="48"/>
      <c r="DF222" s="48"/>
      <c r="DG222" s="48"/>
      <c r="DH222" s="48"/>
      <c r="DI222" s="48"/>
      <c r="DJ222" s="48"/>
      <c r="DK222" s="48"/>
      <c r="DL222" s="48"/>
      <c r="DM222" s="48"/>
      <c r="DN222" s="48"/>
      <c r="DO222" s="48"/>
      <c r="DP222" s="48"/>
      <c r="DQ222" s="48"/>
      <c r="DR222" s="48"/>
      <c r="DS222" s="48"/>
      <c r="DT222" s="48"/>
      <c r="DU222" s="48"/>
      <c r="DV222" s="48"/>
      <c r="DW222" s="48"/>
      <c r="DX222" s="48"/>
      <c r="DY222" s="48"/>
      <c r="DZ222" s="48"/>
      <c r="EA222" s="48"/>
      <c r="EB222" s="48"/>
      <c r="EC222" s="48"/>
      <c r="ED222" s="48"/>
      <c r="EE222" s="48"/>
      <c r="EF222" s="48"/>
      <c r="EG222" s="48"/>
      <c r="EH222" s="48"/>
      <c r="EI222" s="48"/>
      <c r="EJ222" s="48"/>
      <c r="EK222" s="48"/>
      <c r="EL222" s="48"/>
      <c r="EM222" s="48"/>
      <c r="EN222" s="48"/>
      <c r="EO222" s="48"/>
      <c r="EP222" s="48"/>
      <c r="EQ222" s="48"/>
      <c r="ER222" s="48"/>
      <c r="ES222" s="48"/>
      <c r="ET222" s="48"/>
      <c r="EU222" s="48"/>
      <c r="EV222" s="48"/>
      <c r="EW222" s="48"/>
      <c r="EX222" s="48"/>
      <c r="EY222" s="48"/>
      <c r="EZ222" s="48"/>
      <c r="FA222" s="48"/>
      <c r="FB222" s="48"/>
      <c r="FC222" s="48"/>
      <c r="FD222" s="48"/>
      <c r="FE222" s="48"/>
      <c r="FF222" s="48"/>
      <c r="FG222" s="48"/>
      <c r="FH222" s="48"/>
      <c r="FI222" s="48"/>
      <c r="FJ222" s="48"/>
      <c r="FK222" s="48"/>
      <c r="FL222" s="48"/>
      <c r="FM222" s="48"/>
      <c r="FN222" s="48"/>
      <c r="FO222" s="48"/>
      <c r="FP222" s="48"/>
      <c r="FQ222" s="48"/>
      <c r="FR222" s="48"/>
      <c r="FS222" s="48"/>
      <c r="FT222" s="48"/>
      <c r="FU222" s="48"/>
      <c r="FV222" s="48"/>
      <c r="FW222" s="48"/>
      <c r="FX222" s="48"/>
      <c r="FY222" s="48"/>
      <c r="FZ222" s="48"/>
      <c r="GA222" s="48"/>
      <c r="GB222" s="48"/>
      <c r="GC222" s="48"/>
      <c r="GD222" s="48"/>
      <c r="GE222" s="48"/>
      <c r="GF222" s="48"/>
      <c r="GG222" s="48"/>
      <c r="GH222" s="48"/>
      <c r="GI222" s="48"/>
      <c r="GJ222" s="48"/>
      <c r="GK222" s="48"/>
      <c r="GL222" s="48"/>
      <c r="GM222" s="48"/>
      <c r="GN222" s="48"/>
      <c r="GO222" s="48"/>
      <c r="GP222" s="48"/>
      <c r="GQ222" s="48"/>
      <c r="GR222" s="48"/>
      <c r="GS222" s="48"/>
      <c r="GT222" s="48"/>
      <c r="GU222" s="48"/>
      <c r="GV222" s="48"/>
      <c r="GW222" s="48"/>
      <c r="GX222" s="48"/>
      <c r="GY222" s="48"/>
      <c r="GZ222" s="48"/>
      <c r="HA222" s="48"/>
      <c r="HB222" s="48"/>
    </row>
    <row r="223" spans="1:210" ht="15.75" customHeight="1">
      <c r="A223" s="5"/>
      <c r="B223" s="5"/>
      <c r="C223" s="5"/>
      <c r="D223" s="5"/>
      <c r="E223" s="5"/>
      <c r="F223" s="5"/>
      <c r="G223" s="49"/>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48"/>
      <c r="CQ223" s="48"/>
      <c r="CR223" s="48"/>
      <c r="CS223" s="48"/>
      <c r="CT223" s="48"/>
      <c r="CU223" s="48"/>
      <c r="CV223" s="48"/>
      <c r="CW223" s="48"/>
      <c r="CX223" s="48"/>
      <c r="CY223" s="48"/>
      <c r="CZ223" s="48"/>
      <c r="DA223" s="48"/>
      <c r="DB223" s="48"/>
      <c r="DC223" s="48"/>
      <c r="DD223" s="48"/>
      <c r="DE223" s="48"/>
      <c r="DF223" s="48"/>
      <c r="DG223" s="48"/>
      <c r="DH223" s="48"/>
      <c r="DI223" s="48"/>
      <c r="DJ223" s="48"/>
      <c r="DK223" s="48"/>
      <c r="DL223" s="48"/>
      <c r="DM223" s="48"/>
      <c r="DN223" s="48"/>
      <c r="DO223" s="48"/>
      <c r="DP223" s="48"/>
      <c r="DQ223" s="48"/>
      <c r="DR223" s="48"/>
      <c r="DS223" s="48"/>
      <c r="DT223" s="48"/>
      <c r="DU223" s="48"/>
      <c r="DV223" s="48"/>
      <c r="DW223" s="48"/>
      <c r="DX223" s="48"/>
      <c r="DY223" s="48"/>
      <c r="DZ223" s="48"/>
      <c r="EA223" s="48"/>
      <c r="EB223" s="48"/>
      <c r="EC223" s="48"/>
      <c r="ED223" s="48"/>
      <c r="EE223" s="48"/>
      <c r="EF223" s="48"/>
      <c r="EG223" s="48"/>
      <c r="EH223" s="48"/>
      <c r="EI223" s="48"/>
      <c r="EJ223" s="48"/>
      <c r="EK223" s="48"/>
      <c r="EL223" s="48"/>
      <c r="EM223" s="48"/>
      <c r="EN223" s="48"/>
      <c r="EO223" s="48"/>
      <c r="EP223" s="48"/>
      <c r="EQ223" s="48"/>
      <c r="ER223" s="48"/>
      <c r="ES223" s="48"/>
      <c r="ET223" s="48"/>
      <c r="EU223" s="48"/>
      <c r="EV223" s="48"/>
      <c r="EW223" s="48"/>
      <c r="EX223" s="48"/>
      <c r="EY223" s="48"/>
      <c r="EZ223" s="48"/>
      <c r="FA223" s="48"/>
      <c r="FB223" s="48"/>
      <c r="FC223" s="48"/>
      <c r="FD223" s="48"/>
      <c r="FE223" s="48"/>
      <c r="FF223" s="48"/>
      <c r="FG223" s="48"/>
      <c r="FH223" s="48"/>
      <c r="FI223" s="48"/>
      <c r="FJ223" s="48"/>
      <c r="FK223" s="48"/>
      <c r="FL223" s="48"/>
      <c r="FM223" s="48"/>
      <c r="FN223" s="48"/>
      <c r="FO223" s="48"/>
      <c r="FP223" s="48"/>
      <c r="FQ223" s="48"/>
      <c r="FR223" s="48"/>
      <c r="FS223" s="48"/>
      <c r="FT223" s="48"/>
      <c r="FU223" s="48"/>
      <c r="FV223" s="48"/>
      <c r="FW223" s="48"/>
      <c r="FX223" s="48"/>
      <c r="FY223" s="48"/>
      <c r="FZ223" s="48"/>
      <c r="GA223" s="48"/>
      <c r="GB223" s="48"/>
      <c r="GC223" s="48"/>
      <c r="GD223" s="48"/>
      <c r="GE223" s="48"/>
      <c r="GF223" s="48"/>
      <c r="GG223" s="48"/>
      <c r="GH223" s="48"/>
      <c r="GI223" s="48"/>
      <c r="GJ223" s="48"/>
      <c r="GK223" s="48"/>
      <c r="GL223" s="48"/>
      <c r="GM223" s="48"/>
      <c r="GN223" s="48"/>
      <c r="GO223" s="48"/>
      <c r="GP223" s="48"/>
      <c r="GQ223" s="48"/>
      <c r="GR223" s="48"/>
      <c r="GS223" s="48"/>
      <c r="GT223" s="48"/>
      <c r="GU223" s="48"/>
      <c r="GV223" s="48"/>
      <c r="GW223" s="48"/>
      <c r="GX223" s="48"/>
      <c r="GY223" s="48"/>
      <c r="GZ223" s="48"/>
      <c r="HA223" s="48"/>
      <c r="HB223" s="48"/>
    </row>
    <row r="224" spans="1:210" ht="15.75" customHeight="1">
      <c r="A224" s="5"/>
      <c r="B224" s="5"/>
      <c r="C224" s="5"/>
      <c r="D224" s="5"/>
      <c r="E224" s="5"/>
      <c r="F224" s="5"/>
      <c r="G224" s="49"/>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48"/>
      <c r="CQ224" s="48"/>
      <c r="CR224" s="48"/>
      <c r="CS224" s="48"/>
      <c r="CT224" s="48"/>
      <c r="CU224" s="48"/>
      <c r="CV224" s="48"/>
      <c r="CW224" s="48"/>
      <c r="CX224" s="48"/>
      <c r="CY224" s="48"/>
      <c r="CZ224" s="48"/>
      <c r="DA224" s="48"/>
      <c r="DB224" s="48"/>
      <c r="DC224" s="48"/>
      <c r="DD224" s="48"/>
      <c r="DE224" s="48"/>
      <c r="DF224" s="48"/>
      <c r="DG224" s="48"/>
      <c r="DH224" s="48"/>
      <c r="DI224" s="48"/>
      <c r="DJ224" s="48"/>
      <c r="DK224" s="48"/>
      <c r="DL224" s="48"/>
      <c r="DM224" s="48"/>
      <c r="DN224" s="48"/>
      <c r="DO224" s="48"/>
      <c r="DP224" s="48"/>
      <c r="DQ224" s="48"/>
      <c r="DR224" s="48"/>
      <c r="DS224" s="48"/>
      <c r="DT224" s="48"/>
      <c r="DU224" s="48"/>
      <c r="DV224" s="48"/>
      <c r="DW224" s="48"/>
      <c r="DX224" s="48"/>
      <c r="DY224" s="48"/>
      <c r="DZ224" s="48"/>
      <c r="EA224" s="48"/>
      <c r="EB224" s="48"/>
      <c r="EC224" s="48"/>
      <c r="ED224" s="48"/>
      <c r="EE224" s="48"/>
      <c r="EF224" s="48"/>
      <c r="EG224" s="48"/>
      <c r="EH224" s="48"/>
      <c r="EI224" s="48"/>
      <c r="EJ224" s="48"/>
      <c r="EK224" s="48"/>
      <c r="EL224" s="48"/>
      <c r="EM224" s="48"/>
      <c r="EN224" s="48"/>
      <c r="EO224" s="48"/>
      <c r="EP224" s="48"/>
      <c r="EQ224" s="48"/>
      <c r="ER224" s="48"/>
      <c r="ES224" s="48"/>
      <c r="ET224" s="48"/>
      <c r="EU224" s="48"/>
      <c r="EV224" s="48"/>
      <c r="EW224" s="48"/>
      <c r="EX224" s="48"/>
      <c r="EY224" s="48"/>
      <c r="EZ224" s="48"/>
      <c r="FA224" s="48"/>
      <c r="FB224" s="48"/>
      <c r="FC224" s="48"/>
      <c r="FD224" s="48"/>
      <c r="FE224" s="48"/>
      <c r="FF224" s="48"/>
      <c r="FG224" s="48"/>
      <c r="FH224" s="48"/>
      <c r="FI224" s="48"/>
      <c r="FJ224" s="48"/>
      <c r="FK224" s="48"/>
      <c r="FL224" s="48"/>
      <c r="FM224" s="48"/>
      <c r="FN224" s="48"/>
      <c r="FO224" s="48"/>
      <c r="FP224" s="48"/>
      <c r="FQ224" s="48"/>
      <c r="FR224" s="48"/>
      <c r="FS224" s="48"/>
      <c r="FT224" s="48"/>
      <c r="FU224" s="48"/>
      <c r="FV224" s="48"/>
      <c r="FW224" s="48"/>
      <c r="FX224" s="48"/>
      <c r="FY224" s="48"/>
      <c r="FZ224" s="48"/>
      <c r="GA224" s="48"/>
      <c r="GB224" s="48"/>
      <c r="GC224" s="48"/>
      <c r="GD224" s="48"/>
      <c r="GE224" s="48"/>
      <c r="GF224" s="48"/>
      <c r="GG224" s="48"/>
      <c r="GH224" s="48"/>
      <c r="GI224" s="48"/>
      <c r="GJ224" s="48"/>
      <c r="GK224" s="48"/>
      <c r="GL224" s="48"/>
      <c r="GM224" s="48"/>
      <c r="GN224" s="48"/>
      <c r="GO224" s="48"/>
      <c r="GP224" s="48"/>
      <c r="GQ224" s="48"/>
      <c r="GR224" s="48"/>
      <c r="GS224" s="48"/>
      <c r="GT224" s="48"/>
      <c r="GU224" s="48"/>
      <c r="GV224" s="48"/>
      <c r="GW224" s="48"/>
      <c r="GX224" s="48"/>
      <c r="GY224" s="48"/>
      <c r="GZ224" s="48"/>
      <c r="HA224" s="48"/>
      <c r="HB224" s="48"/>
    </row>
    <row r="225" spans="1:210" ht="15.75" customHeight="1">
      <c r="A225" s="5"/>
      <c r="B225" s="5"/>
      <c r="C225" s="5"/>
      <c r="D225" s="5"/>
      <c r="E225" s="5"/>
      <c r="F225" s="5"/>
      <c r="G225" s="49"/>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48"/>
      <c r="CQ225" s="48"/>
      <c r="CR225" s="48"/>
      <c r="CS225" s="48"/>
      <c r="CT225" s="48"/>
      <c r="CU225" s="48"/>
      <c r="CV225" s="48"/>
      <c r="CW225" s="48"/>
      <c r="CX225" s="48"/>
      <c r="CY225" s="48"/>
      <c r="CZ225" s="48"/>
      <c r="DA225" s="48"/>
      <c r="DB225" s="48"/>
      <c r="DC225" s="48"/>
      <c r="DD225" s="48"/>
      <c r="DE225" s="48"/>
      <c r="DF225" s="48"/>
      <c r="DG225" s="48"/>
      <c r="DH225" s="48"/>
      <c r="DI225" s="48"/>
      <c r="DJ225" s="48"/>
      <c r="DK225" s="48"/>
      <c r="DL225" s="48"/>
      <c r="DM225" s="48"/>
      <c r="DN225" s="48"/>
      <c r="DO225" s="48"/>
      <c r="DP225" s="48"/>
      <c r="DQ225" s="48"/>
      <c r="DR225" s="48"/>
      <c r="DS225" s="48"/>
      <c r="DT225" s="48"/>
      <c r="DU225" s="48"/>
      <c r="DV225" s="48"/>
      <c r="DW225" s="48"/>
      <c r="DX225" s="48"/>
      <c r="DY225" s="48"/>
      <c r="DZ225" s="48"/>
      <c r="EA225" s="48"/>
      <c r="EB225" s="48"/>
      <c r="EC225" s="48"/>
      <c r="ED225" s="48"/>
      <c r="EE225" s="48"/>
      <c r="EF225" s="48"/>
      <c r="EG225" s="48"/>
      <c r="EH225" s="48"/>
      <c r="EI225" s="48"/>
      <c r="EJ225" s="48"/>
      <c r="EK225" s="48"/>
      <c r="EL225" s="48"/>
      <c r="EM225" s="48"/>
      <c r="EN225" s="48"/>
      <c r="EO225" s="48"/>
      <c r="EP225" s="48"/>
      <c r="EQ225" s="48"/>
      <c r="ER225" s="48"/>
      <c r="ES225" s="48"/>
      <c r="ET225" s="48"/>
      <c r="EU225" s="48"/>
      <c r="EV225" s="48"/>
      <c r="EW225" s="48"/>
      <c r="EX225" s="48"/>
      <c r="EY225" s="48"/>
      <c r="EZ225" s="48"/>
      <c r="FA225" s="48"/>
      <c r="FB225" s="48"/>
      <c r="FC225" s="48"/>
      <c r="FD225" s="48"/>
      <c r="FE225" s="48"/>
      <c r="FF225" s="48"/>
      <c r="FG225" s="48"/>
      <c r="FH225" s="48"/>
      <c r="FI225" s="48"/>
      <c r="FJ225" s="48"/>
      <c r="FK225" s="48"/>
      <c r="FL225" s="48"/>
      <c r="FM225" s="48"/>
      <c r="FN225" s="48"/>
      <c r="FO225" s="48"/>
      <c r="FP225" s="48"/>
      <c r="FQ225" s="48"/>
      <c r="FR225" s="48"/>
      <c r="FS225" s="48"/>
      <c r="FT225" s="48"/>
      <c r="FU225" s="48"/>
      <c r="FV225" s="48"/>
      <c r="FW225" s="48"/>
      <c r="FX225" s="48"/>
      <c r="FY225" s="48"/>
      <c r="FZ225" s="48"/>
      <c r="GA225" s="48"/>
      <c r="GB225" s="48"/>
      <c r="GC225" s="48"/>
      <c r="GD225" s="48"/>
      <c r="GE225" s="48"/>
      <c r="GF225" s="48"/>
      <c r="GG225" s="48"/>
      <c r="GH225" s="48"/>
      <c r="GI225" s="48"/>
      <c r="GJ225" s="48"/>
      <c r="GK225" s="48"/>
      <c r="GL225" s="48"/>
      <c r="GM225" s="48"/>
      <c r="GN225" s="48"/>
      <c r="GO225" s="48"/>
      <c r="GP225" s="48"/>
      <c r="GQ225" s="48"/>
      <c r="GR225" s="48"/>
      <c r="GS225" s="48"/>
      <c r="GT225" s="48"/>
      <c r="GU225" s="48"/>
      <c r="GV225" s="48"/>
      <c r="GW225" s="48"/>
      <c r="GX225" s="48"/>
      <c r="GY225" s="48"/>
      <c r="GZ225" s="48"/>
      <c r="HA225" s="48"/>
      <c r="HB225" s="48"/>
    </row>
    <row r="226" spans="1:210" ht="15.75" customHeight="1">
      <c r="A226" s="5"/>
      <c r="B226" s="5"/>
      <c r="C226" s="5"/>
      <c r="D226" s="5"/>
      <c r="E226" s="5"/>
      <c r="F226" s="5"/>
      <c r="G226" s="49"/>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48"/>
      <c r="CQ226" s="48"/>
      <c r="CR226" s="48"/>
      <c r="CS226" s="48"/>
      <c r="CT226" s="48"/>
      <c r="CU226" s="48"/>
      <c r="CV226" s="48"/>
      <c r="CW226" s="48"/>
      <c r="CX226" s="48"/>
      <c r="CY226" s="48"/>
      <c r="CZ226" s="48"/>
      <c r="DA226" s="48"/>
      <c r="DB226" s="48"/>
      <c r="DC226" s="48"/>
      <c r="DD226" s="48"/>
      <c r="DE226" s="48"/>
      <c r="DF226" s="48"/>
      <c r="DG226" s="48"/>
      <c r="DH226" s="48"/>
      <c r="DI226" s="48"/>
      <c r="DJ226" s="48"/>
      <c r="DK226" s="48"/>
      <c r="DL226" s="48"/>
      <c r="DM226" s="48"/>
      <c r="DN226" s="48"/>
      <c r="DO226" s="48"/>
      <c r="DP226" s="48"/>
      <c r="DQ226" s="48"/>
      <c r="DR226" s="48"/>
      <c r="DS226" s="48"/>
      <c r="DT226" s="48"/>
      <c r="DU226" s="48"/>
      <c r="DV226" s="48"/>
      <c r="DW226" s="48"/>
      <c r="DX226" s="48"/>
      <c r="DY226" s="48"/>
      <c r="DZ226" s="48"/>
      <c r="EA226" s="48"/>
      <c r="EB226" s="48"/>
      <c r="EC226" s="48"/>
      <c r="ED226" s="48"/>
      <c r="EE226" s="48"/>
      <c r="EF226" s="48"/>
      <c r="EG226" s="48"/>
      <c r="EH226" s="48"/>
      <c r="EI226" s="48"/>
      <c r="EJ226" s="48"/>
      <c r="EK226" s="48"/>
      <c r="EL226" s="48"/>
      <c r="EM226" s="48"/>
      <c r="EN226" s="48"/>
      <c r="EO226" s="48"/>
      <c r="EP226" s="48"/>
      <c r="EQ226" s="48"/>
      <c r="ER226" s="48"/>
      <c r="ES226" s="48"/>
      <c r="ET226" s="48"/>
      <c r="EU226" s="48"/>
      <c r="EV226" s="48"/>
      <c r="EW226" s="48"/>
      <c r="EX226" s="48"/>
      <c r="EY226" s="48"/>
      <c r="EZ226" s="48"/>
      <c r="FA226" s="48"/>
      <c r="FB226" s="48"/>
      <c r="FC226" s="48"/>
      <c r="FD226" s="48"/>
      <c r="FE226" s="48"/>
      <c r="FF226" s="48"/>
      <c r="FG226" s="48"/>
      <c r="FH226" s="48"/>
      <c r="FI226" s="48"/>
      <c r="FJ226" s="48"/>
      <c r="FK226" s="48"/>
      <c r="FL226" s="48"/>
      <c r="FM226" s="48"/>
      <c r="FN226" s="48"/>
      <c r="FO226" s="48"/>
      <c r="FP226" s="48"/>
      <c r="FQ226" s="48"/>
      <c r="FR226" s="48"/>
      <c r="FS226" s="48"/>
      <c r="FT226" s="48"/>
      <c r="FU226" s="48"/>
      <c r="FV226" s="48"/>
      <c r="FW226" s="48"/>
      <c r="FX226" s="48"/>
      <c r="FY226" s="48"/>
      <c r="FZ226" s="48"/>
      <c r="GA226" s="48"/>
      <c r="GB226" s="48"/>
      <c r="GC226" s="48"/>
      <c r="GD226" s="48"/>
      <c r="GE226" s="48"/>
      <c r="GF226" s="48"/>
      <c r="GG226" s="48"/>
      <c r="GH226" s="48"/>
      <c r="GI226" s="48"/>
      <c r="GJ226" s="48"/>
      <c r="GK226" s="48"/>
      <c r="GL226" s="48"/>
      <c r="GM226" s="48"/>
      <c r="GN226" s="48"/>
      <c r="GO226" s="48"/>
      <c r="GP226" s="48"/>
      <c r="GQ226" s="48"/>
      <c r="GR226" s="48"/>
      <c r="GS226" s="48"/>
      <c r="GT226" s="48"/>
      <c r="GU226" s="48"/>
      <c r="GV226" s="48"/>
      <c r="GW226" s="48"/>
      <c r="GX226" s="48"/>
      <c r="GY226" s="48"/>
      <c r="GZ226" s="48"/>
      <c r="HA226" s="48"/>
      <c r="HB226" s="48"/>
    </row>
    <row r="227" spans="1:210" ht="15.75" customHeight="1">
      <c r="A227" s="5"/>
      <c r="B227" s="5"/>
      <c r="C227" s="5"/>
      <c r="D227" s="5"/>
      <c r="E227" s="5"/>
      <c r="F227" s="5"/>
      <c r="G227" s="49"/>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48"/>
      <c r="CQ227" s="48"/>
      <c r="CR227" s="48"/>
      <c r="CS227" s="48"/>
      <c r="CT227" s="48"/>
      <c r="CU227" s="48"/>
      <c r="CV227" s="48"/>
      <c r="CW227" s="48"/>
      <c r="CX227" s="48"/>
      <c r="CY227" s="48"/>
      <c r="CZ227" s="48"/>
      <c r="DA227" s="48"/>
      <c r="DB227" s="48"/>
      <c r="DC227" s="48"/>
      <c r="DD227" s="48"/>
      <c r="DE227" s="48"/>
      <c r="DF227" s="48"/>
      <c r="DG227" s="48"/>
      <c r="DH227" s="48"/>
      <c r="DI227" s="48"/>
      <c r="DJ227" s="48"/>
      <c r="DK227" s="48"/>
      <c r="DL227" s="48"/>
      <c r="DM227" s="48"/>
      <c r="DN227" s="48"/>
      <c r="DO227" s="48"/>
      <c r="DP227" s="48"/>
      <c r="DQ227" s="48"/>
      <c r="DR227" s="48"/>
      <c r="DS227" s="48"/>
      <c r="DT227" s="48"/>
      <c r="DU227" s="48"/>
      <c r="DV227" s="48"/>
      <c r="DW227" s="48"/>
      <c r="DX227" s="48"/>
      <c r="DY227" s="48"/>
      <c r="DZ227" s="48"/>
      <c r="EA227" s="48"/>
      <c r="EB227" s="48"/>
      <c r="EC227" s="48"/>
      <c r="ED227" s="48"/>
      <c r="EE227" s="48"/>
      <c r="EF227" s="48"/>
      <c r="EG227" s="48"/>
      <c r="EH227" s="48"/>
      <c r="EI227" s="48"/>
      <c r="EJ227" s="48"/>
      <c r="EK227" s="48"/>
      <c r="EL227" s="48"/>
      <c r="EM227" s="48"/>
      <c r="EN227" s="48"/>
      <c r="EO227" s="48"/>
      <c r="EP227" s="48"/>
      <c r="EQ227" s="48"/>
      <c r="ER227" s="48"/>
      <c r="ES227" s="48"/>
      <c r="ET227" s="48"/>
      <c r="EU227" s="48"/>
      <c r="EV227" s="48"/>
      <c r="EW227" s="48"/>
      <c r="EX227" s="48"/>
      <c r="EY227" s="48"/>
      <c r="EZ227" s="48"/>
      <c r="FA227" s="48"/>
      <c r="FB227" s="48"/>
      <c r="FC227" s="48"/>
      <c r="FD227" s="48"/>
      <c r="FE227" s="48"/>
      <c r="FF227" s="48"/>
      <c r="FG227" s="48"/>
      <c r="FH227" s="48"/>
      <c r="FI227" s="48"/>
      <c r="FJ227" s="48"/>
      <c r="FK227" s="48"/>
      <c r="FL227" s="48"/>
      <c r="FM227" s="48"/>
      <c r="FN227" s="48"/>
      <c r="FO227" s="48"/>
      <c r="FP227" s="48"/>
      <c r="FQ227" s="48"/>
      <c r="FR227" s="48"/>
      <c r="FS227" s="48"/>
      <c r="FT227" s="48"/>
      <c r="FU227" s="48"/>
      <c r="FV227" s="48"/>
      <c r="FW227" s="48"/>
      <c r="FX227" s="48"/>
      <c r="FY227" s="48"/>
      <c r="FZ227" s="48"/>
      <c r="GA227" s="48"/>
      <c r="GB227" s="48"/>
      <c r="GC227" s="48"/>
      <c r="GD227" s="48"/>
      <c r="GE227" s="48"/>
      <c r="GF227" s="48"/>
      <c r="GG227" s="48"/>
      <c r="GH227" s="48"/>
      <c r="GI227" s="48"/>
      <c r="GJ227" s="48"/>
      <c r="GK227" s="48"/>
      <c r="GL227" s="48"/>
      <c r="GM227" s="48"/>
      <c r="GN227" s="48"/>
      <c r="GO227" s="48"/>
      <c r="GP227" s="48"/>
      <c r="GQ227" s="48"/>
      <c r="GR227" s="48"/>
      <c r="GS227" s="48"/>
      <c r="GT227" s="48"/>
      <c r="GU227" s="48"/>
      <c r="GV227" s="48"/>
      <c r="GW227" s="48"/>
      <c r="GX227" s="48"/>
      <c r="GY227" s="48"/>
      <c r="GZ227" s="48"/>
      <c r="HA227" s="48"/>
      <c r="HB227" s="48"/>
    </row>
    <row r="228" spans="1:210" ht="15.75" customHeight="1">
      <c r="A228" s="5"/>
      <c r="B228" s="5"/>
      <c r="C228" s="5"/>
      <c r="D228" s="5"/>
      <c r="E228" s="5"/>
      <c r="F228" s="5"/>
      <c r="G228" s="49"/>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48"/>
      <c r="CQ228" s="48"/>
      <c r="CR228" s="48"/>
      <c r="CS228" s="48"/>
      <c r="CT228" s="48"/>
      <c r="CU228" s="48"/>
      <c r="CV228" s="48"/>
      <c r="CW228" s="48"/>
      <c r="CX228" s="48"/>
      <c r="CY228" s="48"/>
      <c r="CZ228" s="48"/>
      <c r="DA228" s="48"/>
      <c r="DB228" s="48"/>
      <c r="DC228" s="48"/>
      <c r="DD228" s="48"/>
      <c r="DE228" s="48"/>
      <c r="DF228" s="48"/>
      <c r="DG228" s="48"/>
      <c r="DH228" s="48"/>
      <c r="DI228" s="48"/>
      <c r="DJ228" s="48"/>
      <c r="DK228" s="48"/>
      <c r="DL228" s="48"/>
      <c r="DM228" s="48"/>
      <c r="DN228" s="48"/>
      <c r="DO228" s="48"/>
      <c r="DP228" s="48"/>
      <c r="DQ228" s="48"/>
      <c r="DR228" s="48"/>
      <c r="DS228" s="48"/>
      <c r="DT228" s="48"/>
      <c r="DU228" s="48"/>
      <c r="DV228" s="48"/>
      <c r="DW228" s="48"/>
      <c r="DX228" s="48"/>
      <c r="DY228" s="48"/>
      <c r="DZ228" s="48"/>
      <c r="EA228" s="48"/>
      <c r="EB228" s="48"/>
      <c r="EC228" s="48"/>
      <c r="ED228" s="48"/>
      <c r="EE228" s="48"/>
      <c r="EF228" s="48"/>
      <c r="EG228" s="48"/>
      <c r="EH228" s="48"/>
      <c r="EI228" s="48"/>
      <c r="EJ228" s="48"/>
      <c r="EK228" s="48"/>
      <c r="EL228" s="48"/>
      <c r="EM228" s="48"/>
      <c r="EN228" s="48"/>
      <c r="EO228" s="48"/>
      <c r="EP228" s="48"/>
      <c r="EQ228" s="48"/>
      <c r="ER228" s="48"/>
      <c r="ES228" s="48"/>
      <c r="ET228" s="48"/>
      <c r="EU228" s="48"/>
      <c r="EV228" s="48"/>
      <c r="EW228" s="48"/>
      <c r="EX228" s="48"/>
      <c r="EY228" s="48"/>
      <c r="EZ228" s="48"/>
      <c r="FA228" s="48"/>
      <c r="FB228" s="48"/>
      <c r="FC228" s="48"/>
      <c r="FD228" s="48"/>
      <c r="FE228" s="48"/>
      <c r="FF228" s="48"/>
      <c r="FG228" s="48"/>
      <c r="FH228" s="48"/>
      <c r="FI228" s="48"/>
      <c r="FJ228" s="48"/>
      <c r="FK228" s="48"/>
      <c r="FL228" s="48"/>
      <c r="FM228" s="48"/>
      <c r="FN228" s="48"/>
      <c r="FO228" s="48"/>
      <c r="FP228" s="48"/>
      <c r="FQ228" s="48"/>
      <c r="FR228" s="48"/>
      <c r="FS228" s="48"/>
      <c r="FT228" s="48"/>
      <c r="FU228" s="48"/>
      <c r="FV228" s="48"/>
      <c r="FW228" s="48"/>
      <c r="FX228" s="48"/>
      <c r="FY228" s="48"/>
      <c r="FZ228" s="48"/>
      <c r="GA228" s="48"/>
      <c r="GB228" s="48"/>
      <c r="GC228" s="48"/>
      <c r="GD228" s="48"/>
      <c r="GE228" s="48"/>
      <c r="GF228" s="48"/>
      <c r="GG228" s="48"/>
      <c r="GH228" s="48"/>
      <c r="GI228" s="48"/>
      <c r="GJ228" s="48"/>
      <c r="GK228" s="48"/>
      <c r="GL228" s="48"/>
      <c r="GM228" s="48"/>
      <c r="GN228" s="48"/>
      <c r="GO228" s="48"/>
      <c r="GP228" s="48"/>
      <c r="GQ228" s="48"/>
      <c r="GR228" s="48"/>
      <c r="GS228" s="48"/>
      <c r="GT228" s="48"/>
      <c r="GU228" s="48"/>
      <c r="GV228" s="48"/>
      <c r="GW228" s="48"/>
      <c r="GX228" s="48"/>
      <c r="GY228" s="48"/>
      <c r="GZ228" s="48"/>
      <c r="HA228" s="48"/>
      <c r="HB228" s="48"/>
    </row>
    <row r="229" spans="1:210" ht="15.75" customHeight="1">
      <c r="A229" s="5"/>
      <c r="B229" s="5"/>
      <c r="C229" s="5"/>
      <c r="D229" s="5"/>
      <c r="E229" s="5"/>
      <c r="F229" s="5"/>
      <c r="G229" s="49"/>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48"/>
      <c r="CQ229" s="48"/>
      <c r="CR229" s="48"/>
      <c r="CS229" s="48"/>
      <c r="CT229" s="48"/>
      <c r="CU229" s="48"/>
      <c r="CV229" s="48"/>
      <c r="CW229" s="48"/>
      <c r="CX229" s="48"/>
      <c r="CY229" s="48"/>
      <c r="CZ229" s="48"/>
      <c r="DA229" s="48"/>
      <c r="DB229" s="48"/>
      <c r="DC229" s="48"/>
      <c r="DD229" s="48"/>
      <c r="DE229" s="48"/>
      <c r="DF229" s="48"/>
      <c r="DG229" s="48"/>
      <c r="DH229" s="48"/>
      <c r="DI229" s="48"/>
      <c r="DJ229" s="48"/>
      <c r="DK229" s="48"/>
      <c r="DL229" s="48"/>
      <c r="DM229" s="48"/>
      <c r="DN229" s="48"/>
      <c r="DO229" s="48"/>
      <c r="DP229" s="48"/>
      <c r="DQ229" s="48"/>
      <c r="DR229" s="48"/>
      <c r="DS229" s="48"/>
      <c r="DT229" s="48"/>
      <c r="DU229" s="48"/>
      <c r="DV229" s="48"/>
      <c r="DW229" s="48"/>
      <c r="DX229" s="48"/>
      <c r="DY229" s="48"/>
      <c r="DZ229" s="48"/>
      <c r="EA229" s="48"/>
      <c r="EB229" s="48"/>
      <c r="EC229" s="48"/>
      <c r="ED229" s="48"/>
      <c r="EE229" s="48"/>
      <c r="EF229" s="48"/>
      <c r="EG229" s="48"/>
      <c r="EH229" s="48"/>
      <c r="EI229" s="48"/>
      <c r="EJ229" s="48"/>
      <c r="EK229" s="48"/>
      <c r="EL229" s="48"/>
      <c r="EM229" s="48"/>
      <c r="EN229" s="48"/>
      <c r="EO229" s="48"/>
      <c r="EP229" s="48"/>
      <c r="EQ229" s="48"/>
      <c r="ER229" s="48"/>
      <c r="ES229" s="48"/>
      <c r="ET229" s="48"/>
      <c r="EU229" s="48"/>
      <c r="EV229" s="48"/>
      <c r="EW229" s="48"/>
      <c r="EX229" s="48"/>
      <c r="EY229" s="48"/>
      <c r="EZ229" s="48"/>
      <c r="FA229" s="48"/>
      <c r="FB229" s="48"/>
      <c r="FC229" s="48"/>
      <c r="FD229" s="48"/>
      <c r="FE229" s="48"/>
      <c r="FF229" s="48"/>
      <c r="FG229" s="48"/>
      <c r="FH229" s="48"/>
      <c r="FI229" s="48"/>
      <c r="FJ229" s="48"/>
      <c r="FK229" s="48"/>
      <c r="FL229" s="48"/>
      <c r="FM229" s="48"/>
      <c r="FN229" s="48"/>
      <c r="FO229" s="48"/>
      <c r="FP229" s="48"/>
      <c r="FQ229" s="48"/>
      <c r="FR229" s="48"/>
      <c r="FS229" s="48"/>
      <c r="FT229" s="48"/>
      <c r="FU229" s="48"/>
      <c r="FV229" s="48"/>
      <c r="FW229" s="48"/>
      <c r="FX229" s="48"/>
      <c r="FY229" s="48"/>
      <c r="FZ229" s="48"/>
      <c r="GA229" s="48"/>
      <c r="GB229" s="48"/>
      <c r="GC229" s="48"/>
      <c r="GD229" s="48"/>
      <c r="GE229" s="48"/>
      <c r="GF229" s="48"/>
      <c r="GG229" s="48"/>
      <c r="GH229" s="48"/>
      <c r="GI229" s="48"/>
      <c r="GJ229" s="48"/>
      <c r="GK229" s="48"/>
      <c r="GL229" s="48"/>
      <c r="GM229" s="48"/>
      <c r="GN229" s="48"/>
      <c r="GO229" s="48"/>
      <c r="GP229" s="48"/>
      <c r="GQ229" s="48"/>
      <c r="GR229" s="48"/>
      <c r="GS229" s="48"/>
      <c r="GT229" s="48"/>
      <c r="GU229" s="48"/>
      <c r="GV229" s="48"/>
      <c r="GW229" s="48"/>
      <c r="GX229" s="48"/>
      <c r="GY229" s="48"/>
      <c r="GZ229" s="48"/>
      <c r="HA229" s="48"/>
      <c r="HB229" s="48"/>
    </row>
    <row r="230" spans="1:210" ht="15.75" customHeight="1">
      <c r="A230" s="5"/>
      <c r="B230" s="5"/>
      <c r="C230" s="5"/>
      <c r="D230" s="5"/>
      <c r="E230" s="5"/>
      <c r="F230" s="5"/>
      <c r="G230" s="49"/>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48"/>
      <c r="CQ230" s="48"/>
      <c r="CR230" s="48"/>
      <c r="CS230" s="48"/>
      <c r="CT230" s="48"/>
      <c r="CU230" s="48"/>
      <c r="CV230" s="48"/>
      <c r="CW230" s="48"/>
      <c r="CX230" s="48"/>
      <c r="CY230" s="48"/>
      <c r="CZ230" s="48"/>
      <c r="DA230" s="48"/>
      <c r="DB230" s="48"/>
      <c r="DC230" s="48"/>
      <c r="DD230" s="48"/>
      <c r="DE230" s="48"/>
      <c r="DF230" s="48"/>
      <c r="DG230" s="48"/>
      <c r="DH230" s="48"/>
      <c r="DI230" s="48"/>
      <c r="DJ230" s="48"/>
      <c r="DK230" s="48"/>
      <c r="DL230" s="48"/>
      <c r="DM230" s="48"/>
      <c r="DN230" s="48"/>
      <c r="DO230" s="48"/>
      <c r="DP230" s="48"/>
      <c r="DQ230" s="48"/>
      <c r="DR230" s="48"/>
      <c r="DS230" s="48"/>
      <c r="DT230" s="48"/>
      <c r="DU230" s="48"/>
      <c r="DV230" s="48"/>
      <c r="DW230" s="48"/>
      <c r="DX230" s="48"/>
      <c r="DY230" s="48"/>
      <c r="DZ230" s="48"/>
      <c r="EA230" s="48"/>
      <c r="EB230" s="48"/>
      <c r="EC230" s="48"/>
      <c r="ED230" s="48"/>
      <c r="EE230" s="48"/>
      <c r="EF230" s="48"/>
      <c r="EG230" s="48"/>
      <c r="EH230" s="48"/>
      <c r="EI230" s="48"/>
      <c r="EJ230" s="48"/>
      <c r="EK230" s="48"/>
      <c r="EL230" s="48"/>
      <c r="EM230" s="48"/>
      <c r="EN230" s="48"/>
      <c r="EO230" s="48"/>
      <c r="EP230" s="48"/>
      <c r="EQ230" s="48"/>
      <c r="ER230" s="48"/>
      <c r="ES230" s="48"/>
      <c r="ET230" s="48"/>
      <c r="EU230" s="48"/>
      <c r="EV230" s="48"/>
      <c r="EW230" s="48"/>
      <c r="EX230" s="48"/>
      <c r="EY230" s="48"/>
      <c r="EZ230" s="48"/>
      <c r="FA230" s="48"/>
      <c r="FB230" s="48"/>
      <c r="FC230" s="48"/>
      <c r="FD230" s="48"/>
      <c r="FE230" s="48"/>
      <c r="FF230" s="48"/>
      <c r="FG230" s="48"/>
      <c r="FH230" s="48"/>
      <c r="FI230" s="48"/>
      <c r="FJ230" s="48"/>
      <c r="FK230" s="48"/>
      <c r="FL230" s="48"/>
      <c r="FM230" s="48"/>
      <c r="FN230" s="48"/>
      <c r="FO230" s="48"/>
      <c r="FP230" s="48"/>
      <c r="FQ230" s="48"/>
      <c r="FR230" s="48"/>
      <c r="FS230" s="48"/>
      <c r="FT230" s="48"/>
      <c r="FU230" s="48"/>
      <c r="FV230" s="48"/>
      <c r="FW230" s="48"/>
      <c r="FX230" s="48"/>
      <c r="FY230" s="48"/>
      <c r="FZ230" s="48"/>
      <c r="GA230" s="48"/>
      <c r="GB230" s="48"/>
      <c r="GC230" s="48"/>
      <c r="GD230" s="48"/>
      <c r="GE230" s="48"/>
      <c r="GF230" s="48"/>
      <c r="GG230" s="48"/>
      <c r="GH230" s="48"/>
      <c r="GI230" s="48"/>
      <c r="GJ230" s="48"/>
      <c r="GK230" s="48"/>
      <c r="GL230" s="48"/>
      <c r="GM230" s="48"/>
      <c r="GN230" s="48"/>
      <c r="GO230" s="48"/>
      <c r="GP230" s="48"/>
      <c r="GQ230" s="48"/>
      <c r="GR230" s="48"/>
      <c r="GS230" s="48"/>
      <c r="GT230" s="48"/>
      <c r="GU230" s="48"/>
      <c r="GV230" s="48"/>
      <c r="GW230" s="48"/>
      <c r="GX230" s="48"/>
      <c r="GY230" s="48"/>
      <c r="GZ230" s="48"/>
      <c r="HA230" s="48"/>
      <c r="HB230" s="48"/>
    </row>
    <row r="231" spans="1:210" ht="15.75" customHeight="1">
      <c r="A231" s="5"/>
      <c r="B231" s="5"/>
      <c r="C231" s="5"/>
      <c r="D231" s="5"/>
      <c r="E231" s="5"/>
      <c r="F231" s="5"/>
      <c r="G231" s="49"/>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48"/>
      <c r="CQ231" s="48"/>
      <c r="CR231" s="48"/>
      <c r="CS231" s="48"/>
      <c r="CT231" s="48"/>
      <c r="CU231" s="48"/>
      <c r="CV231" s="48"/>
      <c r="CW231" s="48"/>
      <c r="CX231" s="48"/>
      <c r="CY231" s="48"/>
      <c r="CZ231" s="48"/>
      <c r="DA231" s="48"/>
      <c r="DB231" s="48"/>
      <c r="DC231" s="48"/>
      <c r="DD231" s="48"/>
      <c r="DE231" s="48"/>
      <c r="DF231" s="48"/>
      <c r="DG231" s="48"/>
      <c r="DH231" s="48"/>
      <c r="DI231" s="48"/>
      <c r="DJ231" s="48"/>
      <c r="DK231" s="48"/>
      <c r="DL231" s="48"/>
      <c r="DM231" s="48"/>
      <c r="DN231" s="48"/>
      <c r="DO231" s="48"/>
      <c r="DP231" s="48"/>
      <c r="DQ231" s="48"/>
      <c r="DR231" s="48"/>
      <c r="DS231" s="48"/>
      <c r="DT231" s="48"/>
      <c r="DU231" s="48"/>
      <c r="DV231" s="48"/>
      <c r="DW231" s="48"/>
      <c r="DX231" s="48"/>
      <c r="DY231" s="48"/>
      <c r="DZ231" s="48"/>
      <c r="EA231" s="48"/>
      <c r="EB231" s="48"/>
      <c r="EC231" s="48"/>
      <c r="ED231" s="48"/>
      <c r="EE231" s="48"/>
      <c r="EF231" s="48"/>
      <c r="EG231" s="48"/>
      <c r="EH231" s="48"/>
      <c r="EI231" s="48"/>
      <c r="EJ231" s="48"/>
      <c r="EK231" s="48"/>
      <c r="EL231" s="48"/>
      <c r="EM231" s="48"/>
      <c r="EN231" s="48"/>
      <c r="EO231" s="48"/>
      <c r="EP231" s="48"/>
      <c r="EQ231" s="48"/>
      <c r="ER231" s="48"/>
      <c r="ES231" s="48"/>
      <c r="ET231" s="48"/>
      <c r="EU231" s="48"/>
      <c r="EV231" s="48"/>
      <c r="EW231" s="48"/>
      <c r="EX231" s="48"/>
      <c r="EY231" s="48"/>
      <c r="EZ231" s="48"/>
      <c r="FA231" s="48"/>
      <c r="FB231" s="48"/>
      <c r="FC231" s="48"/>
      <c r="FD231" s="48"/>
      <c r="FE231" s="48"/>
      <c r="FF231" s="48"/>
      <c r="FG231" s="48"/>
      <c r="FH231" s="48"/>
      <c r="FI231" s="48"/>
      <c r="FJ231" s="48"/>
      <c r="FK231" s="48"/>
      <c r="FL231" s="48"/>
      <c r="FM231" s="48"/>
      <c r="FN231" s="48"/>
      <c r="FO231" s="48"/>
      <c r="FP231" s="48"/>
      <c r="FQ231" s="48"/>
      <c r="FR231" s="48"/>
      <c r="FS231" s="48"/>
      <c r="FT231" s="48"/>
      <c r="FU231" s="48"/>
      <c r="FV231" s="48"/>
      <c r="FW231" s="48"/>
      <c r="FX231" s="48"/>
      <c r="FY231" s="48"/>
      <c r="FZ231" s="48"/>
      <c r="GA231" s="48"/>
      <c r="GB231" s="48"/>
      <c r="GC231" s="48"/>
      <c r="GD231" s="48"/>
      <c r="GE231" s="48"/>
      <c r="GF231" s="48"/>
      <c r="GG231" s="48"/>
      <c r="GH231" s="48"/>
      <c r="GI231" s="48"/>
      <c r="GJ231" s="48"/>
      <c r="GK231" s="48"/>
      <c r="GL231" s="48"/>
      <c r="GM231" s="48"/>
      <c r="GN231" s="48"/>
      <c r="GO231" s="48"/>
      <c r="GP231" s="48"/>
      <c r="GQ231" s="48"/>
      <c r="GR231" s="48"/>
      <c r="GS231" s="48"/>
      <c r="GT231" s="48"/>
      <c r="GU231" s="48"/>
      <c r="GV231" s="48"/>
      <c r="GW231" s="48"/>
      <c r="GX231" s="48"/>
      <c r="GY231" s="48"/>
      <c r="GZ231" s="48"/>
      <c r="HA231" s="48"/>
      <c r="HB231" s="48"/>
    </row>
    <row r="232" spans="1:210" ht="15.75" customHeight="1">
      <c r="A232" s="5"/>
      <c r="B232" s="5"/>
      <c r="C232" s="5"/>
      <c r="D232" s="5"/>
      <c r="E232" s="5"/>
      <c r="F232" s="5"/>
      <c r="G232" s="49"/>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48"/>
      <c r="CQ232" s="48"/>
      <c r="CR232" s="48"/>
      <c r="CS232" s="48"/>
      <c r="CT232" s="48"/>
      <c r="CU232" s="48"/>
      <c r="CV232" s="48"/>
      <c r="CW232" s="48"/>
      <c r="CX232" s="48"/>
      <c r="CY232" s="48"/>
      <c r="CZ232" s="48"/>
      <c r="DA232" s="48"/>
      <c r="DB232" s="48"/>
      <c r="DC232" s="48"/>
      <c r="DD232" s="48"/>
      <c r="DE232" s="48"/>
      <c r="DF232" s="48"/>
      <c r="DG232" s="48"/>
      <c r="DH232" s="48"/>
      <c r="DI232" s="48"/>
      <c r="DJ232" s="48"/>
      <c r="DK232" s="48"/>
      <c r="DL232" s="48"/>
      <c r="DM232" s="48"/>
      <c r="DN232" s="48"/>
      <c r="DO232" s="48"/>
      <c r="DP232" s="48"/>
      <c r="DQ232" s="48"/>
      <c r="DR232" s="48"/>
      <c r="DS232" s="48"/>
      <c r="DT232" s="48"/>
      <c r="DU232" s="48"/>
      <c r="DV232" s="48"/>
      <c r="DW232" s="48"/>
      <c r="DX232" s="48"/>
      <c r="DY232" s="48"/>
      <c r="DZ232" s="48"/>
      <c r="EA232" s="48"/>
      <c r="EB232" s="48"/>
      <c r="EC232" s="48"/>
      <c r="ED232" s="48"/>
      <c r="EE232" s="48"/>
      <c r="EF232" s="48"/>
      <c r="EG232" s="48"/>
      <c r="EH232" s="48"/>
      <c r="EI232" s="48"/>
      <c r="EJ232" s="48"/>
      <c r="EK232" s="48"/>
      <c r="EL232" s="48"/>
      <c r="EM232" s="48"/>
      <c r="EN232" s="48"/>
      <c r="EO232" s="48"/>
      <c r="EP232" s="48"/>
      <c r="EQ232" s="48"/>
      <c r="ER232" s="48"/>
      <c r="ES232" s="48"/>
      <c r="ET232" s="48"/>
      <c r="EU232" s="48"/>
      <c r="EV232" s="48"/>
      <c r="EW232" s="48"/>
      <c r="EX232" s="48"/>
      <c r="EY232" s="48"/>
      <c r="EZ232" s="48"/>
      <c r="FA232" s="48"/>
      <c r="FB232" s="48"/>
      <c r="FC232" s="48"/>
      <c r="FD232" s="48"/>
      <c r="FE232" s="48"/>
      <c r="FF232" s="48"/>
      <c r="FG232" s="48"/>
      <c r="FH232" s="48"/>
      <c r="FI232" s="48"/>
      <c r="FJ232" s="48"/>
      <c r="FK232" s="48"/>
      <c r="FL232" s="48"/>
      <c r="FM232" s="48"/>
      <c r="FN232" s="48"/>
      <c r="FO232" s="48"/>
      <c r="FP232" s="48"/>
      <c r="FQ232" s="48"/>
      <c r="FR232" s="48"/>
      <c r="FS232" s="48"/>
      <c r="FT232" s="48"/>
      <c r="FU232" s="48"/>
      <c r="FV232" s="48"/>
      <c r="FW232" s="48"/>
      <c r="FX232" s="48"/>
      <c r="FY232" s="48"/>
      <c r="FZ232" s="48"/>
      <c r="GA232" s="48"/>
      <c r="GB232" s="48"/>
      <c r="GC232" s="48"/>
      <c r="GD232" s="48"/>
      <c r="GE232" s="48"/>
      <c r="GF232" s="48"/>
      <c r="GG232" s="48"/>
      <c r="GH232" s="48"/>
      <c r="GI232" s="48"/>
      <c r="GJ232" s="48"/>
      <c r="GK232" s="48"/>
      <c r="GL232" s="48"/>
      <c r="GM232" s="48"/>
      <c r="GN232" s="48"/>
      <c r="GO232" s="48"/>
      <c r="GP232" s="48"/>
      <c r="GQ232" s="48"/>
      <c r="GR232" s="48"/>
      <c r="GS232" s="48"/>
      <c r="GT232" s="48"/>
      <c r="GU232" s="48"/>
      <c r="GV232" s="48"/>
      <c r="GW232" s="48"/>
      <c r="GX232" s="48"/>
      <c r="GY232" s="48"/>
      <c r="GZ232" s="48"/>
      <c r="HA232" s="48"/>
      <c r="HB232" s="48"/>
    </row>
    <row r="233" spans="1:210" ht="15.75" customHeight="1">
      <c r="A233" s="5"/>
      <c r="B233" s="5"/>
      <c r="C233" s="5"/>
      <c r="D233" s="5"/>
      <c r="E233" s="5"/>
      <c r="F233" s="5"/>
      <c r="G233" s="49"/>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48"/>
      <c r="CQ233" s="48"/>
      <c r="CR233" s="48"/>
      <c r="CS233" s="48"/>
      <c r="CT233" s="48"/>
      <c r="CU233" s="48"/>
      <c r="CV233" s="48"/>
      <c r="CW233" s="48"/>
      <c r="CX233" s="48"/>
      <c r="CY233" s="48"/>
      <c r="CZ233" s="48"/>
      <c r="DA233" s="48"/>
      <c r="DB233" s="48"/>
      <c r="DC233" s="48"/>
      <c r="DD233" s="48"/>
      <c r="DE233" s="48"/>
      <c r="DF233" s="48"/>
      <c r="DG233" s="48"/>
      <c r="DH233" s="48"/>
      <c r="DI233" s="48"/>
      <c r="DJ233" s="48"/>
      <c r="DK233" s="48"/>
      <c r="DL233" s="48"/>
      <c r="DM233" s="48"/>
      <c r="DN233" s="48"/>
      <c r="DO233" s="48"/>
      <c r="DP233" s="48"/>
      <c r="DQ233" s="48"/>
      <c r="DR233" s="48"/>
      <c r="DS233" s="48"/>
      <c r="DT233" s="48"/>
      <c r="DU233" s="48"/>
      <c r="DV233" s="48"/>
      <c r="DW233" s="48"/>
      <c r="DX233" s="48"/>
      <c r="DY233" s="48"/>
      <c r="DZ233" s="48"/>
      <c r="EA233" s="48"/>
      <c r="EB233" s="48"/>
      <c r="EC233" s="48"/>
      <c r="ED233" s="48"/>
      <c r="EE233" s="48"/>
      <c r="EF233" s="48"/>
      <c r="EG233" s="48"/>
      <c r="EH233" s="48"/>
      <c r="EI233" s="48"/>
      <c r="EJ233" s="48"/>
      <c r="EK233" s="48"/>
      <c r="EL233" s="48"/>
      <c r="EM233" s="48"/>
      <c r="EN233" s="48"/>
      <c r="EO233" s="48"/>
      <c r="EP233" s="48"/>
      <c r="EQ233" s="48"/>
      <c r="ER233" s="48"/>
      <c r="ES233" s="48"/>
      <c r="ET233" s="48"/>
      <c r="EU233" s="48"/>
      <c r="EV233" s="48"/>
      <c r="EW233" s="48"/>
      <c r="EX233" s="48"/>
      <c r="EY233" s="48"/>
      <c r="EZ233" s="48"/>
      <c r="FA233" s="48"/>
      <c r="FB233" s="48"/>
      <c r="FC233" s="48"/>
      <c r="FD233" s="48"/>
      <c r="FE233" s="48"/>
      <c r="FF233" s="48"/>
      <c r="FG233" s="48"/>
      <c r="FH233" s="48"/>
      <c r="FI233" s="48"/>
      <c r="FJ233" s="48"/>
      <c r="FK233" s="48"/>
      <c r="FL233" s="48"/>
      <c r="FM233" s="48"/>
      <c r="FN233" s="48"/>
      <c r="FO233" s="48"/>
      <c r="FP233" s="48"/>
      <c r="FQ233" s="48"/>
      <c r="FR233" s="48"/>
      <c r="FS233" s="48"/>
      <c r="FT233" s="48"/>
      <c r="FU233" s="48"/>
      <c r="FV233" s="48"/>
      <c r="FW233" s="48"/>
      <c r="FX233" s="48"/>
      <c r="FY233" s="48"/>
      <c r="FZ233" s="48"/>
      <c r="GA233" s="48"/>
      <c r="GB233" s="48"/>
      <c r="GC233" s="48"/>
      <c r="GD233" s="48"/>
      <c r="GE233" s="48"/>
      <c r="GF233" s="48"/>
      <c r="GG233" s="48"/>
      <c r="GH233" s="48"/>
      <c r="GI233" s="48"/>
      <c r="GJ233" s="48"/>
      <c r="GK233" s="48"/>
      <c r="GL233" s="48"/>
      <c r="GM233" s="48"/>
      <c r="GN233" s="48"/>
      <c r="GO233" s="48"/>
      <c r="GP233" s="48"/>
      <c r="GQ233" s="48"/>
      <c r="GR233" s="48"/>
      <c r="GS233" s="48"/>
      <c r="GT233" s="48"/>
      <c r="GU233" s="48"/>
      <c r="GV233" s="48"/>
      <c r="GW233" s="48"/>
      <c r="GX233" s="48"/>
      <c r="GY233" s="48"/>
      <c r="GZ233" s="48"/>
      <c r="HA233" s="48"/>
      <c r="HB233" s="48"/>
    </row>
    <row r="234" spans="1:210" ht="15.75" customHeight="1">
      <c r="A234" s="5"/>
      <c r="B234" s="5"/>
      <c r="C234" s="5"/>
      <c r="D234" s="5"/>
      <c r="E234" s="5"/>
      <c r="F234" s="5"/>
      <c r="G234" s="49"/>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48"/>
      <c r="CQ234" s="48"/>
      <c r="CR234" s="48"/>
      <c r="CS234" s="48"/>
      <c r="CT234" s="48"/>
      <c r="CU234" s="48"/>
      <c r="CV234" s="48"/>
      <c r="CW234" s="48"/>
      <c r="CX234" s="48"/>
      <c r="CY234" s="48"/>
      <c r="CZ234" s="48"/>
      <c r="DA234" s="48"/>
      <c r="DB234" s="48"/>
      <c r="DC234" s="48"/>
      <c r="DD234" s="48"/>
      <c r="DE234" s="48"/>
      <c r="DF234" s="48"/>
      <c r="DG234" s="48"/>
      <c r="DH234" s="48"/>
      <c r="DI234" s="48"/>
      <c r="DJ234" s="48"/>
      <c r="DK234" s="48"/>
      <c r="DL234" s="48"/>
      <c r="DM234" s="48"/>
      <c r="DN234" s="48"/>
      <c r="DO234" s="48"/>
      <c r="DP234" s="48"/>
      <c r="DQ234" s="48"/>
      <c r="DR234" s="48"/>
      <c r="DS234" s="48"/>
      <c r="DT234" s="48"/>
      <c r="DU234" s="48"/>
      <c r="DV234" s="48"/>
      <c r="DW234" s="48"/>
      <c r="DX234" s="48"/>
      <c r="DY234" s="48"/>
      <c r="DZ234" s="48"/>
      <c r="EA234" s="48"/>
      <c r="EB234" s="48"/>
      <c r="EC234" s="48"/>
      <c r="ED234" s="48"/>
      <c r="EE234" s="48"/>
      <c r="EF234" s="48"/>
      <c r="EG234" s="48"/>
      <c r="EH234" s="48"/>
      <c r="EI234" s="48"/>
      <c r="EJ234" s="48"/>
      <c r="EK234" s="48"/>
      <c r="EL234" s="48"/>
      <c r="EM234" s="48"/>
      <c r="EN234" s="48"/>
      <c r="EO234" s="48"/>
      <c r="EP234" s="48"/>
      <c r="EQ234" s="48"/>
      <c r="ER234" s="48"/>
      <c r="ES234" s="48"/>
      <c r="ET234" s="48"/>
      <c r="EU234" s="48"/>
      <c r="EV234" s="48"/>
      <c r="EW234" s="48"/>
      <c r="EX234" s="48"/>
      <c r="EY234" s="48"/>
      <c r="EZ234" s="48"/>
      <c r="FA234" s="48"/>
      <c r="FB234" s="48"/>
      <c r="FC234" s="48"/>
      <c r="FD234" s="48"/>
      <c r="FE234" s="48"/>
      <c r="FF234" s="48"/>
      <c r="FG234" s="48"/>
      <c r="FH234" s="48"/>
      <c r="FI234" s="48"/>
      <c r="FJ234" s="48"/>
      <c r="FK234" s="48"/>
      <c r="FL234" s="48"/>
      <c r="FM234" s="48"/>
      <c r="FN234" s="48"/>
      <c r="FO234" s="48"/>
      <c r="FP234" s="48"/>
      <c r="FQ234" s="48"/>
      <c r="FR234" s="48"/>
      <c r="FS234" s="48"/>
      <c r="FT234" s="48"/>
      <c r="FU234" s="48"/>
      <c r="FV234" s="48"/>
      <c r="FW234" s="48"/>
      <c r="FX234" s="48"/>
      <c r="FY234" s="48"/>
      <c r="FZ234" s="48"/>
      <c r="GA234" s="48"/>
      <c r="GB234" s="48"/>
      <c r="GC234" s="48"/>
      <c r="GD234" s="48"/>
      <c r="GE234" s="48"/>
      <c r="GF234" s="48"/>
      <c r="GG234" s="48"/>
      <c r="GH234" s="48"/>
      <c r="GI234" s="48"/>
      <c r="GJ234" s="48"/>
      <c r="GK234" s="48"/>
      <c r="GL234" s="48"/>
      <c r="GM234" s="48"/>
      <c r="GN234" s="48"/>
      <c r="GO234" s="48"/>
      <c r="GP234" s="48"/>
      <c r="GQ234" s="48"/>
      <c r="GR234" s="48"/>
      <c r="GS234" s="48"/>
      <c r="GT234" s="48"/>
      <c r="GU234" s="48"/>
      <c r="GV234" s="48"/>
      <c r="GW234" s="48"/>
      <c r="GX234" s="48"/>
      <c r="GY234" s="48"/>
      <c r="GZ234" s="48"/>
      <c r="HA234" s="48"/>
      <c r="HB234" s="48"/>
    </row>
    <row r="235" spans="1:210" ht="15.75" customHeight="1">
      <c r="A235" s="5"/>
      <c r="B235" s="5"/>
      <c r="C235" s="5"/>
      <c r="D235" s="5"/>
      <c r="E235" s="5"/>
      <c r="F235" s="5"/>
      <c r="G235" s="49"/>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48"/>
      <c r="CQ235" s="48"/>
      <c r="CR235" s="48"/>
      <c r="CS235" s="48"/>
      <c r="CT235" s="48"/>
      <c r="CU235" s="48"/>
      <c r="CV235" s="48"/>
      <c r="CW235" s="48"/>
      <c r="CX235" s="48"/>
      <c r="CY235" s="48"/>
      <c r="CZ235" s="48"/>
      <c r="DA235" s="48"/>
      <c r="DB235" s="48"/>
      <c r="DC235" s="48"/>
      <c r="DD235" s="48"/>
      <c r="DE235" s="48"/>
      <c r="DF235" s="48"/>
      <c r="DG235" s="48"/>
      <c r="DH235" s="48"/>
      <c r="DI235" s="48"/>
      <c r="DJ235" s="48"/>
      <c r="DK235" s="48"/>
      <c r="DL235" s="48"/>
      <c r="DM235" s="48"/>
      <c r="DN235" s="48"/>
      <c r="DO235" s="48"/>
      <c r="DP235" s="48"/>
      <c r="DQ235" s="48"/>
      <c r="DR235" s="48"/>
      <c r="DS235" s="48"/>
      <c r="DT235" s="48"/>
      <c r="DU235" s="48"/>
      <c r="DV235" s="48"/>
      <c r="DW235" s="48"/>
      <c r="DX235" s="48"/>
      <c r="DY235" s="48"/>
      <c r="DZ235" s="48"/>
      <c r="EA235" s="48"/>
      <c r="EB235" s="48"/>
      <c r="EC235" s="48"/>
      <c r="ED235" s="48"/>
      <c r="EE235" s="48"/>
      <c r="EF235" s="48"/>
      <c r="EG235" s="48"/>
      <c r="EH235" s="48"/>
      <c r="EI235" s="48"/>
      <c r="EJ235" s="48"/>
      <c r="EK235" s="48"/>
      <c r="EL235" s="48"/>
      <c r="EM235" s="48"/>
      <c r="EN235" s="48"/>
      <c r="EO235" s="48"/>
      <c r="EP235" s="48"/>
      <c r="EQ235" s="48"/>
      <c r="ER235" s="48"/>
      <c r="ES235" s="48"/>
      <c r="ET235" s="48"/>
      <c r="EU235" s="48"/>
      <c r="EV235" s="48"/>
      <c r="EW235" s="48"/>
      <c r="EX235" s="48"/>
      <c r="EY235" s="48"/>
      <c r="EZ235" s="48"/>
      <c r="FA235" s="48"/>
      <c r="FB235" s="48"/>
      <c r="FC235" s="48"/>
      <c r="FD235" s="48"/>
      <c r="FE235" s="48"/>
      <c r="FF235" s="48"/>
      <c r="FG235" s="48"/>
      <c r="FH235" s="48"/>
      <c r="FI235" s="48"/>
      <c r="FJ235" s="48"/>
      <c r="FK235" s="48"/>
      <c r="FL235" s="48"/>
      <c r="FM235" s="48"/>
      <c r="FN235" s="48"/>
      <c r="FO235" s="48"/>
      <c r="FP235" s="48"/>
      <c r="FQ235" s="48"/>
      <c r="FR235" s="48"/>
      <c r="FS235" s="48"/>
      <c r="FT235" s="48"/>
      <c r="FU235" s="48"/>
      <c r="FV235" s="48"/>
      <c r="FW235" s="48"/>
      <c r="FX235" s="48"/>
      <c r="FY235" s="48"/>
      <c r="FZ235" s="48"/>
      <c r="GA235" s="48"/>
      <c r="GB235" s="48"/>
      <c r="GC235" s="48"/>
      <c r="GD235" s="48"/>
      <c r="GE235" s="48"/>
      <c r="GF235" s="48"/>
      <c r="GG235" s="48"/>
      <c r="GH235" s="48"/>
      <c r="GI235" s="48"/>
      <c r="GJ235" s="48"/>
      <c r="GK235" s="48"/>
      <c r="GL235" s="48"/>
      <c r="GM235" s="48"/>
      <c r="GN235" s="48"/>
      <c r="GO235" s="48"/>
      <c r="GP235" s="48"/>
      <c r="GQ235" s="48"/>
      <c r="GR235" s="48"/>
      <c r="GS235" s="48"/>
      <c r="GT235" s="48"/>
      <c r="GU235" s="48"/>
      <c r="GV235" s="48"/>
      <c r="GW235" s="48"/>
      <c r="GX235" s="48"/>
      <c r="GY235" s="48"/>
      <c r="GZ235" s="48"/>
      <c r="HA235" s="48"/>
      <c r="HB235" s="48"/>
    </row>
    <row r="236" spans="1:210" ht="15.75" customHeight="1">
      <c r="A236" s="5"/>
      <c r="B236" s="5"/>
      <c r="C236" s="5"/>
      <c r="D236" s="5"/>
      <c r="E236" s="5"/>
      <c r="F236" s="5"/>
      <c r="G236" s="49"/>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48"/>
      <c r="CQ236" s="48"/>
      <c r="CR236" s="48"/>
      <c r="CS236" s="48"/>
      <c r="CT236" s="48"/>
      <c r="CU236" s="48"/>
      <c r="CV236" s="48"/>
      <c r="CW236" s="48"/>
      <c r="CX236" s="48"/>
      <c r="CY236" s="48"/>
      <c r="CZ236" s="48"/>
      <c r="DA236" s="48"/>
      <c r="DB236" s="48"/>
      <c r="DC236" s="48"/>
      <c r="DD236" s="48"/>
      <c r="DE236" s="48"/>
      <c r="DF236" s="48"/>
      <c r="DG236" s="48"/>
      <c r="DH236" s="48"/>
      <c r="DI236" s="48"/>
      <c r="DJ236" s="48"/>
      <c r="DK236" s="48"/>
      <c r="DL236" s="48"/>
      <c r="DM236" s="48"/>
      <c r="DN236" s="48"/>
      <c r="DO236" s="48"/>
      <c r="DP236" s="48"/>
      <c r="DQ236" s="48"/>
      <c r="DR236" s="48"/>
      <c r="DS236" s="48"/>
      <c r="DT236" s="48"/>
      <c r="DU236" s="48"/>
      <c r="DV236" s="48"/>
      <c r="DW236" s="48"/>
      <c r="DX236" s="48"/>
      <c r="DY236" s="48"/>
      <c r="DZ236" s="48"/>
      <c r="EA236" s="48"/>
      <c r="EB236" s="48"/>
      <c r="EC236" s="48"/>
      <c r="ED236" s="48"/>
      <c r="EE236" s="48"/>
      <c r="EF236" s="48"/>
      <c r="EG236" s="48"/>
      <c r="EH236" s="48"/>
      <c r="EI236" s="48"/>
      <c r="EJ236" s="48"/>
      <c r="EK236" s="48"/>
      <c r="EL236" s="48"/>
      <c r="EM236" s="48"/>
      <c r="EN236" s="48"/>
      <c r="EO236" s="48"/>
      <c r="EP236" s="48"/>
      <c r="EQ236" s="48"/>
      <c r="ER236" s="48"/>
      <c r="ES236" s="48"/>
      <c r="ET236" s="48"/>
      <c r="EU236" s="48"/>
      <c r="EV236" s="48"/>
      <c r="EW236" s="48"/>
      <c r="EX236" s="48"/>
      <c r="EY236" s="48"/>
      <c r="EZ236" s="48"/>
      <c r="FA236" s="48"/>
      <c r="FB236" s="48"/>
      <c r="FC236" s="48"/>
      <c r="FD236" s="48"/>
      <c r="FE236" s="48"/>
      <c r="FF236" s="48"/>
      <c r="FG236" s="48"/>
      <c r="FH236" s="48"/>
      <c r="FI236" s="48"/>
      <c r="FJ236" s="48"/>
      <c r="FK236" s="48"/>
      <c r="FL236" s="48"/>
      <c r="FM236" s="48"/>
      <c r="FN236" s="48"/>
      <c r="FO236" s="48"/>
      <c r="FP236" s="48"/>
      <c r="FQ236" s="48"/>
      <c r="FR236" s="48"/>
      <c r="FS236" s="48"/>
      <c r="FT236" s="48"/>
      <c r="FU236" s="48"/>
      <c r="FV236" s="48"/>
      <c r="FW236" s="48"/>
      <c r="FX236" s="48"/>
      <c r="FY236" s="48"/>
      <c r="FZ236" s="48"/>
      <c r="GA236" s="48"/>
      <c r="GB236" s="48"/>
      <c r="GC236" s="48"/>
      <c r="GD236" s="48"/>
      <c r="GE236" s="48"/>
      <c r="GF236" s="48"/>
      <c r="GG236" s="48"/>
      <c r="GH236" s="48"/>
      <c r="GI236" s="48"/>
      <c r="GJ236" s="48"/>
      <c r="GK236" s="48"/>
      <c r="GL236" s="48"/>
      <c r="GM236" s="48"/>
      <c r="GN236" s="48"/>
      <c r="GO236" s="48"/>
      <c r="GP236" s="48"/>
      <c r="GQ236" s="48"/>
      <c r="GR236" s="48"/>
      <c r="GS236" s="48"/>
      <c r="GT236" s="48"/>
      <c r="GU236" s="48"/>
      <c r="GV236" s="48"/>
      <c r="GW236" s="48"/>
      <c r="GX236" s="48"/>
      <c r="GY236" s="48"/>
      <c r="GZ236" s="48"/>
      <c r="HA236" s="48"/>
      <c r="HB236" s="48"/>
    </row>
    <row r="237" spans="1:210" ht="15.75" customHeight="1">
      <c r="A237" s="5"/>
      <c r="B237" s="5"/>
      <c r="C237" s="5"/>
      <c r="D237" s="5"/>
      <c r="E237" s="5"/>
      <c r="F237" s="5"/>
      <c r="G237" s="49"/>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48"/>
      <c r="CQ237" s="48"/>
      <c r="CR237" s="48"/>
      <c r="CS237" s="48"/>
      <c r="CT237" s="48"/>
      <c r="CU237" s="48"/>
      <c r="CV237" s="48"/>
      <c r="CW237" s="48"/>
      <c r="CX237" s="48"/>
      <c r="CY237" s="48"/>
      <c r="CZ237" s="48"/>
      <c r="DA237" s="48"/>
      <c r="DB237" s="48"/>
      <c r="DC237" s="48"/>
      <c r="DD237" s="48"/>
      <c r="DE237" s="48"/>
      <c r="DF237" s="48"/>
      <c r="DG237" s="48"/>
      <c r="DH237" s="48"/>
      <c r="DI237" s="48"/>
      <c r="DJ237" s="48"/>
      <c r="DK237" s="48"/>
      <c r="DL237" s="48"/>
      <c r="DM237" s="48"/>
      <c r="DN237" s="48"/>
      <c r="DO237" s="48"/>
      <c r="DP237" s="48"/>
      <c r="DQ237" s="48"/>
      <c r="DR237" s="48"/>
      <c r="DS237" s="48"/>
      <c r="DT237" s="48"/>
      <c r="DU237" s="48"/>
      <c r="DV237" s="48"/>
      <c r="DW237" s="48"/>
      <c r="DX237" s="48"/>
      <c r="DY237" s="48"/>
      <c r="DZ237" s="48"/>
      <c r="EA237" s="48"/>
      <c r="EB237" s="48"/>
      <c r="EC237" s="48"/>
      <c r="ED237" s="48"/>
      <c r="EE237" s="48"/>
      <c r="EF237" s="48"/>
      <c r="EG237" s="48"/>
      <c r="EH237" s="48"/>
      <c r="EI237" s="48"/>
      <c r="EJ237" s="48"/>
      <c r="EK237" s="48"/>
      <c r="EL237" s="48"/>
      <c r="EM237" s="48"/>
      <c r="EN237" s="48"/>
      <c r="EO237" s="48"/>
      <c r="EP237" s="48"/>
      <c r="EQ237" s="48"/>
      <c r="ER237" s="48"/>
      <c r="ES237" s="48"/>
      <c r="ET237" s="48"/>
      <c r="EU237" s="48"/>
      <c r="EV237" s="48"/>
      <c r="EW237" s="48"/>
      <c r="EX237" s="48"/>
      <c r="EY237" s="48"/>
      <c r="EZ237" s="48"/>
      <c r="FA237" s="48"/>
      <c r="FB237" s="48"/>
      <c r="FC237" s="48"/>
      <c r="FD237" s="48"/>
      <c r="FE237" s="48"/>
      <c r="FF237" s="48"/>
      <c r="FG237" s="48"/>
      <c r="FH237" s="48"/>
      <c r="FI237" s="48"/>
      <c r="FJ237" s="48"/>
      <c r="FK237" s="48"/>
      <c r="FL237" s="48"/>
      <c r="FM237" s="48"/>
      <c r="FN237" s="48"/>
      <c r="FO237" s="48"/>
      <c r="FP237" s="48"/>
      <c r="FQ237" s="48"/>
      <c r="FR237" s="48"/>
      <c r="FS237" s="48"/>
      <c r="FT237" s="48"/>
      <c r="FU237" s="48"/>
      <c r="FV237" s="48"/>
      <c r="FW237" s="48"/>
      <c r="FX237" s="48"/>
      <c r="FY237" s="48"/>
      <c r="FZ237" s="48"/>
      <c r="GA237" s="48"/>
      <c r="GB237" s="48"/>
      <c r="GC237" s="48"/>
      <c r="GD237" s="48"/>
      <c r="GE237" s="48"/>
      <c r="GF237" s="48"/>
      <c r="GG237" s="48"/>
      <c r="GH237" s="48"/>
      <c r="GI237" s="48"/>
      <c r="GJ237" s="48"/>
      <c r="GK237" s="48"/>
      <c r="GL237" s="48"/>
      <c r="GM237" s="48"/>
      <c r="GN237" s="48"/>
      <c r="GO237" s="48"/>
      <c r="GP237" s="48"/>
      <c r="GQ237" s="48"/>
      <c r="GR237" s="48"/>
      <c r="GS237" s="48"/>
      <c r="GT237" s="48"/>
      <c r="GU237" s="48"/>
      <c r="GV237" s="48"/>
      <c r="GW237" s="48"/>
      <c r="GX237" s="48"/>
      <c r="GY237" s="48"/>
      <c r="GZ237" s="48"/>
      <c r="HA237" s="48"/>
      <c r="HB237" s="48"/>
    </row>
    <row r="238" spans="1:210" ht="15.75" customHeight="1">
      <c r="A238" s="5"/>
      <c r="B238" s="5"/>
      <c r="C238" s="5"/>
      <c r="D238" s="5"/>
      <c r="E238" s="5"/>
      <c r="F238" s="5"/>
      <c r="G238" s="49"/>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48"/>
      <c r="CQ238" s="48"/>
      <c r="CR238" s="48"/>
      <c r="CS238" s="48"/>
      <c r="CT238" s="48"/>
      <c r="CU238" s="48"/>
      <c r="CV238" s="48"/>
      <c r="CW238" s="48"/>
      <c r="CX238" s="48"/>
      <c r="CY238" s="48"/>
      <c r="CZ238" s="48"/>
      <c r="DA238" s="48"/>
      <c r="DB238" s="48"/>
      <c r="DC238" s="48"/>
      <c r="DD238" s="48"/>
      <c r="DE238" s="48"/>
      <c r="DF238" s="48"/>
      <c r="DG238" s="48"/>
      <c r="DH238" s="48"/>
      <c r="DI238" s="48"/>
      <c r="DJ238" s="48"/>
      <c r="DK238" s="48"/>
      <c r="DL238" s="48"/>
      <c r="DM238" s="48"/>
      <c r="DN238" s="48"/>
      <c r="DO238" s="48"/>
      <c r="DP238" s="48"/>
      <c r="DQ238" s="48"/>
      <c r="DR238" s="48"/>
      <c r="DS238" s="48"/>
      <c r="DT238" s="48"/>
      <c r="DU238" s="48"/>
      <c r="DV238" s="48"/>
      <c r="DW238" s="48"/>
      <c r="DX238" s="48"/>
      <c r="DY238" s="48"/>
      <c r="DZ238" s="48"/>
      <c r="EA238" s="48"/>
      <c r="EB238" s="48"/>
      <c r="EC238" s="48"/>
      <c r="ED238" s="48"/>
      <c r="EE238" s="48"/>
      <c r="EF238" s="48"/>
      <c r="EG238" s="48"/>
      <c r="EH238" s="48"/>
      <c r="EI238" s="48"/>
      <c r="EJ238" s="48"/>
      <c r="EK238" s="48"/>
      <c r="EL238" s="48"/>
      <c r="EM238" s="48"/>
      <c r="EN238" s="48"/>
      <c r="EO238" s="48"/>
      <c r="EP238" s="48"/>
      <c r="EQ238" s="48"/>
      <c r="ER238" s="48"/>
      <c r="ES238" s="48"/>
      <c r="ET238" s="48"/>
      <c r="EU238" s="48"/>
      <c r="EV238" s="48"/>
      <c r="EW238" s="48"/>
      <c r="EX238" s="48"/>
      <c r="EY238" s="48"/>
      <c r="EZ238" s="48"/>
      <c r="FA238" s="48"/>
      <c r="FB238" s="48"/>
      <c r="FC238" s="48"/>
      <c r="FD238" s="48"/>
      <c r="FE238" s="48"/>
      <c r="FF238" s="48"/>
      <c r="FG238" s="48"/>
      <c r="FH238" s="48"/>
      <c r="FI238" s="48"/>
      <c r="FJ238" s="48"/>
      <c r="FK238" s="48"/>
      <c r="FL238" s="48"/>
      <c r="FM238" s="48"/>
      <c r="FN238" s="48"/>
      <c r="FO238" s="48"/>
      <c r="FP238" s="48"/>
      <c r="FQ238" s="48"/>
      <c r="FR238" s="48"/>
      <c r="FS238" s="48"/>
      <c r="FT238" s="48"/>
      <c r="FU238" s="48"/>
      <c r="FV238" s="48"/>
      <c r="FW238" s="48"/>
      <c r="FX238" s="48"/>
      <c r="FY238" s="48"/>
      <c r="FZ238" s="48"/>
      <c r="GA238" s="48"/>
      <c r="GB238" s="48"/>
      <c r="GC238" s="48"/>
      <c r="GD238" s="48"/>
      <c r="GE238" s="48"/>
      <c r="GF238" s="48"/>
      <c r="GG238" s="48"/>
      <c r="GH238" s="48"/>
      <c r="GI238" s="48"/>
      <c r="GJ238" s="48"/>
      <c r="GK238" s="48"/>
      <c r="GL238" s="48"/>
      <c r="GM238" s="48"/>
      <c r="GN238" s="48"/>
      <c r="GO238" s="48"/>
      <c r="GP238" s="48"/>
      <c r="GQ238" s="48"/>
      <c r="GR238" s="48"/>
      <c r="GS238" s="48"/>
      <c r="GT238" s="48"/>
      <c r="GU238" s="48"/>
      <c r="GV238" s="48"/>
      <c r="GW238" s="48"/>
      <c r="GX238" s="48"/>
      <c r="GY238" s="48"/>
      <c r="GZ238" s="48"/>
      <c r="HA238" s="48"/>
      <c r="HB238" s="48"/>
    </row>
    <row r="239" spans="1:210" ht="15.75" customHeight="1">
      <c r="A239" s="5"/>
      <c r="B239" s="5"/>
      <c r="C239" s="5"/>
      <c r="D239" s="5"/>
      <c r="E239" s="5"/>
      <c r="F239" s="5"/>
      <c r="G239" s="49"/>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48"/>
      <c r="CQ239" s="48"/>
      <c r="CR239" s="48"/>
      <c r="CS239" s="48"/>
      <c r="CT239" s="48"/>
      <c r="CU239" s="48"/>
      <c r="CV239" s="48"/>
      <c r="CW239" s="48"/>
      <c r="CX239" s="48"/>
      <c r="CY239" s="48"/>
      <c r="CZ239" s="48"/>
      <c r="DA239" s="48"/>
      <c r="DB239" s="48"/>
      <c r="DC239" s="48"/>
      <c r="DD239" s="48"/>
      <c r="DE239" s="48"/>
      <c r="DF239" s="48"/>
      <c r="DG239" s="48"/>
      <c r="DH239" s="48"/>
      <c r="DI239" s="48"/>
      <c r="DJ239" s="48"/>
      <c r="DK239" s="48"/>
      <c r="DL239" s="48"/>
      <c r="DM239" s="48"/>
      <c r="DN239" s="48"/>
      <c r="DO239" s="48"/>
      <c r="DP239" s="48"/>
      <c r="DQ239" s="48"/>
      <c r="DR239" s="48"/>
      <c r="DS239" s="48"/>
      <c r="DT239" s="48"/>
      <c r="DU239" s="48"/>
      <c r="DV239" s="48"/>
      <c r="DW239" s="48"/>
      <c r="DX239" s="48"/>
      <c r="DY239" s="48"/>
      <c r="DZ239" s="48"/>
      <c r="EA239" s="48"/>
      <c r="EB239" s="48"/>
      <c r="EC239" s="48"/>
      <c r="ED239" s="48"/>
      <c r="EE239" s="48"/>
      <c r="EF239" s="48"/>
      <c r="EG239" s="48"/>
      <c r="EH239" s="48"/>
      <c r="EI239" s="48"/>
      <c r="EJ239" s="48"/>
      <c r="EK239" s="48"/>
      <c r="EL239" s="48"/>
      <c r="EM239" s="48"/>
      <c r="EN239" s="48"/>
      <c r="EO239" s="48"/>
      <c r="EP239" s="48"/>
      <c r="EQ239" s="48"/>
      <c r="ER239" s="48"/>
      <c r="ES239" s="48"/>
      <c r="ET239" s="48"/>
      <c r="EU239" s="48"/>
      <c r="EV239" s="48"/>
      <c r="EW239" s="48"/>
      <c r="EX239" s="48"/>
      <c r="EY239" s="48"/>
      <c r="EZ239" s="48"/>
      <c r="FA239" s="48"/>
      <c r="FB239" s="48"/>
      <c r="FC239" s="48"/>
      <c r="FD239" s="48"/>
      <c r="FE239" s="48"/>
      <c r="FF239" s="48"/>
      <c r="FG239" s="48"/>
      <c r="FH239" s="48"/>
      <c r="FI239" s="48"/>
      <c r="FJ239" s="48"/>
      <c r="FK239" s="48"/>
      <c r="FL239" s="48"/>
      <c r="FM239" s="48"/>
      <c r="FN239" s="48"/>
      <c r="FO239" s="48"/>
      <c r="FP239" s="48"/>
      <c r="FQ239" s="48"/>
      <c r="FR239" s="48"/>
      <c r="FS239" s="48"/>
      <c r="FT239" s="48"/>
      <c r="FU239" s="48"/>
      <c r="FV239" s="48"/>
      <c r="FW239" s="48"/>
      <c r="FX239" s="48"/>
      <c r="FY239" s="48"/>
      <c r="FZ239" s="48"/>
      <c r="GA239" s="48"/>
      <c r="GB239" s="48"/>
      <c r="GC239" s="48"/>
      <c r="GD239" s="48"/>
      <c r="GE239" s="48"/>
      <c r="GF239" s="48"/>
      <c r="GG239" s="48"/>
      <c r="GH239" s="48"/>
      <c r="GI239" s="48"/>
      <c r="GJ239" s="48"/>
      <c r="GK239" s="48"/>
      <c r="GL239" s="48"/>
      <c r="GM239" s="48"/>
      <c r="GN239" s="48"/>
      <c r="GO239" s="48"/>
      <c r="GP239" s="48"/>
      <c r="GQ239" s="48"/>
      <c r="GR239" s="48"/>
      <c r="GS239" s="48"/>
      <c r="GT239" s="48"/>
      <c r="GU239" s="48"/>
      <c r="GV239" s="48"/>
      <c r="GW239" s="48"/>
      <c r="GX239" s="48"/>
      <c r="GY239" s="48"/>
      <c r="GZ239" s="48"/>
      <c r="HA239" s="48"/>
      <c r="HB239" s="48"/>
    </row>
    <row r="240" spans="1:210" ht="15.75" customHeight="1">
      <c r="A240" s="5"/>
      <c r="B240" s="5"/>
      <c r="C240" s="5"/>
      <c r="D240" s="5"/>
      <c r="E240" s="5"/>
      <c r="F240" s="5"/>
      <c r="G240" s="49"/>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48"/>
      <c r="CQ240" s="48"/>
      <c r="CR240" s="48"/>
      <c r="CS240" s="48"/>
      <c r="CT240" s="48"/>
      <c r="CU240" s="48"/>
      <c r="CV240" s="48"/>
      <c r="CW240" s="48"/>
      <c r="CX240" s="48"/>
      <c r="CY240" s="48"/>
      <c r="CZ240" s="48"/>
      <c r="DA240" s="48"/>
      <c r="DB240" s="48"/>
      <c r="DC240" s="48"/>
      <c r="DD240" s="48"/>
      <c r="DE240" s="48"/>
      <c r="DF240" s="48"/>
      <c r="DG240" s="48"/>
      <c r="DH240" s="48"/>
      <c r="DI240" s="48"/>
      <c r="DJ240" s="48"/>
      <c r="DK240" s="48"/>
      <c r="DL240" s="48"/>
      <c r="DM240" s="48"/>
      <c r="DN240" s="48"/>
      <c r="DO240" s="48"/>
      <c r="DP240" s="48"/>
      <c r="DQ240" s="48"/>
      <c r="DR240" s="48"/>
      <c r="DS240" s="48"/>
      <c r="DT240" s="48"/>
      <c r="DU240" s="48"/>
      <c r="DV240" s="48"/>
      <c r="DW240" s="48"/>
      <c r="DX240" s="48"/>
      <c r="DY240" s="48"/>
      <c r="DZ240" s="48"/>
      <c r="EA240" s="48"/>
      <c r="EB240" s="48"/>
      <c r="EC240" s="48"/>
      <c r="ED240" s="48"/>
      <c r="EE240" s="48"/>
      <c r="EF240" s="48"/>
      <c r="EG240" s="48"/>
      <c r="EH240" s="48"/>
      <c r="EI240" s="48"/>
      <c r="EJ240" s="48"/>
      <c r="EK240" s="48"/>
      <c r="EL240" s="48"/>
      <c r="EM240" s="48"/>
      <c r="EN240" s="48"/>
      <c r="EO240" s="48"/>
      <c r="EP240" s="48"/>
      <c r="EQ240" s="48"/>
      <c r="ER240" s="48"/>
      <c r="ES240" s="48"/>
      <c r="ET240" s="48"/>
      <c r="EU240" s="48"/>
      <c r="EV240" s="48"/>
      <c r="EW240" s="48"/>
      <c r="EX240" s="48"/>
      <c r="EY240" s="48"/>
      <c r="EZ240" s="48"/>
      <c r="FA240" s="48"/>
      <c r="FB240" s="48"/>
      <c r="FC240" s="48"/>
      <c r="FD240" s="48"/>
      <c r="FE240" s="48"/>
      <c r="FF240" s="48"/>
      <c r="FG240" s="48"/>
      <c r="FH240" s="48"/>
      <c r="FI240" s="48"/>
      <c r="FJ240" s="48"/>
      <c r="FK240" s="48"/>
      <c r="FL240" s="48"/>
      <c r="FM240" s="48"/>
      <c r="FN240" s="48"/>
      <c r="FO240" s="48"/>
      <c r="FP240" s="48"/>
      <c r="FQ240" s="48"/>
      <c r="FR240" s="48"/>
      <c r="FS240" s="48"/>
      <c r="FT240" s="48"/>
      <c r="FU240" s="48"/>
      <c r="FV240" s="48"/>
      <c r="FW240" s="48"/>
      <c r="FX240" s="48"/>
      <c r="FY240" s="48"/>
      <c r="FZ240" s="48"/>
      <c r="GA240" s="48"/>
      <c r="GB240" s="48"/>
      <c r="GC240" s="48"/>
      <c r="GD240" s="48"/>
      <c r="GE240" s="48"/>
      <c r="GF240" s="48"/>
      <c r="GG240" s="48"/>
      <c r="GH240" s="48"/>
      <c r="GI240" s="48"/>
      <c r="GJ240" s="48"/>
      <c r="GK240" s="48"/>
      <c r="GL240" s="48"/>
      <c r="GM240" s="48"/>
      <c r="GN240" s="48"/>
      <c r="GO240" s="48"/>
      <c r="GP240" s="48"/>
      <c r="GQ240" s="48"/>
      <c r="GR240" s="48"/>
      <c r="GS240" s="48"/>
      <c r="GT240" s="48"/>
      <c r="GU240" s="48"/>
      <c r="GV240" s="48"/>
      <c r="GW240" s="48"/>
      <c r="GX240" s="48"/>
      <c r="GY240" s="48"/>
      <c r="GZ240" s="48"/>
      <c r="HA240" s="48"/>
      <c r="HB240" s="48"/>
    </row>
    <row r="241" spans="1:210" ht="15.75" customHeight="1">
      <c r="A241" s="5"/>
      <c r="B241" s="5"/>
      <c r="C241" s="5"/>
      <c r="D241" s="5"/>
      <c r="E241" s="5"/>
      <c r="F241" s="5"/>
      <c r="G241" s="49"/>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48"/>
      <c r="CQ241" s="48"/>
      <c r="CR241" s="48"/>
      <c r="CS241" s="48"/>
      <c r="CT241" s="48"/>
      <c r="CU241" s="48"/>
      <c r="CV241" s="48"/>
      <c r="CW241" s="48"/>
      <c r="CX241" s="48"/>
      <c r="CY241" s="48"/>
      <c r="CZ241" s="48"/>
      <c r="DA241" s="48"/>
      <c r="DB241" s="48"/>
      <c r="DC241" s="48"/>
      <c r="DD241" s="48"/>
      <c r="DE241" s="48"/>
      <c r="DF241" s="48"/>
      <c r="DG241" s="48"/>
      <c r="DH241" s="48"/>
      <c r="DI241" s="48"/>
      <c r="DJ241" s="48"/>
      <c r="DK241" s="48"/>
      <c r="DL241" s="48"/>
      <c r="DM241" s="48"/>
      <c r="DN241" s="48"/>
      <c r="DO241" s="48"/>
      <c r="DP241" s="48"/>
      <c r="DQ241" s="48"/>
      <c r="DR241" s="48"/>
      <c r="DS241" s="48"/>
      <c r="DT241" s="48"/>
      <c r="DU241" s="48"/>
      <c r="DV241" s="48"/>
      <c r="DW241" s="48"/>
      <c r="DX241" s="48"/>
      <c r="DY241" s="48"/>
      <c r="DZ241" s="48"/>
      <c r="EA241" s="48"/>
      <c r="EB241" s="48"/>
      <c r="EC241" s="48"/>
      <c r="ED241" s="48"/>
      <c r="EE241" s="48"/>
      <c r="EF241" s="48"/>
      <c r="EG241" s="48"/>
      <c r="EH241" s="48"/>
      <c r="EI241" s="48"/>
      <c r="EJ241" s="48"/>
      <c r="EK241" s="48"/>
      <c r="EL241" s="48"/>
      <c r="EM241" s="48"/>
      <c r="EN241" s="48"/>
      <c r="EO241" s="48"/>
      <c r="EP241" s="48"/>
      <c r="EQ241" s="48"/>
      <c r="ER241" s="48"/>
      <c r="ES241" s="48"/>
      <c r="ET241" s="48"/>
      <c r="EU241" s="48"/>
      <c r="EV241" s="48"/>
      <c r="EW241" s="48"/>
      <c r="EX241" s="48"/>
      <c r="EY241" s="48"/>
      <c r="EZ241" s="48"/>
      <c r="FA241" s="48"/>
      <c r="FB241" s="48"/>
      <c r="FC241" s="48"/>
      <c r="FD241" s="48"/>
      <c r="FE241" s="48"/>
      <c r="FF241" s="48"/>
      <c r="FG241" s="48"/>
      <c r="FH241" s="48"/>
      <c r="FI241" s="48"/>
      <c r="FJ241" s="48"/>
      <c r="FK241" s="48"/>
      <c r="FL241" s="48"/>
      <c r="FM241" s="48"/>
      <c r="FN241" s="48"/>
      <c r="FO241" s="48"/>
      <c r="FP241" s="48"/>
      <c r="FQ241" s="48"/>
      <c r="FR241" s="48"/>
      <c r="FS241" s="48"/>
      <c r="FT241" s="48"/>
      <c r="FU241" s="48"/>
      <c r="FV241" s="48"/>
      <c r="FW241" s="48"/>
      <c r="FX241" s="48"/>
      <c r="FY241" s="48"/>
      <c r="FZ241" s="48"/>
      <c r="GA241" s="48"/>
      <c r="GB241" s="48"/>
      <c r="GC241" s="48"/>
      <c r="GD241" s="48"/>
      <c r="GE241" s="48"/>
      <c r="GF241" s="48"/>
      <c r="GG241" s="48"/>
      <c r="GH241" s="48"/>
      <c r="GI241" s="48"/>
      <c r="GJ241" s="48"/>
      <c r="GK241" s="48"/>
      <c r="GL241" s="48"/>
      <c r="GM241" s="48"/>
      <c r="GN241" s="48"/>
      <c r="GO241" s="48"/>
      <c r="GP241" s="48"/>
      <c r="GQ241" s="48"/>
      <c r="GR241" s="48"/>
      <c r="GS241" s="48"/>
      <c r="GT241" s="48"/>
      <c r="GU241" s="48"/>
      <c r="GV241" s="48"/>
      <c r="GW241" s="48"/>
      <c r="GX241" s="48"/>
      <c r="GY241" s="48"/>
      <c r="GZ241" s="48"/>
      <c r="HA241" s="48"/>
      <c r="HB241" s="48"/>
    </row>
    <row r="242" spans="1:210" ht="15.75" customHeight="1">
      <c r="A242" s="5"/>
      <c r="B242" s="5"/>
      <c r="C242" s="5"/>
      <c r="D242" s="5"/>
      <c r="E242" s="5"/>
      <c r="F242" s="5"/>
      <c r="G242" s="49"/>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48"/>
      <c r="CQ242" s="48"/>
      <c r="CR242" s="48"/>
      <c r="CS242" s="48"/>
      <c r="CT242" s="48"/>
      <c r="CU242" s="48"/>
      <c r="CV242" s="48"/>
      <c r="CW242" s="48"/>
      <c r="CX242" s="48"/>
      <c r="CY242" s="48"/>
      <c r="CZ242" s="48"/>
      <c r="DA242" s="48"/>
      <c r="DB242" s="48"/>
      <c r="DC242" s="48"/>
      <c r="DD242" s="48"/>
      <c r="DE242" s="48"/>
      <c r="DF242" s="48"/>
      <c r="DG242" s="48"/>
      <c r="DH242" s="48"/>
      <c r="DI242" s="48"/>
      <c r="DJ242" s="48"/>
      <c r="DK242" s="48"/>
      <c r="DL242" s="48"/>
      <c r="DM242" s="48"/>
      <c r="DN242" s="48"/>
      <c r="DO242" s="48"/>
      <c r="DP242" s="48"/>
      <c r="DQ242" s="48"/>
      <c r="DR242" s="48"/>
      <c r="DS242" s="48"/>
      <c r="DT242" s="48"/>
      <c r="DU242" s="48"/>
      <c r="DV242" s="48"/>
      <c r="DW242" s="48"/>
      <c r="DX242" s="48"/>
      <c r="DY242" s="48"/>
      <c r="DZ242" s="48"/>
      <c r="EA242" s="48"/>
      <c r="EB242" s="48"/>
      <c r="EC242" s="48"/>
      <c r="ED242" s="48"/>
      <c r="EE242" s="48"/>
      <c r="EF242" s="48"/>
      <c r="EG242" s="48"/>
      <c r="EH242" s="48"/>
      <c r="EI242" s="48"/>
      <c r="EJ242" s="48"/>
      <c r="EK242" s="48"/>
      <c r="EL242" s="48"/>
      <c r="EM242" s="48"/>
      <c r="EN242" s="48"/>
      <c r="EO242" s="48"/>
      <c r="EP242" s="48"/>
      <c r="EQ242" s="48"/>
      <c r="ER242" s="48"/>
      <c r="ES242" s="48"/>
      <c r="ET242" s="48"/>
      <c r="EU242" s="48"/>
      <c r="EV242" s="48"/>
      <c r="EW242" s="48"/>
      <c r="EX242" s="48"/>
      <c r="EY242" s="48"/>
      <c r="EZ242" s="48"/>
      <c r="FA242" s="48"/>
      <c r="FB242" s="48"/>
      <c r="FC242" s="48"/>
      <c r="FD242" s="48"/>
      <c r="FE242" s="48"/>
      <c r="FF242" s="48"/>
      <c r="FG242" s="48"/>
      <c r="FH242" s="48"/>
      <c r="FI242" s="48"/>
      <c r="FJ242" s="48"/>
      <c r="FK242" s="48"/>
      <c r="FL242" s="48"/>
      <c r="FM242" s="48"/>
      <c r="FN242" s="48"/>
      <c r="FO242" s="48"/>
      <c r="FP242" s="48"/>
      <c r="FQ242" s="48"/>
      <c r="FR242" s="48"/>
      <c r="FS242" s="48"/>
      <c r="FT242" s="48"/>
      <c r="FU242" s="48"/>
      <c r="FV242" s="48"/>
      <c r="FW242" s="48"/>
      <c r="FX242" s="48"/>
      <c r="FY242" s="48"/>
      <c r="FZ242" s="48"/>
      <c r="GA242" s="48"/>
      <c r="GB242" s="48"/>
      <c r="GC242" s="48"/>
      <c r="GD242" s="48"/>
      <c r="GE242" s="48"/>
      <c r="GF242" s="48"/>
      <c r="GG242" s="48"/>
      <c r="GH242" s="48"/>
      <c r="GI242" s="48"/>
      <c r="GJ242" s="48"/>
      <c r="GK242" s="48"/>
      <c r="GL242" s="48"/>
      <c r="GM242" s="48"/>
      <c r="GN242" s="48"/>
      <c r="GO242" s="48"/>
      <c r="GP242" s="48"/>
      <c r="GQ242" s="48"/>
      <c r="GR242" s="48"/>
      <c r="GS242" s="48"/>
      <c r="GT242" s="48"/>
      <c r="GU242" s="48"/>
      <c r="GV242" s="48"/>
      <c r="GW242" s="48"/>
      <c r="GX242" s="48"/>
      <c r="GY242" s="48"/>
      <c r="GZ242" s="48"/>
      <c r="HA242" s="48"/>
      <c r="HB242" s="48"/>
    </row>
    <row r="243" spans="1:210" ht="15.75" customHeight="1">
      <c r="A243" s="5"/>
      <c r="B243" s="5"/>
      <c r="C243" s="5"/>
      <c r="D243" s="5"/>
      <c r="E243" s="5"/>
      <c r="F243" s="5"/>
      <c r="G243" s="49"/>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48"/>
      <c r="CQ243" s="48"/>
      <c r="CR243" s="48"/>
      <c r="CS243" s="48"/>
      <c r="CT243" s="48"/>
      <c r="CU243" s="48"/>
      <c r="CV243" s="48"/>
      <c r="CW243" s="48"/>
      <c r="CX243" s="48"/>
      <c r="CY243" s="48"/>
      <c r="CZ243" s="48"/>
      <c r="DA243" s="48"/>
      <c r="DB243" s="48"/>
      <c r="DC243" s="48"/>
      <c r="DD243" s="48"/>
      <c r="DE243" s="48"/>
      <c r="DF243" s="48"/>
      <c r="DG243" s="48"/>
      <c r="DH243" s="48"/>
      <c r="DI243" s="48"/>
      <c r="DJ243" s="48"/>
      <c r="DK243" s="48"/>
      <c r="DL243" s="48"/>
      <c r="DM243" s="48"/>
      <c r="DN243" s="48"/>
      <c r="DO243" s="48"/>
      <c r="DP243" s="48"/>
      <c r="DQ243" s="48"/>
      <c r="DR243" s="48"/>
      <c r="DS243" s="48"/>
      <c r="DT243" s="48"/>
      <c r="DU243" s="48"/>
      <c r="DV243" s="48"/>
      <c r="DW243" s="48"/>
      <c r="DX243" s="48"/>
      <c r="DY243" s="48"/>
      <c r="DZ243" s="48"/>
      <c r="EA243" s="48"/>
      <c r="EB243" s="48"/>
      <c r="EC243" s="48"/>
      <c r="ED243" s="48"/>
      <c r="EE243" s="48"/>
      <c r="EF243" s="48"/>
      <c r="EG243" s="48"/>
      <c r="EH243" s="48"/>
      <c r="EI243" s="48"/>
      <c r="EJ243" s="48"/>
      <c r="EK243" s="48"/>
      <c r="EL243" s="48"/>
      <c r="EM243" s="48"/>
      <c r="EN243" s="48"/>
      <c r="EO243" s="48"/>
      <c r="EP243" s="48"/>
      <c r="EQ243" s="48"/>
      <c r="ER243" s="48"/>
      <c r="ES243" s="48"/>
      <c r="ET243" s="48"/>
      <c r="EU243" s="48"/>
      <c r="EV243" s="48"/>
      <c r="EW243" s="48"/>
      <c r="EX243" s="48"/>
      <c r="EY243" s="48"/>
      <c r="EZ243" s="48"/>
      <c r="FA243" s="48"/>
      <c r="FB243" s="48"/>
      <c r="FC243" s="48"/>
      <c r="FD243" s="48"/>
      <c r="FE243" s="48"/>
      <c r="FF243" s="48"/>
      <c r="FG243" s="48"/>
      <c r="FH243" s="48"/>
      <c r="FI243" s="48"/>
      <c r="FJ243" s="48"/>
      <c r="FK243" s="48"/>
      <c r="FL243" s="48"/>
      <c r="FM243" s="48"/>
      <c r="FN243" s="48"/>
      <c r="FO243" s="48"/>
      <c r="FP243" s="48"/>
      <c r="FQ243" s="48"/>
      <c r="FR243" s="48"/>
      <c r="FS243" s="48"/>
      <c r="FT243" s="48"/>
      <c r="FU243" s="48"/>
      <c r="FV243" s="48"/>
      <c r="FW243" s="48"/>
      <c r="FX243" s="48"/>
      <c r="FY243" s="48"/>
      <c r="FZ243" s="48"/>
      <c r="GA243" s="48"/>
      <c r="GB243" s="48"/>
      <c r="GC243" s="48"/>
      <c r="GD243" s="48"/>
      <c r="GE243" s="48"/>
      <c r="GF243" s="48"/>
      <c r="GG243" s="48"/>
      <c r="GH243" s="48"/>
      <c r="GI243" s="48"/>
      <c r="GJ243" s="48"/>
      <c r="GK243" s="48"/>
      <c r="GL243" s="48"/>
      <c r="GM243" s="48"/>
      <c r="GN243" s="48"/>
      <c r="GO243" s="48"/>
      <c r="GP243" s="48"/>
      <c r="GQ243" s="48"/>
      <c r="GR243" s="48"/>
      <c r="GS243" s="48"/>
      <c r="GT243" s="48"/>
      <c r="GU243" s="48"/>
      <c r="GV243" s="48"/>
      <c r="GW243" s="48"/>
      <c r="GX243" s="48"/>
      <c r="GY243" s="48"/>
      <c r="GZ243" s="48"/>
      <c r="HA243" s="48"/>
      <c r="HB243" s="48"/>
    </row>
    <row r="244" spans="1:210" ht="15.75" customHeight="1">
      <c r="A244" s="5"/>
      <c r="B244" s="5"/>
      <c r="C244" s="5"/>
      <c r="D244" s="5"/>
      <c r="E244" s="5"/>
      <c r="F244" s="5"/>
      <c r="G244" s="49"/>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48"/>
      <c r="CQ244" s="48"/>
      <c r="CR244" s="48"/>
      <c r="CS244" s="48"/>
      <c r="CT244" s="48"/>
      <c r="CU244" s="48"/>
      <c r="CV244" s="48"/>
      <c r="CW244" s="48"/>
      <c r="CX244" s="48"/>
      <c r="CY244" s="48"/>
      <c r="CZ244" s="48"/>
      <c r="DA244" s="48"/>
      <c r="DB244" s="48"/>
      <c r="DC244" s="48"/>
      <c r="DD244" s="48"/>
      <c r="DE244" s="48"/>
      <c r="DF244" s="48"/>
      <c r="DG244" s="48"/>
      <c r="DH244" s="48"/>
      <c r="DI244" s="48"/>
      <c r="DJ244" s="48"/>
      <c r="DK244" s="48"/>
      <c r="DL244" s="48"/>
      <c r="DM244" s="48"/>
      <c r="DN244" s="48"/>
      <c r="DO244" s="48"/>
      <c r="DP244" s="48"/>
      <c r="DQ244" s="48"/>
      <c r="DR244" s="48"/>
      <c r="DS244" s="48"/>
      <c r="DT244" s="48"/>
      <c r="DU244" s="48"/>
      <c r="DV244" s="48"/>
      <c r="DW244" s="48"/>
      <c r="DX244" s="48"/>
      <c r="DY244" s="48"/>
      <c r="DZ244" s="48"/>
      <c r="EA244" s="48"/>
      <c r="EB244" s="48"/>
      <c r="EC244" s="48"/>
      <c r="ED244" s="48"/>
      <c r="EE244" s="48"/>
      <c r="EF244" s="48"/>
      <c r="EG244" s="48"/>
      <c r="EH244" s="48"/>
      <c r="EI244" s="48"/>
      <c r="EJ244" s="48"/>
      <c r="EK244" s="48"/>
      <c r="EL244" s="48"/>
      <c r="EM244" s="48"/>
      <c r="EN244" s="48"/>
      <c r="EO244" s="48"/>
      <c r="EP244" s="48"/>
      <c r="EQ244" s="48"/>
      <c r="ER244" s="48"/>
      <c r="ES244" s="48"/>
      <c r="ET244" s="48"/>
      <c r="EU244" s="48"/>
      <c r="EV244" s="48"/>
      <c r="EW244" s="48"/>
      <c r="EX244" s="48"/>
      <c r="EY244" s="48"/>
      <c r="EZ244" s="48"/>
      <c r="FA244" s="48"/>
      <c r="FB244" s="48"/>
      <c r="FC244" s="48"/>
      <c r="FD244" s="48"/>
      <c r="FE244" s="48"/>
      <c r="FF244" s="48"/>
      <c r="FG244" s="48"/>
      <c r="FH244" s="48"/>
      <c r="FI244" s="48"/>
      <c r="FJ244" s="48"/>
      <c r="FK244" s="48"/>
      <c r="FL244" s="48"/>
      <c r="FM244" s="48"/>
      <c r="FN244" s="48"/>
      <c r="FO244" s="48"/>
      <c r="FP244" s="48"/>
      <c r="FQ244" s="48"/>
      <c r="FR244" s="48"/>
      <c r="FS244" s="48"/>
      <c r="FT244" s="48"/>
      <c r="FU244" s="48"/>
      <c r="FV244" s="48"/>
      <c r="FW244" s="48"/>
      <c r="FX244" s="48"/>
      <c r="FY244" s="48"/>
      <c r="FZ244" s="48"/>
      <c r="GA244" s="48"/>
      <c r="GB244" s="48"/>
      <c r="GC244" s="48"/>
      <c r="GD244" s="48"/>
      <c r="GE244" s="48"/>
      <c r="GF244" s="48"/>
      <c r="GG244" s="48"/>
      <c r="GH244" s="48"/>
      <c r="GI244" s="48"/>
      <c r="GJ244" s="48"/>
      <c r="GK244" s="48"/>
      <c r="GL244" s="48"/>
      <c r="GM244" s="48"/>
      <c r="GN244" s="48"/>
      <c r="GO244" s="48"/>
      <c r="GP244" s="48"/>
      <c r="GQ244" s="48"/>
      <c r="GR244" s="48"/>
      <c r="GS244" s="48"/>
      <c r="GT244" s="48"/>
      <c r="GU244" s="48"/>
      <c r="GV244" s="48"/>
      <c r="GW244" s="48"/>
      <c r="GX244" s="48"/>
      <c r="GY244" s="48"/>
      <c r="GZ244" s="48"/>
      <c r="HA244" s="48"/>
      <c r="HB244" s="48"/>
    </row>
    <row r="245" spans="1:210" ht="15.75" customHeight="1">
      <c r="A245" s="5"/>
      <c r="B245" s="5"/>
      <c r="C245" s="5"/>
      <c r="D245" s="5"/>
      <c r="E245" s="5"/>
      <c r="F245" s="5"/>
      <c r="G245" s="49"/>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48"/>
      <c r="CQ245" s="48"/>
      <c r="CR245" s="48"/>
      <c r="CS245" s="48"/>
      <c r="CT245" s="48"/>
      <c r="CU245" s="48"/>
      <c r="CV245" s="48"/>
      <c r="CW245" s="48"/>
      <c r="CX245" s="48"/>
      <c r="CY245" s="48"/>
      <c r="CZ245" s="48"/>
      <c r="DA245" s="48"/>
      <c r="DB245" s="48"/>
      <c r="DC245" s="48"/>
      <c r="DD245" s="48"/>
      <c r="DE245" s="48"/>
      <c r="DF245" s="48"/>
      <c r="DG245" s="48"/>
      <c r="DH245" s="48"/>
      <c r="DI245" s="48"/>
      <c r="DJ245" s="48"/>
      <c r="DK245" s="48"/>
      <c r="DL245" s="48"/>
      <c r="DM245" s="48"/>
      <c r="DN245" s="48"/>
      <c r="DO245" s="48"/>
      <c r="DP245" s="48"/>
      <c r="DQ245" s="48"/>
      <c r="DR245" s="48"/>
      <c r="DS245" s="48"/>
      <c r="DT245" s="48"/>
      <c r="DU245" s="48"/>
      <c r="DV245" s="48"/>
      <c r="DW245" s="48"/>
      <c r="DX245" s="48"/>
      <c r="DY245" s="48"/>
      <c r="DZ245" s="48"/>
      <c r="EA245" s="48"/>
      <c r="EB245" s="48"/>
      <c r="EC245" s="48"/>
      <c r="ED245" s="48"/>
      <c r="EE245" s="48"/>
      <c r="EF245" s="48"/>
      <c r="EG245" s="48"/>
      <c r="EH245" s="48"/>
      <c r="EI245" s="48"/>
      <c r="EJ245" s="48"/>
      <c r="EK245" s="48"/>
      <c r="EL245" s="48"/>
      <c r="EM245" s="48"/>
      <c r="EN245" s="48"/>
      <c r="EO245" s="48"/>
      <c r="EP245" s="48"/>
      <c r="EQ245" s="48"/>
      <c r="ER245" s="48"/>
      <c r="ES245" s="48"/>
      <c r="ET245" s="48"/>
      <c r="EU245" s="48"/>
      <c r="EV245" s="48"/>
      <c r="EW245" s="48"/>
      <c r="EX245" s="48"/>
      <c r="EY245" s="48"/>
      <c r="EZ245" s="48"/>
      <c r="FA245" s="48"/>
      <c r="FB245" s="48"/>
      <c r="FC245" s="48"/>
      <c r="FD245" s="48"/>
      <c r="FE245" s="48"/>
      <c r="FF245" s="48"/>
      <c r="FG245" s="48"/>
      <c r="FH245" s="48"/>
      <c r="FI245" s="48"/>
      <c r="FJ245" s="48"/>
      <c r="FK245" s="48"/>
      <c r="FL245" s="48"/>
      <c r="FM245" s="48"/>
      <c r="FN245" s="48"/>
      <c r="FO245" s="48"/>
      <c r="FP245" s="48"/>
      <c r="FQ245" s="48"/>
      <c r="FR245" s="48"/>
      <c r="FS245" s="48"/>
      <c r="FT245" s="48"/>
      <c r="FU245" s="48"/>
      <c r="FV245" s="48"/>
      <c r="FW245" s="48"/>
      <c r="FX245" s="48"/>
      <c r="FY245" s="48"/>
      <c r="FZ245" s="48"/>
      <c r="GA245" s="48"/>
      <c r="GB245" s="48"/>
      <c r="GC245" s="48"/>
      <c r="GD245" s="48"/>
      <c r="GE245" s="48"/>
      <c r="GF245" s="48"/>
      <c r="GG245" s="48"/>
      <c r="GH245" s="48"/>
      <c r="GI245" s="48"/>
      <c r="GJ245" s="48"/>
      <c r="GK245" s="48"/>
      <c r="GL245" s="48"/>
      <c r="GM245" s="48"/>
      <c r="GN245" s="48"/>
      <c r="GO245" s="48"/>
      <c r="GP245" s="48"/>
      <c r="GQ245" s="48"/>
      <c r="GR245" s="48"/>
      <c r="GS245" s="48"/>
      <c r="GT245" s="48"/>
      <c r="GU245" s="48"/>
      <c r="GV245" s="48"/>
      <c r="GW245" s="48"/>
      <c r="GX245" s="48"/>
      <c r="GY245" s="48"/>
      <c r="GZ245" s="48"/>
      <c r="HA245" s="48"/>
      <c r="HB245" s="48"/>
    </row>
    <row r="246" spans="1:210" ht="15.75" customHeight="1">
      <c r="A246" s="5"/>
      <c r="B246" s="5"/>
      <c r="C246" s="5"/>
      <c r="D246" s="5"/>
      <c r="E246" s="5"/>
      <c r="F246" s="5"/>
      <c r="G246" s="49"/>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48"/>
      <c r="CQ246" s="48"/>
      <c r="CR246" s="48"/>
      <c r="CS246" s="48"/>
      <c r="CT246" s="48"/>
      <c r="CU246" s="48"/>
      <c r="CV246" s="48"/>
      <c r="CW246" s="48"/>
      <c r="CX246" s="48"/>
      <c r="CY246" s="48"/>
      <c r="CZ246" s="48"/>
      <c r="DA246" s="48"/>
      <c r="DB246" s="48"/>
      <c r="DC246" s="48"/>
      <c r="DD246" s="48"/>
      <c r="DE246" s="48"/>
      <c r="DF246" s="48"/>
      <c r="DG246" s="48"/>
      <c r="DH246" s="48"/>
      <c r="DI246" s="48"/>
      <c r="DJ246" s="48"/>
      <c r="DK246" s="48"/>
      <c r="DL246" s="48"/>
      <c r="DM246" s="48"/>
      <c r="DN246" s="48"/>
      <c r="DO246" s="48"/>
      <c r="DP246" s="48"/>
      <c r="DQ246" s="48"/>
      <c r="DR246" s="48"/>
      <c r="DS246" s="48"/>
      <c r="DT246" s="48"/>
      <c r="DU246" s="48"/>
      <c r="DV246" s="48"/>
      <c r="DW246" s="48"/>
      <c r="DX246" s="48"/>
      <c r="DY246" s="48"/>
      <c r="DZ246" s="48"/>
      <c r="EA246" s="48"/>
      <c r="EB246" s="48"/>
      <c r="EC246" s="48"/>
      <c r="ED246" s="48"/>
      <c r="EE246" s="48"/>
      <c r="EF246" s="48"/>
      <c r="EG246" s="48"/>
      <c r="EH246" s="48"/>
      <c r="EI246" s="48"/>
      <c r="EJ246" s="48"/>
      <c r="EK246" s="48"/>
      <c r="EL246" s="48"/>
      <c r="EM246" s="48"/>
      <c r="EN246" s="48"/>
      <c r="EO246" s="48"/>
      <c r="EP246" s="48"/>
      <c r="EQ246" s="48"/>
      <c r="ER246" s="48"/>
      <c r="ES246" s="48"/>
      <c r="ET246" s="48"/>
      <c r="EU246" s="48"/>
      <c r="EV246" s="48"/>
      <c r="EW246" s="48"/>
      <c r="EX246" s="48"/>
      <c r="EY246" s="48"/>
      <c r="EZ246" s="48"/>
      <c r="FA246" s="48"/>
      <c r="FB246" s="48"/>
      <c r="FC246" s="48"/>
      <c r="FD246" s="48"/>
      <c r="FE246" s="48"/>
      <c r="FF246" s="48"/>
      <c r="FG246" s="48"/>
      <c r="FH246" s="48"/>
      <c r="FI246" s="48"/>
      <c r="FJ246" s="48"/>
      <c r="FK246" s="48"/>
      <c r="FL246" s="48"/>
      <c r="FM246" s="48"/>
      <c r="FN246" s="48"/>
      <c r="FO246" s="48"/>
      <c r="FP246" s="48"/>
      <c r="FQ246" s="48"/>
      <c r="FR246" s="48"/>
      <c r="FS246" s="48"/>
      <c r="FT246" s="48"/>
      <c r="FU246" s="48"/>
      <c r="FV246" s="48"/>
      <c r="FW246" s="48"/>
      <c r="FX246" s="48"/>
      <c r="FY246" s="48"/>
      <c r="FZ246" s="48"/>
      <c r="GA246" s="48"/>
      <c r="GB246" s="48"/>
      <c r="GC246" s="48"/>
      <c r="GD246" s="48"/>
      <c r="GE246" s="48"/>
      <c r="GF246" s="48"/>
      <c r="GG246" s="48"/>
      <c r="GH246" s="48"/>
      <c r="GI246" s="48"/>
      <c r="GJ246" s="48"/>
      <c r="GK246" s="48"/>
      <c r="GL246" s="48"/>
      <c r="GM246" s="48"/>
      <c r="GN246" s="48"/>
      <c r="GO246" s="48"/>
      <c r="GP246" s="48"/>
      <c r="GQ246" s="48"/>
      <c r="GR246" s="48"/>
      <c r="GS246" s="48"/>
      <c r="GT246" s="48"/>
      <c r="GU246" s="48"/>
      <c r="GV246" s="48"/>
      <c r="GW246" s="48"/>
      <c r="GX246" s="48"/>
      <c r="GY246" s="48"/>
      <c r="GZ246" s="48"/>
      <c r="HA246" s="48"/>
      <c r="HB246" s="48"/>
    </row>
    <row r="247" spans="1:210" ht="15.75" customHeight="1">
      <c r="A247" s="5"/>
      <c r="B247" s="5"/>
      <c r="C247" s="5"/>
      <c r="D247" s="5"/>
      <c r="E247" s="5"/>
      <c r="F247" s="5"/>
      <c r="G247" s="49"/>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48"/>
      <c r="CQ247" s="48"/>
      <c r="CR247" s="48"/>
      <c r="CS247" s="48"/>
      <c r="CT247" s="48"/>
      <c r="CU247" s="48"/>
      <c r="CV247" s="48"/>
      <c r="CW247" s="48"/>
      <c r="CX247" s="48"/>
      <c r="CY247" s="48"/>
      <c r="CZ247" s="48"/>
      <c r="DA247" s="48"/>
      <c r="DB247" s="48"/>
      <c r="DC247" s="48"/>
      <c r="DD247" s="48"/>
      <c r="DE247" s="48"/>
      <c r="DF247" s="48"/>
      <c r="DG247" s="48"/>
      <c r="DH247" s="48"/>
      <c r="DI247" s="48"/>
      <c r="DJ247" s="48"/>
      <c r="DK247" s="48"/>
      <c r="DL247" s="48"/>
      <c r="DM247" s="48"/>
      <c r="DN247" s="48"/>
      <c r="DO247" s="48"/>
      <c r="DP247" s="48"/>
      <c r="DQ247" s="48"/>
      <c r="DR247" s="48"/>
      <c r="DS247" s="48"/>
      <c r="DT247" s="48"/>
      <c r="DU247" s="48"/>
      <c r="DV247" s="48"/>
      <c r="DW247" s="48"/>
      <c r="DX247" s="48"/>
      <c r="DY247" s="48"/>
      <c r="DZ247" s="48"/>
      <c r="EA247" s="48"/>
      <c r="EB247" s="48"/>
      <c r="EC247" s="48"/>
      <c r="ED247" s="48"/>
      <c r="EE247" s="48"/>
      <c r="EF247" s="48"/>
      <c r="EG247" s="48"/>
      <c r="EH247" s="48"/>
      <c r="EI247" s="48"/>
      <c r="EJ247" s="48"/>
      <c r="EK247" s="48"/>
      <c r="EL247" s="48"/>
      <c r="EM247" s="48"/>
      <c r="EN247" s="48"/>
      <c r="EO247" s="48"/>
      <c r="EP247" s="48"/>
      <c r="EQ247" s="48"/>
      <c r="ER247" s="48"/>
      <c r="ES247" s="48"/>
      <c r="ET247" s="48"/>
      <c r="EU247" s="48"/>
      <c r="EV247" s="48"/>
      <c r="EW247" s="48"/>
      <c r="EX247" s="48"/>
      <c r="EY247" s="48"/>
      <c r="EZ247" s="48"/>
      <c r="FA247" s="48"/>
      <c r="FB247" s="48"/>
      <c r="FC247" s="48"/>
      <c r="FD247" s="48"/>
      <c r="FE247" s="48"/>
      <c r="FF247" s="48"/>
      <c r="FG247" s="48"/>
      <c r="FH247" s="48"/>
      <c r="FI247" s="48"/>
      <c r="FJ247" s="48"/>
      <c r="FK247" s="48"/>
      <c r="FL247" s="48"/>
      <c r="FM247" s="48"/>
      <c r="FN247" s="48"/>
      <c r="FO247" s="48"/>
      <c r="FP247" s="48"/>
      <c r="FQ247" s="48"/>
      <c r="FR247" s="48"/>
      <c r="FS247" s="48"/>
      <c r="FT247" s="48"/>
      <c r="FU247" s="48"/>
      <c r="FV247" s="48"/>
      <c r="FW247" s="48"/>
      <c r="FX247" s="48"/>
      <c r="FY247" s="48"/>
      <c r="FZ247" s="48"/>
      <c r="GA247" s="48"/>
      <c r="GB247" s="48"/>
      <c r="GC247" s="48"/>
      <c r="GD247" s="48"/>
      <c r="GE247" s="48"/>
      <c r="GF247" s="48"/>
      <c r="GG247" s="48"/>
      <c r="GH247" s="48"/>
      <c r="GI247" s="48"/>
      <c r="GJ247" s="48"/>
      <c r="GK247" s="48"/>
      <c r="GL247" s="48"/>
      <c r="GM247" s="48"/>
      <c r="GN247" s="48"/>
      <c r="GO247" s="48"/>
      <c r="GP247" s="48"/>
      <c r="GQ247" s="48"/>
      <c r="GR247" s="48"/>
      <c r="GS247" s="48"/>
      <c r="GT247" s="48"/>
      <c r="GU247" s="48"/>
      <c r="GV247" s="48"/>
      <c r="GW247" s="48"/>
      <c r="GX247" s="48"/>
      <c r="GY247" s="48"/>
      <c r="GZ247" s="48"/>
      <c r="HA247" s="48"/>
      <c r="HB247" s="48"/>
    </row>
    <row r="248" spans="1:210" ht="15.75" customHeight="1">
      <c r="A248" s="5"/>
      <c r="B248" s="5"/>
      <c r="C248" s="5"/>
      <c r="D248" s="5"/>
      <c r="E248" s="5"/>
      <c r="F248" s="5"/>
      <c r="G248" s="49"/>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48"/>
      <c r="CQ248" s="48"/>
      <c r="CR248" s="48"/>
      <c r="CS248" s="48"/>
      <c r="CT248" s="48"/>
      <c r="CU248" s="48"/>
      <c r="CV248" s="48"/>
      <c r="CW248" s="48"/>
      <c r="CX248" s="48"/>
      <c r="CY248" s="48"/>
      <c r="CZ248" s="48"/>
      <c r="DA248" s="48"/>
      <c r="DB248" s="48"/>
      <c r="DC248" s="48"/>
      <c r="DD248" s="48"/>
      <c r="DE248" s="48"/>
      <c r="DF248" s="48"/>
      <c r="DG248" s="48"/>
      <c r="DH248" s="48"/>
      <c r="DI248" s="48"/>
      <c r="DJ248" s="48"/>
      <c r="DK248" s="48"/>
      <c r="DL248" s="48"/>
      <c r="DM248" s="48"/>
      <c r="DN248" s="48"/>
      <c r="DO248" s="48"/>
      <c r="DP248" s="48"/>
      <c r="DQ248" s="48"/>
      <c r="DR248" s="48"/>
      <c r="DS248" s="48"/>
      <c r="DT248" s="48"/>
      <c r="DU248" s="48"/>
      <c r="DV248" s="48"/>
      <c r="DW248" s="48"/>
      <c r="DX248" s="48"/>
      <c r="DY248" s="48"/>
      <c r="DZ248" s="48"/>
      <c r="EA248" s="48"/>
      <c r="EB248" s="48"/>
      <c r="EC248" s="48"/>
      <c r="ED248" s="48"/>
      <c r="EE248" s="48"/>
      <c r="EF248" s="48"/>
      <c r="EG248" s="48"/>
      <c r="EH248" s="48"/>
      <c r="EI248" s="48"/>
      <c r="EJ248" s="48"/>
      <c r="EK248" s="48"/>
      <c r="EL248" s="48"/>
      <c r="EM248" s="48"/>
      <c r="EN248" s="48"/>
      <c r="EO248" s="48"/>
      <c r="EP248" s="48"/>
      <c r="EQ248" s="48"/>
      <c r="ER248" s="48"/>
      <c r="ES248" s="48"/>
      <c r="ET248" s="48"/>
      <c r="EU248" s="48"/>
      <c r="EV248" s="48"/>
      <c r="EW248" s="48"/>
      <c r="EX248" s="48"/>
      <c r="EY248" s="48"/>
      <c r="EZ248" s="48"/>
      <c r="FA248" s="48"/>
      <c r="FB248" s="48"/>
      <c r="FC248" s="48"/>
      <c r="FD248" s="48"/>
      <c r="FE248" s="48"/>
      <c r="FF248" s="48"/>
      <c r="FG248" s="48"/>
      <c r="FH248" s="48"/>
      <c r="FI248" s="48"/>
      <c r="FJ248" s="48"/>
      <c r="FK248" s="48"/>
      <c r="FL248" s="48"/>
      <c r="FM248" s="48"/>
      <c r="FN248" s="48"/>
      <c r="FO248" s="48"/>
      <c r="FP248" s="48"/>
      <c r="FQ248" s="48"/>
      <c r="FR248" s="48"/>
      <c r="FS248" s="48"/>
      <c r="FT248" s="48"/>
      <c r="FU248" s="48"/>
      <c r="FV248" s="48"/>
      <c r="FW248" s="48"/>
      <c r="FX248" s="48"/>
      <c r="FY248" s="48"/>
      <c r="FZ248" s="48"/>
      <c r="GA248" s="48"/>
      <c r="GB248" s="48"/>
      <c r="GC248" s="48"/>
      <c r="GD248" s="48"/>
      <c r="GE248" s="48"/>
      <c r="GF248" s="48"/>
      <c r="GG248" s="48"/>
      <c r="GH248" s="48"/>
      <c r="GI248" s="48"/>
      <c r="GJ248" s="48"/>
      <c r="GK248" s="48"/>
      <c r="GL248" s="48"/>
      <c r="GM248" s="48"/>
      <c r="GN248" s="48"/>
      <c r="GO248" s="48"/>
      <c r="GP248" s="48"/>
      <c r="GQ248" s="48"/>
      <c r="GR248" s="48"/>
      <c r="GS248" s="48"/>
      <c r="GT248" s="48"/>
      <c r="GU248" s="48"/>
      <c r="GV248" s="48"/>
      <c r="GW248" s="48"/>
      <c r="GX248" s="48"/>
      <c r="GY248" s="48"/>
      <c r="GZ248" s="48"/>
      <c r="HA248" s="48"/>
      <c r="HB248" s="48"/>
    </row>
    <row r="249" spans="1:210" ht="15.75" customHeight="1">
      <c r="A249" s="5"/>
      <c r="B249" s="5"/>
      <c r="C249" s="5"/>
      <c r="D249" s="5"/>
      <c r="E249" s="5"/>
      <c r="F249" s="5"/>
      <c r="G249" s="49"/>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48"/>
      <c r="CQ249" s="48"/>
      <c r="CR249" s="48"/>
      <c r="CS249" s="48"/>
      <c r="CT249" s="48"/>
      <c r="CU249" s="48"/>
      <c r="CV249" s="48"/>
      <c r="CW249" s="48"/>
      <c r="CX249" s="48"/>
      <c r="CY249" s="48"/>
      <c r="CZ249" s="48"/>
      <c r="DA249" s="48"/>
      <c r="DB249" s="48"/>
      <c r="DC249" s="48"/>
      <c r="DD249" s="48"/>
      <c r="DE249" s="48"/>
      <c r="DF249" s="48"/>
      <c r="DG249" s="48"/>
      <c r="DH249" s="48"/>
      <c r="DI249" s="48"/>
      <c r="DJ249" s="48"/>
      <c r="DK249" s="48"/>
      <c r="DL249" s="48"/>
      <c r="DM249" s="48"/>
      <c r="DN249" s="48"/>
      <c r="DO249" s="48"/>
      <c r="DP249" s="48"/>
      <c r="DQ249" s="48"/>
      <c r="DR249" s="48"/>
      <c r="DS249" s="48"/>
      <c r="DT249" s="48"/>
      <c r="DU249" s="48"/>
      <c r="DV249" s="48"/>
      <c r="DW249" s="48"/>
      <c r="DX249" s="48"/>
      <c r="DY249" s="48"/>
      <c r="DZ249" s="48"/>
      <c r="EA249" s="48"/>
      <c r="EB249" s="48"/>
      <c r="EC249" s="48"/>
      <c r="ED249" s="48"/>
      <c r="EE249" s="48"/>
      <c r="EF249" s="48"/>
      <c r="EG249" s="48"/>
      <c r="EH249" s="48"/>
      <c r="EI249" s="48"/>
      <c r="EJ249" s="48"/>
      <c r="EK249" s="48"/>
      <c r="EL249" s="48"/>
      <c r="EM249" s="48"/>
      <c r="EN249" s="48"/>
      <c r="EO249" s="48"/>
      <c r="EP249" s="48"/>
      <c r="EQ249" s="48"/>
      <c r="ER249" s="48"/>
      <c r="ES249" s="48"/>
      <c r="ET249" s="48"/>
      <c r="EU249" s="48"/>
      <c r="EV249" s="48"/>
      <c r="EW249" s="48"/>
      <c r="EX249" s="48"/>
      <c r="EY249" s="48"/>
      <c r="EZ249" s="48"/>
      <c r="FA249" s="48"/>
      <c r="FB249" s="48"/>
      <c r="FC249" s="48"/>
      <c r="FD249" s="48"/>
      <c r="FE249" s="48"/>
      <c r="FF249" s="48"/>
      <c r="FG249" s="48"/>
      <c r="FH249" s="48"/>
      <c r="FI249" s="48"/>
      <c r="FJ249" s="48"/>
      <c r="FK249" s="48"/>
      <c r="FL249" s="48"/>
      <c r="FM249" s="48"/>
      <c r="FN249" s="48"/>
      <c r="FO249" s="48"/>
      <c r="FP249" s="48"/>
      <c r="FQ249" s="48"/>
      <c r="FR249" s="48"/>
      <c r="FS249" s="48"/>
      <c r="FT249" s="48"/>
      <c r="FU249" s="48"/>
      <c r="FV249" s="48"/>
      <c r="FW249" s="48"/>
      <c r="FX249" s="48"/>
      <c r="FY249" s="48"/>
      <c r="FZ249" s="48"/>
      <c r="GA249" s="48"/>
      <c r="GB249" s="48"/>
      <c r="GC249" s="48"/>
      <c r="GD249" s="48"/>
      <c r="GE249" s="48"/>
      <c r="GF249" s="48"/>
      <c r="GG249" s="48"/>
      <c r="GH249" s="48"/>
      <c r="GI249" s="48"/>
      <c r="GJ249" s="48"/>
      <c r="GK249" s="48"/>
      <c r="GL249" s="48"/>
      <c r="GM249" s="48"/>
      <c r="GN249" s="48"/>
      <c r="GO249" s="48"/>
      <c r="GP249" s="48"/>
      <c r="GQ249" s="48"/>
      <c r="GR249" s="48"/>
      <c r="GS249" s="48"/>
      <c r="GT249" s="48"/>
      <c r="GU249" s="48"/>
      <c r="GV249" s="48"/>
      <c r="GW249" s="48"/>
      <c r="GX249" s="48"/>
      <c r="GY249" s="48"/>
      <c r="GZ249" s="48"/>
      <c r="HA249" s="48"/>
      <c r="HB249" s="48"/>
    </row>
    <row r="250" spans="1:210" ht="15.75" customHeight="1">
      <c r="A250" s="5"/>
      <c r="B250" s="5"/>
      <c r="C250" s="5"/>
      <c r="D250" s="5"/>
      <c r="E250" s="5"/>
      <c r="F250" s="5"/>
      <c r="G250" s="49"/>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48"/>
      <c r="CQ250" s="48"/>
      <c r="CR250" s="48"/>
      <c r="CS250" s="48"/>
      <c r="CT250" s="48"/>
      <c r="CU250" s="48"/>
      <c r="CV250" s="48"/>
      <c r="CW250" s="48"/>
      <c r="CX250" s="48"/>
      <c r="CY250" s="48"/>
      <c r="CZ250" s="48"/>
      <c r="DA250" s="48"/>
      <c r="DB250" s="48"/>
      <c r="DC250" s="48"/>
      <c r="DD250" s="48"/>
      <c r="DE250" s="48"/>
      <c r="DF250" s="48"/>
      <c r="DG250" s="48"/>
      <c r="DH250" s="48"/>
      <c r="DI250" s="48"/>
      <c r="DJ250" s="48"/>
      <c r="DK250" s="48"/>
      <c r="DL250" s="48"/>
      <c r="DM250" s="48"/>
      <c r="DN250" s="48"/>
      <c r="DO250" s="48"/>
      <c r="DP250" s="48"/>
      <c r="DQ250" s="48"/>
      <c r="DR250" s="48"/>
      <c r="DS250" s="48"/>
      <c r="DT250" s="48"/>
      <c r="DU250" s="48"/>
      <c r="DV250" s="48"/>
      <c r="DW250" s="48"/>
      <c r="DX250" s="48"/>
      <c r="DY250" s="48"/>
      <c r="DZ250" s="48"/>
      <c r="EA250" s="48"/>
      <c r="EB250" s="48"/>
      <c r="EC250" s="48"/>
      <c r="ED250" s="48"/>
      <c r="EE250" s="48"/>
      <c r="EF250" s="48"/>
      <c r="EG250" s="48"/>
      <c r="EH250" s="48"/>
      <c r="EI250" s="48"/>
      <c r="EJ250" s="48"/>
      <c r="EK250" s="48"/>
      <c r="EL250" s="48"/>
      <c r="EM250" s="48"/>
      <c r="EN250" s="48"/>
      <c r="EO250" s="48"/>
      <c r="EP250" s="48"/>
      <c r="EQ250" s="48"/>
      <c r="ER250" s="48"/>
      <c r="ES250" s="48"/>
      <c r="ET250" s="48"/>
      <c r="EU250" s="48"/>
      <c r="EV250" s="48"/>
      <c r="EW250" s="48"/>
      <c r="EX250" s="48"/>
      <c r="EY250" s="48"/>
      <c r="EZ250" s="48"/>
      <c r="FA250" s="48"/>
      <c r="FB250" s="48"/>
      <c r="FC250" s="48"/>
      <c r="FD250" s="48"/>
      <c r="FE250" s="48"/>
      <c r="FF250" s="48"/>
      <c r="FG250" s="48"/>
      <c r="FH250" s="48"/>
      <c r="FI250" s="48"/>
      <c r="FJ250" s="48"/>
      <c r="FK250" s="48"/>
      <c r="FL250" s="48"/>
      <c r="FM250" s="48"/>
      <c r="FN250" s="48"/>
      <c r="FO250" s="48"/>
      <c r="FP250" s="48"/>
      <c r="FQ250" s="48"/>
      <c r="FR250" s="48"/>
      <c r="FS250" s="48"/>
      <c r="FT250" s="48"/>
      <c r="FU250" s="48"/>
      <c r="FV250" s="48"/>
      <c r="FW250" s="48"/>
      <c r="FX250" s="48"/>
      <c r="FY250" s="48"/>
      <c r="FZ250" s="48"/>
      <c r="GA250" s="48"/>
      <c r="GB250" s="48"/>
      <c r="GC250" s="48"/>
      <c r="GD250" s="48"/>
      <c r="GE250" s="48"/>
      <c r="GF250" s="48"/>
      <c r="GG250" s="48"/>
      <c r="GH250" s="48"/>
      <c r="GI250" s="48"/>
      <c r="GJ250" s="48"/>
      <c r="GK250" s="48"/>
      <c r="GL250" s="48"/>
      <c r="GM250" s="48"/>
      <c r="GN250" s="48"/>
      <c r="GO250" s="48"/>
      <c r="GP250" s="48"/>
      <c r="GQ250" s="48"/>
      <c r="GR250" s="48"/>
      <c r="GS250" s="48"/>
      <c r="GT250" s="48"/>
      <c r="GU250" s="48"/>
      <c r="GV250" s="48"/>
      <c r="GW250" s="48"/>
      <c r="GX250" s="48"/>
      <c r="GY250" s="48"/>
      <c r="GZ250" s="48"/>
      <c r="HA250" s="48"/>
      <c r="HB250" s="48"/>
    </row>
    <row r="251" spans="1:210" ht="15.75" customHeight="1">
      <c r="A251" s="5"/>
      <c r="B251" s="5"/>
      <c r="C251" s="5"/>
      <c r="D251" s="5"/>
      <c r="E251" s="5"/>
      <c r="F251" s="5"/>
      <c r="G251" s="49"/>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48"/>
      <c r="CQ251" s="48"/>
      <c r="CR251" s="48"/>
      <c r="CS251" s="48"/>
      <c r="CT251" s="48"/>
      <c r="CU251" s="48"/>
      <c r="CV251" s="48"/>
      <c r="CW251" s="48"/>
      <c r="CX251" s="48"/>
      <c r="CY251" s="48"/>
      <c r="CZ251" s="48"/>
      <c r="DA251" s="48"/>
      <c r="DB251" s="48"/>
      <c r="DC251" s="48"/>
      <c r="DD251" s="48"/>
      <c r="DE251" s="48"/>
      <c r="DF251" s="48"/>
      <c r="DG251" s="48"/>
      <c r="DH251" s="48"/>
      <c r="DI251" s="48"/>
      <c r="DJ251" s="48"/>
      <c r="DK251" s="48"/>
      <c r="DL251" s="48"/>
      <c r="DM251" s="48"/>
      <c r="DN251" s="48"/>
      <c r="DO251" s="48"/>
      <c r="DP251" s="48"/>
      <c r="DQ251" s="48"/>
      <c r="DR251" s="48"/>
      <c r="DS251" s="48"/>
      <c r="DT251" s="48"/>
      <c r="DU251" s="48"/>
      <c r="DV251" s="48"/>
      <c r="DW251" s="48"/>
      <c r="DX251" s="48"/>
      <c r="DY251" s="48"/>
      <c r="DZ251" s="48"/>
      <c r="EA251" s="48"/>
      <c r="EB251" s="48"/>
      <c r="EC251" s="48"/>
      <c r="ED251" s="48"/>
      <c r="EE251" s="48"/>
      <c r="EF251" s="48"/>
      <c r="EG251" s="48"/>
      <c r="EH251" s="48"/>
      <c r="EI251" s="48"/>
      <c r="EJ251" s="48"/>
      <c r="EK251" s="48"/>
      <c r="EL251" s="48"/>
      <c r="EM251" s="48"/>
      <c r="EN251" s="48"/>
      <c r="EO251" s="48"/>
      <c r="EP251" s="48"/>
      <c r="EQ251" s="48"/>
      <c r="ER251" s="48"/>
      <c r="ES251" s="48"/>
      <c r="ET251" s="48"/>
      <c r="EU251" s="48"/>
      <c r="EV251" s="48"/>
      <c r="EW251" s="48"/>
      <c r="EX251" s="48"/>
      <c r="EY251" s="48"/>
      <c r="EZ251" s="48"/>
      <c r="FA251" s="48"/>
      <c r="FB251" s="48"/>
      <c r="FC251" s="48"/>
      <c r="FD251" s="48"/>
      <c r="FE251" s="48"/>
      <c r="FF251" s="48"/>
      <c r="FG251" s="48"/>
      <c r="FH251" s="48"/>
      <c r="FI251" s="48"/>
      <c r="FJ251" s="48"/>
      <c r="FK251" s="48"/>
      <c r="FL251" s="48"/>
      <c r="FM251" s="48"/>
      <c r="FN251" s="48"/>
      <c r="FO251" s="48"/>
      <c r="FP251" s="48"/>
      <c r="FQ251" s="48"/>
      <c r="FR251" s="48"/>
      <c r="FS251" s="48"/>
      <c r="FT251" s="48"/>
      <c r="FU251" s="48"/>
      <c r="FV251" s="48"/>
      <c r="FW251" s="48"/>
      <c r="FX251" s="48"/>
      <c r="FY251" s="48"/>
      <c r="FZ251" s="48"/>
      <c r="GA251" s="48"/>
      <c r="GB251" s="48"/>
      <c r="GC251" s="48"/>
      <c r="GD251" s="48"/>
      <c r="GE251" s="48"/>
      <c r="GF251" s="48"/>
      <c r="GG251" s="48"/>
      <c r="GH251" s="48"/>
      <c r="GI251" s="48"/>
      <c r="GJ251" s="48"/>
      <c r="GK251" s="48"/>
      <c r="GL251" s="48"/>
      <c r="GM251" s="48"/>
      <c r="GN251" s="48"/>
      <c r="GO251" s="48"/>
      <c r="GP251" s="48"/>
      <c r="GQ251" s="48"/>
      <c r="GR251" s="48"/>
      <c r="GS251" s="48"/>
      <c r="GT251" s="48"/>
      <c r="GU251" s="48"/>
      <c r="GV251" s="48"/>
      <c r="GW251" s="48"/>
      <c r="GX251" s="48"/>
      <c r="GY251" s="48"/>
      <c r="GZ251" s="48"/>
      <c r="HA251" s="48"/>
      <c r="HB251" s="48"/>
    </row>
    <row r="252" spans="1:210" ht="15.75" customHeight="1">
      <c r="A252" s="5"/>
      <c r="B252" s="5"/>
      <c r="C252" s="5"/>
      <c r="D252" s="5"/>
      <c r="E252" s="5"/>
      <c r="F252" s="5"/>
      <c r="G252" s="49"/>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48"/>
      <c r="CQ252" s="48"/>
      <c r="CR252" s="48"/>
      <c r="CS252" s="48"/>
      <c r="CT252" s="48"/>
      <c r="CU252" s="48"/>
      <c r="CV252" s="48"/>
      <c r="CW252" s="48"/>
      <c r="CX252" s="48"/>
      <c r="CY252" s="48"/>
      <c r="CZ252" s="48"/>
      <c r="DA252" s="48"/>
      <c r="DB252" s="48"/>
      <c r="DC252" s="48"/>
      <c r="DD252" s="48"/>
      <c r="DE252" s="48"/>
      <c r="DF252" s="48"/>
      <c r="DG252" s="48"/>
      <c r="DH252" s="48"/>
      <c r="DI252" s="48"/>
      <c r="DJ252" s="48"/>
      <c r="DK252" s="48"/>
      <c r="DL252" s="48"/>
      <c r="DM252" s="48"/>
      <c r="DN252" s="48"/>
      <c r="DO252" s="48"/>
      <c r="DP252" s="48"/>
      <c r="DQ252" s="48"/>
      <c r="DR252" s="48"/>
      <c r="DS252" s="48"/>
      <c r="DT252" s="48"/>
      <c r="DU252" s="48"/>
      <c r="DV252" s="48"/>
      <c r="DW252" s="48"/>
      <c r="DX252" s="48"/>
      <c r="DY252" s="48"/>
      <c r="DZ252" s="48"/>
      <c r="EA252" s="48"/>
      <c r="EB252" s="48"/>
      <c r="EC252" s="48"/>
      <c r="ED252" s="48"/>
      <c r="EE252" s="48"/>
      <c r="EF252" s="48"/>
      <c r="EG252" s="48"/>
      <c r="EH252" s="48"/>
      <c r="EI252" s="48"/>
      <c r="EJ252" s="48"/>
      <c r="EK252" s="48"/>
      <c r="EL252" s="48"/>
      <c r="EM252" s="48"/>
      <c r="EN252" s="48"/>
      <c r="EO252" s="48"/>
      <c r="EP252" s="48"/>
      <c r="EQ252" s="48"/>
      <c r="ER252" s="48"/>
      <c r="ES252" s="48"/>
      <c r="ET252" s="48"/>
      <c r="EU252" s="48"/>
      <c r="EV252" s="48"/>
      <c r="EW252" s="48"/>
      <c r="EX252" s="48"/>
      <c r="EY252" s="48"/>
      <c r="EZ252" s="48"/>
      <c r="FA252" s="48"/>
      <c r="FB252" s="48"/>
      <c r="FC252" s="48"/>
      <c r="FD252" s="48"/>
      <c r="FE252" s="48"/>
      <c r="FF252" s="48"/>
      <c r="FG252" s="48"/>
      <c r="FH252" s="48"/>
      <c r="FI252" s="48"/>
      <c r="FJ252" s="48"/>
      <c r="FK252" s="48"/>
      <c r="FL252" s="48"/>
      <c r="FM252" s="48"/>
      <c r="FN252" s="48"/>
      <c r="FO252" s="48"/>
      <c r="FP252" s="48"/>
      <c r="FQ252" s="48"/>
      <c r="FR252" s="48"/>
      <c r="FS252" s="48"/>
      <c r="FT252" s="48"/>
      <c r="FU252" s="48"/>
      <c r="FV252" s="48"/>
      <c r="FW252" s="48"/>
      <c r="FX252" s="48"/>
      <c r="FY252" s="48"/>
      <c r="FZ252" s="48"/>
      <c r="GA252" s="48"/>
      <c r="GB252" s="48"/>
      <c r="GC252" s="48"/>
      <c r="GD252" s="48"/>
      <c r="GE252" s="48"/>
      <c r="GF252" s="48"/>
      <c r="GG252" s="48"/>
      <c r="GH252" s="48"/>
      <c r="GI252" s="48"/>
      <c r="GJ252" s="48"/>
      <c r="GK252" s="48"/>
      <c r="GL252" s="48"/>
      <c r="GM252" s="48"/>
      <c r="GN252" s="48"/>
      <c r="GO252" s="48"/>
      <c r="GP252" s="48"/>
      <c r="GQ252" s="48"/>
      <c r="GR252" s="48"/>
      <c r="GS252" s="48"/>
      <c r="GT252" s="48"/>
      <c r="GU252" s="48"/>
      <c r="GV252" s="48"/>
      <c r="GW252" s="48"/>
      <c r="GX252" s="48"/>
      <c r="GY252" s="48"/>
      <c r="GZ252" s="48"/>
      <c r="HA252" s="48"/>
      <c r="HB252" s="48"/>
    </row>
    <row r="253" spans="1:210" ht="15.75" customHeight="1">
      <c r="A253" s="5"/>
      <c r="B253" s="5"/>
      <c r="C253" s="5"/>
      <c r="D253" s="5"/>
      <c r="E253" s="5"/>
      <c r="F253" s="5"/>
      <c r="G253" s="49"/>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48"/>
      <c r="CQ253" s="48"/>
      <c r="CR253" s="48"/>
      <c r="CS253" s="48"/>
      <c r="CT253" s="48"/>
      <c r="CU253" s="48"/>
      <c r="CV253" s="48"/>
      <c r="CW253" s="48"/>
      <c r="CX253" s="48"/>
      <c r="CY253" s="48"/>
      <c r="CZ253" s="48"/>
      <c r="DA253" s="48"/>
      <c r="DB253" s="48"/>
      <c r="DC253" s="48"/>
      <c r="DD253" s="48"/>
      <c r="DE253" s="48"/>
      <c r="DF253" s="48"/>
      <c r="DG253" s="48"/>
      <c r="DH253" s="48"/>
      <c r="DI253" s="48"/>
      <c r="DJ253" s="48"/>
      <c r="DK253" s="48"/>
      <c r="DL253" s="48"/>
      <c r="DM253" s="48"/>
      <c r="DN253" s="48"/>
      <c r="DO253" s="48"/>
      <c r="DP253" s="48"/>
      <c r="DQ253" s="48"/>
      <c r="DR253" s="48"/>
      <c r="DS253" s="48"/>
      <c r="DT253" s="48"/>
      <c r="DU253" s="48"/>
      <c r="DV253" s="48"/>
      <c r="DW253" s="48"/>
      <c r="DX253" s="48"/>
      <c r="DY253" s="48"/>
      <c r="DZ253" s="48"/>
      <c r="EA253" s="48"/>
      <c r="EB253" s="48"/>
      <c r="EC253" s="48"/>
      <c r="ED253" s="48"/>
      <c r="EE253" s="48"/>
      <c r="EF253" s="48"/>
      <c r="EG253" s="48"/>
      <c r="EH253" s="48"/>
      <c r="EI253" s="48"/>
      <c r="EJ253" s="48"/>
      <c r="EK253" s="48"/>
      <c r="EL253" s="48"/>
      <c r="EM253" s="48"/>
      <c r="EN253" s="48"/>
      <c r="EO253" s="48"/>
      <c r="EP253" s="48"/>
      <c r="EQ253" s="48"/>
      <c r="ER253" s="48"/>
      <c r="ES253" s="48"/>
      <c r="ET253" s="48"/>
      <c r="EU253" s="48"/>
      <c r="EV253" s="48"/>
      <c r="EW253" s="48"/>
      <c r="EX253" s="48"/>
      <c r="EY253" s="48"/>
      <c r="EZ253" s="48"/>
      <c r="FA253" s="48"/>
      <c r="FB253" s="48"/>
      <c r="FC253" s="48"/>
      <c r="FD253" s="48"/>
      <c r="FE253" s="48"/>
      <c r="FF253" s="48"/>
      <c r="FG253" s="48"/>
      <c r="FH253" s="48"/>
      <c r="FI253" s="48"/>
      <c r="FJ253" s="48"/>
      <c r="FK253" s="48"/>
      <c r="FL253" s="48"/>
      <c r="FM253" s="48"/>
      <c r="FN253" s="48"/>
      <c r="FO253" s="48"/>
      <c r="FP253" s="48"/>
      <c r="FQ253" s="48"/>
      <c r="FR253" s="48"/>
      <c r="FS253" s="48"/>
      <c r="FT253" s="48"/>
      <c r="FU253" s="48"/>
      <c r="FV253" s="48"/>
      <c r="FW253" s="48"/>
      <c r="FX253" s="48"/>
      <c r="FY253" s="48"/>
      <c r="FZ253" s="48"/>
      <c r="GA253" s="48"/>
      <c r="GB253" s="48"/>
      <c r="GC253" s="48"/>
      <c r="GD253" s="48"/>
      <c r="GE253" s="48"/>
      <c r="GF253" s="48"/>
      <c r="GG253" s="48"/>
      <c r="GH253" s="48"/>
      <c r="GI253" s="48"/>
      <c r="GJ253" s="48"/>
      <c r="GK253" s="48"/>
      <c r="GL253" s="48"/>
      <c r="GM253" s="48"/>
      <c r="GN253" s="48"/>
      <c r="GO253" s="48"/>
      <c r="GP253" s="48"/>
      <c r="GQ253" s="48"/>
      <c r="GR253" s="48"/>
      <c r="GS253" s="48"/>
      <c r="GT253" s="48"/>
      <c r="GU253" s="48"/>
      <c r="GV253" s="48"/>
      <c r="GW253" s="48"/>
      <c r="GX253" s="48"/>
      <c r="GY253" s="48"/>
      <c r="GZ253" s="48"/>
      <c r="HA253" s="48"/>
      <c r="HB253" s="48"/>
    </row>
    <row r="254" spans="1:210" ht="15.75" customHeight="1">
      <c r="A254" s="5"/>
      <c r="B254" s="5"/>
      <c r="C254" s="5"/>
      <c r="D254" s="5"/>
      <c r="E254" s="5"/>
      <c r="F254" s="5"/>
      <c r="G254" s="49"/>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48"/>
      <c r="CQ254" s="48"/>
      <c r="CR254" s="48"/>
      <c r="CS254" s="48"/>
      <c r="CT254" s="48"/>
      <c r="CU254" s="48"/>
      <c r="CV254" s="48"/>
      <c r="CW254" s="48"/>
      <c r="CX254" s="48"/>
      <c r="CY254" s="48"/>
      <c r="CZ254" s="48"/>
      <c r="DA254" s="48"/>
      <c r="DB254" s="48"/>
      <c r="DC254" s="48"/>
      <c r="DD254" s="48"/>
      <c r="DE254" s="48"/>
      <c r="DF254" s="48"/>
      <c r="DG254" s="48"/>
      <c r="DH254" s="48"/>
      <c r="DI254" s="48"/>
      <c r="DJ254" s="48"/>
      <c r="DK254" s="48"/>
      <c r="DL254" s="48"/>
      <c r="DM254" s="48"/>
      <c r="DN254" s="48"/>
      <c r="DO254" s="48"/>
      <c r="DP254" s="48"/>
      <c r="DQ254" s="48"/>
      <c r="DR254" s="48"/>
      <c r="DS254" s="48"/>
      <c r="DT254" s="48"/>
      <c r="DU254" s="48"/>
      <c r="DV254" s="48"/>
      <c r="DW254" s="48"/>
      <c r="DX254" s="48"/>
      <c r="DY254" s="48"/>
      <c r="DZ254" s="48"/>
      <c r="EA254" s="48"/>
      <c r="EB254" s="48"/>
      <c r="EC254" s="48"/>
      <c r="ED254" s="48"/>
      <c r="EE254" s="48"/>
      <c r="EF254" s="48"/>
      <c r="EG254" s="48"/>
      <c r="EH254" s="48"/>
      <c r="EI254" s="48"/>
      <c r="EJ254" s="48"/>
      <c r="EK254" s="48"/>
      <c r="EL254" s="48"/>
      <c r="EM254" s="48"/>
      <c r="EN254" s="48"/>
      <c r="EO254" s="48"/>
      <c r="EP254" s="48"/>
      <c r="EQ254" s="48"/>
      <c r="ER254" s="48"/>
      <c r="ES254" s="48"/>
      <c r="ET254" s="48"/>
      <c r="EU254" s="48"/>
      <c r="EV254" s="48"/>
      <c r="EW254" s="48"/>
      <c r="EX254" s="48"/>
      <c r="EY254" s="48"/>
      <c r="EZ254" s="48"/>
      <c r="FA254" s="48"/>
      <c r="FB254" s="48"/>
      <c r="FC254" s="48"/>
      <c r="FD254" s="48"/>
      <c r="FE254" s="48"/>
      <c r="FF254" s="48"/>
      <c r="FG254" s="48"/>
      <c r="FH254" s="48"/>
      <c r="FI254" s="48"/>
      <c r="FJ254" s="48"/>
      <c r="FK254" s="48"/>
      <c r="FL254" s="48"/>
      <c r="FM254" s="48"/>
      <c r="FN254" s="48"/>
      <c r="FO254" s="48"/>
      <c r="FP254" s="48"/>
      <c r="FQ254" s="48"/>
      <c r="FR254" s="48"/>
      <c r="FS254" s="48"/>
      <c r="FT254" s="48"/>
      <c r="FU254" s="48"/>
      <c r="FV254" s="48"/>
      <c r="FW254" s="48"/>
      <c r="FX254" s="48"/>
      <c r="FY254" s="48"/>
      <c r="FZ254" s="48"/>
      <c r="GA254" s="48"/>
      <c r="GB254" s="48"/>
      <c r="GC254" s="48"/>
      <c r="GD254" s="48"/>
      <c r="GE254" s="48"/>
      <c r="GF254" s="48"/>
      <c r="GG254" s="48"/>
      <c r="GH254" s="48"/>
      <c r="GI254" s="48"/>
      <c r="GJ254" s="48"/>
      <c r="GK254" s="48"/>
      <c r="GL254" s="48"/>
      <c r="GM254" s="48"/>
      <c r="GN254" s="48"/>
      <c r="GO254" s="48"/>
      <c r="GP254" s="48"/>
      <c r="GQ254" s="48"/>
      <c r="GR254" s="48"/>
      <c r="GS254" s="48"/>
      <c r="GT254" s="48"/>
      <c r="GU254" s="48"/>
      <c r="GV254" s="48"/>
      <c r="GW254" s="48"/>
      <c r="GX254" s="48"/>
      <c r="GY254" s="48"/>
      <c r="GZ254" s="48"/>
      <c r="HA254" s="48"/>
      <c r="HB254" s="48"/>
    </row>
    <row r="255" spans="1:210" ht="15.75" customHeight="1">
      <c r="A255" s="5"/>
      <c r="B255" s="5"/>
      <c r="C255" s="5"/>
      <c r="D255" s="5"/>
      <c r="E255" s="5"/>
      <c r="F255" s="5"/>
      <c r="G255" s="49"/>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48"/>
      <c r="CQ255" s="48"/>
      <c r="CR255" s="48"/>
      <c r="CS255" s="48"/>
      <c r="CT255" s="48"/>
      <c r="CU255" s="48"/>
      <c r="CV255" s="48"/>
      <c r="CW255" s="48"/>
      <c r="CX255" s="48"/>
      <c r="CY255" s="48"/>
      <c r="CZ255" s="48"/>
      <c r="DA255" s="48"/>
      <c r="DB255" s="48"/>
      <c r="DC255" s="48"/>
      <c r="DD255" s="48"/>
      <c r="DE255" s="48"/>
      <c r="DF255" s="48"/>
      <c r="DG255" s="48"/>
      <c r="DH255" s="48"/>
      <c r="DI255" s="48"/>
      <c r="DJ255" s="48"/>
      <c r="DK255" s="48"/>
      <c r="DL255" s="48"/>
      <c r="DM255" s="48"/>
      <c r="DN255" s="48"/>
      <c r="DO255" s="48"/>
      <c r="DP255" s="48"/>
      <c r="DQ255" s="48"/>
      <c r="DR255" s="48"/>
      <c r="DS255" s="48"/>
      <c r="DT255" s="48"/>
      <c r="DU255" s="48"/>
      <c r="DV255" s="48"/>
      <c r="DW255" s="48"/>
      <c r="DX255" s="48"/>
      <c r="DY255" s="48"/>
      <c r="DZ255" s="48"/>
      <c r="EA255" s="48"/>
      <c r="EB255" s="48"/>
      <c r="EC255" s="48"/>
      <c r="ED255" s="48"/>
      <c r="EE255" s="48"/>
      <c r="EF255" s="48"/>
      <c r="EG255" s="48"/>
      <c r="EH255" s="48"/>
      <c r="EI255" s="48"/>
      <c r="EJ255" s="48"/>
      <c r="EK255" s="48"/>
      <c r="EL255" s="48"/>
      <c r="EM255" s="48"/>
      <c r="EN255" s="48"/>
      <c r="EO255" s="48"/>
      <c r="EP255" s="48"/>
      <c r="EQ255" s="48"/>
      <c r="ER255" s="48"/>
      <c r="ES255" s="48"/>
      <c r="ET255" s="48"/>
      <c r="EU255" s="48"/>
      <c r="EV255" s="48"/>
      <c r="EW255" s="48"/>
      <c r="EX255" s="48"/>
      <c r="EY255" s="48"/>
      <c r="EZ255" s="48"/>
      <c r="FA255" s="48"/>
      <c r="FB255" s="48"/>
      <c r="FC255" s="48"/>
      <c r="FD255" s="48"/>
      <c r="FE255" s="48"/>
      <c r="FF255" s="48"/>
      <c r="FG255" s="48"/>
      <c r="FH255" s="48"/>
      <c r="FI255" s="48"/>
      <c r="FJ255" s="48"/>
      <c r="FK255" s="48"/>
      <c r="FL255" s="48"/>
      <c r="FM255" s="48"/>
      <c r="FN255" s="48"/>
      <c r="FO255" s="48"/>
      <c r="FP255" s="48"/>
      <c r="FQ255" s="48"/>
      <c r="FR255" s="48"/>
      <c r="FS255" s="48"/>
      <c r="FT255" s="48"/>
      <c r="FU255" s="48"/>
      <c r="FV255" s="48"/>
      <c r="FW255" s="48"/>
      <c r="FX255" s="48"/>
      <c r="FY255" s="48"/>
      <c r="FZ255" s="48"/>
      <c r="GA255" s="48"/>
      <c r="GB255" s="48"/>
      <c r="GC255" s="48"/>
      <c r="GD255" s="48"/>
      <c r="GE255" s="48"/>
      <c r="GF255" s="48"/>
      <c r="GG255" s="48"/>
      <c r="GH255" s="48"/>
      <c r="GI255" s="48"/>
      <c r="GJ255" s="48"/>
      <c r="GK255" s="48"/>
      <c r="GL255" s="48"/>
      <c r="GM255" s="48"/>
      <c r="GN255" s="48"/>
      <c r="GO255" s="48"/>
      <c r="GP255" s="48"/>
      <c r="GQ255" s="48"/>
      <c r="GR255" s="48"/>
      <c r="GS255" s="48"/>
      <c r="GT255" s="48"/>
      <c r="GU255" s="48"/>
      <c r="GV255" s="48"/>
      <c r="GW255" s="48"/>
      <c r="GX255" s="48"/>
      <c r="GY255" s="48"/>
      <c r="GZ255" s="48"/>
      <c r="HA255" s="48"/>
      <c r="HB255" s="48"/>
    </row>
    <row r="256" spans="1:210" ht="15.75" customHeight="1">
      <c r="A256" s="5"/>
      <c r="B256" s="5"/>
      <c r="C256" s="5"/>
      <c r="D256" s="5"/>
      <c r="E256" s="5"/>
      <c r="F256" s="5"/>
      <c r="G256" s="49"/>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48"/>
      <c r="CQ256" s="48"/>
      <c r="CR256" s="48"/>
      <c r="CS256" s="48"/>
      <c r="CT256" s="48"/>
      <c r="CU256" s="48"/>
      <c r="CV256" s="48"/>
      <c r="CW256" s="48"/>
      <c r="CX256" s="48"/>
      <c r="CY256" s="48"/>
      <c r="CZ256" s="48"/>
      <c r="DA256" s="48"/>
      <c r="DB256" s="48"/>
      <c r="DC256" s="48"/>
      <c r="DD256" s="48"/>
      <c r="DE256" s="48"/>
      <c r="DF256" s="48"/>
      <c r="DG256" s="48"/>
      <c r="DH256" s="48"/>
      <c r="DI256" s="48"/>
      <c r="DJ256" s="48"/>
      <c r="DK256" s="48"/>
      <c r="DL256" s="48"/>
      <c r="DM256" s="48"/>
      <c r="DN256" s="48"/>
      <c r="DO256" s="48"/>
      <c r="DP256" s="48"/>
      <c r="DQ256" s="48"/>
      <c r="DR256" s="48"/>
      <c r="DS256" s="48"/>
      <c r="DT256" s="48"/>
      <c r="DU256" s="48"/>
      <c r="DV256" s="48"/>
      <c r="DW256" s="48"/>
      <c r="DX256" s="48"/>
      <c r="DY256" s="48"/>
      <c r="DZ256" s="48"/>
      <c r="EA256" s="48"/>
      <c r="EB256" s="48"/>
      <c r="EC256" s="48"/>
      <c r="ED256" s="48"/>
      <c r="EE256" s="48"/>
      <c r="EF256" s="48"/>
      <c r="EG256" s="48"/>
      <c r="EH256" s="48"/>
      <c r="EI256" s="48"/>
      <c r="EJ256" s="48"/>
      <c r="EK256" s="48"/>
      <c r="EL256" s="48"/>
      <c r="EM256" s="48"/>
      <c r="EN256" s="48"/>
      <c r="EO256" s="48"/>
      <c r="EP256" s="48"/>
      <c r="EQ256" s="48"/>
      <c r="ER256" s="48"/>
      <c r="ES256" s="48"/>
      <c r="ET256" s="48"/>
      <c r="EU256" s="48"/>
      <c r="EV256" s="48"/>
      <c r="EW256" s="48"/>
      <c r="EX256" s="48"/>
      <c r="EY256" s="48"/>
      <c r="EZ256" s="48"/>
      <c r="FA256" s="48"/>
      <c r="FB256" s="48"/>
      <c r="FC256" s="48"/>
      <c r="FD256" s="48"/>
      <c r="FE256" s="48"/>
      <c r="FF256" s="48"/>
      <c r="FG256" s="48"/>
      <c r="FH256" s="48"/>
      <c r="FI256" s="48"/>
      <c r="FJ256" s="48"/>
      <c r="FK256" s="48"/>
      <c r="FL256" s="48"/>
      <c r="FM256" s="48"/>
      <c r="FN256" s="48"/>
      <c r="FO256" s="48"/>
      <c r="FP256" s="48"/>
      <c r="FQ256" s="48"/>
      <c r="FR256" s="48"/>
      <c r="FS256" s="48"/>
      <c r="FT256" s="48"/>
      <c r="FU256" s="48"/>
      <c r="FV256" s="48"/>
      <c r="FW256" s="48"/>
      <c r="FX256" s="48"/>
      <c r="FY256" s="48"/>
      <c r="FZ256" s="48"/>
      <c r="GA256" s="48"/>
      <c r="GB256" s="48"/>
      <c r="GC256" s="48"/>
      <c r="GD256" s="48"/>
      <c r="GE256" s="48"/>
      <c r="GF256" s="48"/>
      <c r="GG256" s="48"/>
      <c r="GH256" s="48"/>
      <c r="GI256" s="48"/>
      <c r="GJ256" s="48"/>
      <c r="GK256" s="48"/>
      <c r="GL256" s="48"/>
      <c r="GM256" s="48"/>
      <c r="GN256" s="48"/>
      <c r="GO256" s="48"/>
      <c r="GP256" s="48"/>
      <c r="GQ256" s="48"/>
      <c r="GR256" s="48"/>
      <c r="GS256" s="48"/>
      <c r="GT256" s="48"/>
      <c r="GU256" s="48"/>
      <c r="GV256" s="48"/>
      <c r="GW256" s="48"/>
      <c r="GX256" s="48"/>
      <c r="GY256" s="48"/>
      <c r="GZ256" s="48"/>
      <c r="HA256" s="48"/>
      <c r="HB256" s="48"/>
    </row>
    <row r="257" spans="1:210" ht="15.75" customHeight="1">
      <c r="A257" s="5"/>
      <c r="B257" s="5"/>
      <c r="C257" s="5"/>
      <c r="D257" s="5"/>
      <c r="E257" s="5"/>
      <c r="F257" s="5"/>
      <c r="G257" s="49"/>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48"/>
      <c r="CQ257" s="48"/>
      <c r="CR257" s="48"/>
      <c r="CS257" s="48"/>
      <c r="CT257" s="48"/>
      <c r="CU257" s="48"/>
      <c r="CV257" s="48"/>
      <c r="CW257" s="48"/>
      <c r="CX257" s="48"/>
      <c r="CY257" s="48"/>
      <c r="CZ257" s="48"/>
      <c r="DA257" s="48"/>
      <c r="DB257" s="48"/>
      <c r="DC257" s="48"/>
      <c r="DD257" s="48"/>
      <c r="DE257" s="48"/>
      <c r="DF257" s="48"/>
      <c r="DG257" s="48"/>
      <c r="DH257" s="48"/>
      <c r="DI257" s="48"/>
      <c r="DJ257" s="48"/>
      <c r="DK257" s="48"/>
      <c r="DL257" s="48"/>
      <c r="DM257" s="48"/>
      <c r="DN257" s="48"/>
      <c r="DO257" s="48"/>
      <c r="DP257" s="48"/>
      <c r="DQ257" s="48"/>
      <c r="DR257" s="48"/>
      <c r="DS257" s="48"/>
      <c r="DT257" s="48"/>
      <c r="DU257" s="48"/>
      <c r="DV257" s="48"/>
      <c r="DW257" s="48"/>
      <c r="DX257" s="48"/>
      <c r="DY257" s="48"/>
      <c r="DZ257" s="48"/>
      <c r="EA257" s="48"/>
      <c r="EB257" s="48"/>
      <c r="EC257" s="48"/>
      <c r="ED257" s="48"/>
      <c r="EE257" s="48"/>
      <c r="EF257" s="48"/>
      <c r="EG257" s="48"/>
      <c r="EH257" s="48"/>
      <c r="EI257" s="48"/>
      <c r="EJ257" s="48"/>
      <c r="EK257" s="48"/>
      <c r="EL257" s="48"/>
      <c r="EM257" s="48"/>
      <c r="EN257" s="48"/>
      <c r="EO257" s="48"/>
      <c r="EP257" s="48"/>
      <c r="EQ257" s="48"/>
      <c r="ER257" s="48"/>
      <c r="ES257" s="48"/>
      <c r="ET257" s="48"/>
      <c r="EU257" s="48"/>
      <c r="EV257" s="48"/>
      <c r="EW257" s="48"/>
      <c r="EX257" s="48"/>
      <c r="EY257" s="48"/>
      <c r="EZ257" s="48"/>
      <c r="FA257" s="48"/>
      <c r="FB257" s="48"/>
      <c r="FC257" s="48"/>
      <c r="FD257" s="48"/>
      <c r="FE257" s="48"/>
      <c r="FF257" s="48"/>
      <c r="FG257" s="48"/>
      <c r="FH257" s="48"/>
      <c r="FI257" s="48"/>
      <c r="FJ257" s="48"/>
      <c r="FK257" s="48"/>
      <c r="FL257" s="48"/>
      <c r="FM257" s="48"/>
      <c r="FN257" s="48"/>
      <c r="FO257" s="48"/>
      <c r="FP257" s="48"/>
      <c r="FQ257" s="48"/>
      <c r="FR257" s="48"/>
      <c r="FS257" s="48"/>
      <c r="FT257" s="48"/>
      <c r="FU257" s="48"/>
      <c r="FV257" s="48"/>
      <c r="FW257" s="48"/>
      <c r="FX257" s="48"/>
      <c r="FY257" s="48"/>
      <c r="FZ257" s="48"/>
      <c r="GA257" s="48"/>
      <c r="GB257" s="48"/>
      <c r="GC257" s="48"/>
      <c r="GD257" s="48"/>
      <c r="GE257" s="48"/>
      <c r="GF257" s="48"/>
      <c r="GG257" s="48"/>
      <c r="GH257" s="48"/>
      <c r="GI257" s="48"/>
      <c r="GJ257" s="48"/>
      <c r="GK257" s="48"/>
      <c r="GL257" s="48"/>
      <c r="GM257" s="48"/>
      <c r="GN257" s="48"/>
      <c r="GO257" s="48"/>
      <c r="GP257" s="48"/>
      <c r="GQ257" s="48"/>
      <c r="GR257" s="48"/>
      <c r="GS257" s="48"/>
      <c r="GT257" s="48"/>
      <c r="GU257" s="48"/>
      <c r="GV257" s="48"/>
      <c r="GW257" s="48"/>
      <c r="GX257" s="48"/>
      <c r="GY257" s="48"/>
      <c r="GZ257" s="48"/>
      <c r="HA257" s="48"/>
      <c r="HB257" s="48"/>
    </row>
    <row r="258" spans="1:210" ht="15.75" customHeight="1">
      <c r="A258" s="5"/>
      <c r="B258" s="5"/>
      <c r="C258" s="5"/>
      <c r="D258" s="5"/>
      <c r="E258" s="5"/>
      <c r="F258" s="5"/>
      <c r="G258" s="49"/>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48"/>
      <c r="CQ258" s="48"/>
      <c r="CR258" s="48"/>
      <c r="CS258" s="48"/>
      <c r="CT258" s="48"/>
      <c r="CU258" s="48"/>
      <c r="CV258" s="48"/>
      <c r="CW258" s="48"/>
      <c r="CX258" s="48"/>
      <c r="CY258" s="48"/>
      <c r="CZ258" s="48"/>
      <c r="DA258" s="48"/>
      <c r="DB258" s="48"/>
      <c r="DC258" s="48"/>
      <c r="DD258" s="48"/>
      <c r="DE258" s="48"/>
      <c r="DF258" s="48"/>
      <c r="DG258" s="48"/>
      <c r="DH258" s="48"/>
      <c r="DI258" s="48"/>
      <c r="DJ258" s="48"/>
      <c r="DK258" s="48"/>
      <c r="DL258" s="48"/>
      <c r="DM258" s="48"/>
      <c r="DN258" s="48"/>
      <c r="DO258" s="48"/>
      <c r="DP258" s="48"/>
      <c r="DQ258" s="48"/>
      <c r="DR258" s="48"/>
      <c r="DS258" s="48"/>
      <c r="DT258" s="48"/>
      <c r="DU258" s="48"/>
      <c r="DV258" s="48"/>
      <c r="DW258" s="48"/>
      <c r="DX258" s="48"/>
      <c r="DY258" s="48"/>
      <c r="DZ258" s="48"/>
      <c r="EA258" s="48"/>
      <c r="EB258" s="48"/>
      <c r="EC258" s="48"/>
      <c r="ED258" s="48"/>
      <c r="EE258" s="48"/>
      <c r="EF258" s="48"/>
      <c r="EG258" s="48"/>
      <c r="EH258" s="48"/>
      <c r="EI258" s="48"/>
      <c r="EJ258" s="48"/>
      <c r="EK258" s="48"/>
      <c r="EL258" s="48"/>
      <c r="EM258" s="48"/>
      <c r="EN258" s="48"/>
      <c r="EO258" s="48"/>
      <c r="EP258" s="48"/>
      <c r="EQ258" s="48"/>
      <c r="ER258" s="48"/>
      <c r="ES258" s="48"/>
      <c r="ET258" s="48"/>
      <c r="EU258" s="48"/>
      <c r="EV258" s="48"/>
      <c r="EW258" s="48"/>
      <c r="EX258" s="48"/>
      <c r="EY258" s="48"/>
      <c r="EZ258" s="48"/>
      <c r="FA258" s="48"/>
      <c r="FB258" s="48"/>
      <c r="FC258" s="48"/>
      <c r="FD258" s="48"/>
      <c r="FE258" s="48"/>
      <c r="FF258" s="48"/>
      <c r="FG258" s="48"/>
      <c r="FH258" s="48"/>
      <c r="FI258" s="48"/>
      <c r="FJ258" s="48"/>
      <c r="FK258" s="48"/>
      <c r="FL258" s="48"/>
      <c r="FM258" s="48"/>
      <c r="FN258" s="48"/>
      <c r="FO258" s="48"/>
      <c r="FP258" s="48"/>
      <c r="FQ258" s="48"/>
      <c r="FR258" s="48"/>
      <c r="FS258" s="48"/>
      <c r="FT258" s="48"/>
      <c r="FU258" s="48"/>
      <c r="FV258" s="48"/>
      <c r="FW258" s="48"/>
      <c r="FX258" s="48"/>
      <c r="FY258" s="48"/>
      <c r="FZ258" s="48"/>
      <c r="GA258" s="48"/>
      <c r="GB258" s="48"/>
      <c r="GC258" s="48"/>
      <c r="GD258" s="48"/>
      <c r="GE258" s="48"/>
      <c r="GF258" s="48"/>
      <c r="GG258" s="48"/>
      <c r="GH258" s="48"/>
      <c r="GI258" s="48"/>
      <c r="GJ258" s="48"/>
      <c r="GK258" s="48"/>
      <c r="GL258" s="48"/>
      <c r="GM258" s="48"/>
      <c r="GN258" s="48"/>
      <c r="GO258" s="48"/>
      <c r="GP258" s="48"/>
      <c r="GQ258" s="48"/>
      <c r="GR258" s="48"/>
      <c r="GS258" s="48"/>
      <c r="GT258" s="48"/>
      <c r="GU258" s="48"/>
      <c r="GV258" s="48"/>
      <c r="GW258" s="48"/>
      <c r="GX258" s="48"/>
      <c r="GY258" s="48"/>
      <c r="GZ258" s="48"/>
      <c r="HA258" s="48"/>
      <c r="HB258" s="48"/>
    </row>
    <row r="259" spans="1:210" ht="15.75" customHeight="1">
      <c r="A259" s="5"/>
      <c r="B259" s="5"/>
      <c r="C259" s="5"/>
      <c r="D259" s="5"/>
      <c r="E259" s="5"/>
      <c r="F259" s="5"/>
      <c r="G259" s="49"/>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48"/>
      <c r="CQ259" s="48"/>
      <c r="CR259" s="48"/>
      <c r="CS259" s="48"/>
      <c r="CT259" s="48"/>
      <c r="CU259" s="48"/>
      <c r="CV259" s="48"/>
      <c r="CW259" s="48"/>
      <c r="CX259" s="48"/>
      <c r="CY259" s="48"/>
      <c r="CZ259" s="48"/>
      <c r="DA259" s="48"/>
      <c r="DB259" s="48"/>
      <c r="DC259" s="48"/>
      <c r="DD259" s="48"/>
      <c r="DE259" s="48"/>
      <c r="DF259" s="48"/>
      <c r="DG259" s="48"/>
      <c r="DH259" s="48"/>
      <c r="DI259" s="48"/>
      <c r="DJ259" s="48"/>
      <c r="DK259" s="48"/>
      <c r="DL259" s="48"/>
      <c r="DM259" s="48"/>
      <c r="DN259" s="48"/>
      <c r="DO259" s="48"/>
      <c r="DP259" s="48"/>
      <c r="DQ259" s="48"/>
      <c r="DR259" s="48"/>
      <c r="DS259" s="48"/>
      <c r="DT259" s="48"/>
      <c r="DU259" s="48"/>
      <c r="DV259" s="48"/>
      <c r="DW259" s="48"/>
      <c r="DX259" s="48"/>
      <c r="DY259" s="48"/>
      <c r="DZ259" s="48"/>
      <c r="EA259" s="48"/>
      <c r="EB259" s="48"/>
      <c r="EC259" s="48"/>
      <c r="ED259" s="48"/>
      <c r="EE259" s="48"/>
      <c r="EF259" s="48"/>
      <c r="EG259" s="48"/>
      <c r="EH259" s="48"/>
      <c r="EI259" s="48"/>
      <c r="EJ259" s="48"/>
      <c r="EK259" s="48"/>
      <c r="EL259" s="48"/>
      <c r="EM259" s="48"/>
      <c r="EN259" s="48"/>
      <c r="EO259" s="48"/>
      <c r="EP259" s="48"/>
      <c r="EQ259" s="48"/>
      <c r="ER259" s="48"/>
      <c r="ES259" s="48"/>
      <c r="ET259" s="48"/>
      <c r="EU259" s="48"/>
      <c r="EV259" s="48"/>
      <c r="EW259" s="48"/>
      <c r="EX259" s="48"/>
      <c r="EY259" s="48"/>
      <c r="EZ259" s="48"/>
      <c r="FA259" s="48"/>
      <c r="FB259" s="48"/>
      <c r="FC259" s="48"/>
      <c r="FD259" s="48"/>
      <c r="FE259" s="48"/>
      <c r="FF259" s="48"/>
      <c r="FG259" s="48"/>
      <c r="FH259" s="48"/>
      <c r="FI259" s="48"/>
      <c r="FJ259" s="48"/>
      <c r="FK259" s="48"/>
      <c r="FL259" s="48"/>
      <c r="FM259" s="48"/>
      <c r="FN259" s="48"/>
      <c r="FO259" s="48"/>
      <c r="FP259" s="48"/>
      <c r="FQ259" s="48"/>
      <c r="FR259" s="48"/>
      <c r="FS259" s="48"/>
      <c r="FT259" s="48"/>
      <c r="FU259" s="48"/>
      <c r="FV259" s="48"/>
      <c r="FW259" s="48"/>
      <c r="FX259" s="48"/>
      <c r="FY259" s="48"/>
      <c r="FZ259" s="48"/>
      <c r="GA259" s="48"/>
      <c r="GB259" s="48"/>
      <c r="GC259" s="48"/>
      <c r="GD259" s="48"/>
      <c r="GE259" s="48"/>
      <c r="GF259" s="48"/>
      <c r="GG259" s="48"/>
      <c r="GH259" s="48"/>
      <c r="GI259" s="48"/>
      <c r="GJ259" s="48"/>
      <c r="GK259" s="48"/>
      <c r="GL259" s="48"/>
      <c r="GM259" s="48"/>
      <c r="GN259" s="48"/>
      <c r="GO259" s="48"/>
      <c r="GP259" s="48"/>
      <c r="GQ259" s="48"/>
      <c r="GR259" s="48"/>
      <c r="GS259" s="48"/>
      <c r="GT259" s="48"/>
      <c r="GU259" s="48"/>
      <c r="GV259" s="48"/>
      <c r="GW259" s="48"/>
      <c r="GX259" s="48"/>
      <c r="GY259" s="48"/>
      <c r="GZ259" s="48"/>
      <c r="HA259" s="48"/>
      <c r="HB259" s="48"/>
    </row>
    <row r="260" spans="1:210" ht="15.75" customHeight="1">
      <c r="A260" s="5"/>
      <c r="B260" s="5"/>
      <c r="C260" s="5"/>
      <c r="D260" s="5"/>
      <c r="E260" s="5"/>
      <c r="F260" s="5"/>
      <c r="G260" s="49"/>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48"/>
      <c r="CQ260" s="48"/>
      <c r="CR260" s="48"/>
      <c r="CS260" s="48"/>
      <c r="CT260" s="48"/>
      <c r="CU260" s="48"/>
      <c r="CV260" s="48"/>
      <c r="CW260" s="48"/>
      <c r="CX260" s="48"/>
      <c r="CY260" s="48"/>
      <c r="CZ260" s="48"/>
      <c r="DA260" s="48"/>
      <c r="DB260" s="48"/>
      <c r="DC260" s="48"/>
      <c r="DD260" s="48"/>
      <c r="DE260" s="48"/>
      <c r="DF260" s="48"/>
      <c r="DG260" s="48"/>
      <c r="DH260" s="48"/>
      <c r="DI260" s="48"/>
      <c r="DJ260" s="48"/>
      <c r="DK260" s="48"/>
      <c r="DL260" s="48"/>
      <c r="DM260" s="48"/>
      <c r="DN260" s="48"/>
      <c r="DO260" s="48"/>
      <c r="DP260" s="48"/>
      <c r="DQ260" s="48"/>
      <c r="DR260" s="48"/>
      <c r="DS260" s="48"/>
      <c r="DT260" s="48"/>
      <c r="DU260" s="48"/>
      <c r="DV260" s="48"/>
      <c r="DW260" s="48"/>
      <c r="DX260" s="48"/>
      <c r="DY260" s="48"/>
      <c r="DZ260" s="48"/>
      <c r="EA260" s="48"/>
      <c r="EB260" s="48"/>
      <c r="EC260" s="48"/>
      <c r="ED260" s="48"/>
      <c r="EE260" s="48"/>
      <c r="EF260" s="48"/>
      <c r="EG260" s="48"/>
      <c r="EH260" s="48"/>
      <c r="EI260" s="48"/>
      <c r="EJ260" s="48"/>
      <c r="EK260" s="48"/>
      <c r="EL260" s="48"/>
      <c r="EM260" s="48"/>
      <c r="EN260" s="48"/>
      <c r="EO260" s="48"/>
      <c r="EP260" s="48"/>
      <c r="EQ260" s="48"/>
      <c r="ER260" s="48"/>
      <c r="ES260" s="48"/>
      <c r="ET260" s="48"/>
      <c r="EU260" s="48"/>
      <c r="EV260" s="48"/>
      <c r="EW260" s="48"/>
      <c r="EX260" s="48"/>
      <c r="EY260" s="48"/>
      <c r="EZ260" s="48"/>
      <c r="FA260" s="48"/>
      <c r="FB260" s="48"/>
      <c r="FC260" s="48"/>
      <c r="FD260" s="48"/>
      <c r="FE260" s="48"/>
      <c r="FF260" s="48"/>
      <c r="FG260" s="48"/>
      <c r="FH260" s="48"/>
      <c r="FI260" s="48"/>
      <c r="FJ260" s="48"/>
      <c r="FK260" s="48"/>
      <c r="FL260" s="48"/>
      <c r="FM260" s="48"/>
      <c r="FN260" s="48"/>
      <c r="FO260" s="48"/>
      <c r="FP260" s="48"/>
      <c r="FQ260" s="48"/>
      <c r="FR260" s="48"/>
      <c r="FS260" s="48"/>
      <c r="FT260" s="48"/>
      <c r="FU260" s="48"/>
      <c r="FV260" s="48"/>
      <c r="FW260" s="48"/>
      <c r="FX260" s="48"/>
      <c r="FY260" s="48"/>
      <c r="FZ260" s="48"/>
      <c r="GA260" s="48"/>
      <c r="GB260" s="48"/>
      <c r="GC260" s="48"/>
      <c r="GD260" s="48"/>
      <c r="GE260" s="48"/>
      <c r="GF260" s="48"/>
      <c r="GG260" s="48"/>
      <c r="GH260" s="48"/>
      <c r="GI260" s="48"/>
      <c r="GJ260" s="48"/>
      <c r="GK260" s="48"/>
      <c r="GL260" s="48"/>
      <c r="GM260" s="48"/>
      <c r="GN260" s="48"/>
      <c r="GO260" s="48"/>
      <c r="GP260" s="48"/>
      <c r="GQ260" s="48"/>
      <c r="GR260" s="48"/>
      <c r="GS260" s="48"/>
      <c r="GT260" s="48"/>
      <c r="GU260" s="48"/>
      <c r="GV260" s="48"/>
      <c r="GW260" s="48"/>
      <c r="GX260" s="48"/>
      <c r="GY260" s="48"/>
      <c r="GZ260" s="48"/>
      <c r="HA260" s="48"/>
      <c r="HB260" s="48"/>
    </row>
    <row r="261" spans="1:210" ht="15.75" customHeight="1">
      <c r="A261" s="5"/>
      <c r="B261" s="5"/>
      <c r="C261" s="5"/>
      <c r="D261" s="5"/>
      <c r="E261" s="5"/>
      <c r="F261" s="5"/>
      <c r="G261" s="49"/>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48"/>
      <c r="CQ261" s="48"/>
      <c r="CR261" s="48"/>
      <c r="CS261" s="48"/>
      <c r="CT261" s="48"/>
      <c r="CU261" s="48"/>
      <c r="CV261" s="48"/>
      <c r="CW261" s="48"/>
      <c r="CX261" s="48"/>
      <c r="CY261" s="48"/>
      <c r="CZ261" s="48"/>
      <c r="DA261" s="48"/>
      <c r="DB261" s="48"/>
      <c r="DC261" s="48"/>
      <c r="DD261" s="48"/>
      <c r="DE261" s="48"/>
      <c r="DF261" s="48"/>
      <c r="DG261" s="48"/>
      <c r="DH261" s="48"/>
      <c r="DI261" s="48"/>
      <c r="DJ261" s="48"/>
      <c r="DK261" s="48"/>
      <c r="DL261" s="48"/>
      <c r="DM261" s="48"/>
      <c r="DN261" s="48"/>
      <c r="DO261" s="48"/>
      <c r="DP261" s="48"/>
      <c r="DQ261" s="48"/>
      <c r="DR261" s="48"/>
      <c r="DS261" s="48"/>
      <c r="DT261" s="48"/>
      <c r="DU261" s="48"/>
      <c r="DV261" s="48"/>
      <c r="DW261" s="48"/>
      <c r="DX261" s="48"/>
      <c r="DY261" s="48"/>
      <c r="DZ261" s="48"/>
      <c r="EA261" s="48"/>
      <c r="EB261" s="48"/>
      <c r="EC261" s="48"/>
      <c r="ED261" s="48"/>
      <c r="EE261" s="48"/>
      <c r="EF261" s="48"/>
      <c r="EG261" s="48"/>
      <c r="EH261" s="48"/>
      <c r="EI261" s="48"/>
      <c r="EJ261" s="48"/>
      <c r="EK261" s="48"/>
      <c r="EL261" s="48"/>
      <c r="EM261" s="48"/>
      <c r="EN261" s="48"/>
      <c r="EO261" s="48"/>
      <c r="EP261" s="48"/>
      <c r="EQ261" s="48"/>
      <c r="ER261" s="48"/>
      <c r="ES261" s="48"/>
      <c r="ET261" s="48"/>
      <c r="EU261" s="48"/>
      <c r="EV261" s="48"/>
      <c r="EW261" s="48"/>
      <c r="EX261" s="48"/>
      <c r="EY261" s="48"/>
      <c r="EZ261" s="48"/>
      <c r="FA261" s="48"/>
      <c r="FB261" s="48"/>
      <c r="FC261" s="48"/>
      <c r="FD261" s="48"/>
      <c r="FE261" s="48"/>
      <c r="FF261" s="48"/>
      <c r="FG261" s="48"/>
      <c r="FH261" s="48"/>
      <c r="FI261" s="48"/>
      <c r="FJ261" s="48"/>
      <c r="FK261" s="48"/>
      <c r="FL261" s="48"/>
      <c r="FM261" s="48"/>
      <c r="FN261" s="48"/>
      <c r="FO261" s="48"/>
      <c r="FP261" s="48"/>
      <c r="FQ261" s="48"/>
      <c r="FR261" s="48"/>
      <c r="FS261" s="48"/>
      <c r="FT261" s="48"/>
      <c r="FU261" s="48"/>
      <c r="FV261" s="48"/>
      <c r="FW261" s="48"/>
      <c r="FX261" s="48"/>
      <c r="FY261" s="48"/>
      <c r="FZ261" s="48"/>
      <c r="GA261" s="48"/>
      <c r="GB261" s="48"/>
      <c r="GC261" s="48"/>
      <c r="GD261" s="48"/>
      <c r="GE261" s="48"/>
      <c r="GF261" s="48"/>
      <c r="GG261" s="48"/>
      <c r="GH261" s="48"/>
      <c r="GI261" s="48"/>
      <c r="GJ261" s="48"/>
      <c r="GK261" s="48"/>
      <c r="GL261" s="48"/>
      <c r="GM261" s="48"/>
      <c r="GN261" s="48"/>
      <c r="GO261" s="48"/>
      <c r="GP261" s="48"/>
      <c r="GQ261" s="48"/>
      <c r="GR261" s="48"/>
      <c r="GS261" s="48"/>
      <c r="GT261" s="48"/>
      <c r="GU261" s="48"/>
      <c r="GV261" s="48"/>
      <c r="GW261" s="48"/>
      <c r="GX261" s="48"/>
      <c r="GY261" s="48"/>
      <c r="GZ261" s="48"/>
      <c r="HA261" s="48"/>
      <c r="HB261" s="48"/>
    </row>
    <row r="262" spans="1:210" ht="15.75" customHeight="1">
      <c r="A262" s="5"/>
      <c r="B262" s="5"/>
      <c r="C262" s="5"/>
      <c r="D262" s="5"/>
      <c r="E262" s="5"/>
      <c r="F262" s="5"/>
      <c r="G262" s="49"/>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48"/>
      <c r="CQ262" s="48"/>
      <c r="CR262" s="48"/>
      <c r="CS262" s="48"/>
      <c r="CT262" s="48"/>
      <c r="CU262" s="48"/>
      <c r="CV262" s="48"/>
      <c r="CW262" s="48"/>
      <c r="CX262" s="48"/>
      <c r="CY262" s="48"/>
      <c r="CZ262" s="48"/>
      <c r="DA262" s="48"/>
      <c r="DB262" s="48"/>
      <c r="DC262" s="48"/>
      <c r="DD262" s="48"/>
      <c r="DE262" s="48"/>
      <c r="DF262" s="48"/>
      <c r="DG262" s="48"/>
      <c r="DH262" s="48"/>
      <c r="DI262" s="48"/>
      <c r="DJ262" s="48"/>
      <c r="DK262" s="48"/>
      <c r="DL262" s="48"/>
      <c r="DM262" s="48"/>
      <c r="DN262" s="48"/>
      <c r="DO262" s="48"/>
      <c r="DP262" s="48"/>
      <c r="DQ262" s="48"/>
      <c r="DR262" s="48"/>
      <c r="DS262" s="48"/>
      <c r="DT262" s="48"/>
      <c r="DU262" s="48"/>
      <c r="DV262" s="48"/>
      <c r="DW262" s="48"/>
      <c r="DX262" s="48"/>
      <c r="DY262" s="48"/>
      <c r="DZ262" s="48"/>
      <c r="EA262" s="48"/>
      <c r="EB262" s="48"/>
      <c r="EC262" s="48"/>
      <c r="ED262" s="48"/>
      <c r="EE262" s="48"/>
      <c r="EF262" s="48"/>
      <c r="EG262" s="48"/>
      <c r="EH262" s="48"/>
      <c r="EI262" s="48"/>
      <c r="EJ262" s="48"/>
      <c r="EK262" s="48"/>
      <c r="EL262" s="48"/>
      <c r="EM262" s="48"/>
      <c r="EN262" s="48"/>
      <c r="EO262" s="48"/>
      <c r="EP262" s="48"/>
      <c r="EQ262" s="48"/>
      <c r="ER262" s="48"/>
      <c r="ES262" s="48"/>
      <c r="ET262" s="48"/>
      <c r="EU262" s="48"/>
      <c r="EV262" s="48"/>
      <c r="EW262" s="48"/>
      <c r="EX262" s="48"/>
      <c r="EY262" s="48"/>
      <c r="EZ262" s="48"/>
      <c r="FA262" s="48"/>
      <c r="FB262" s="48"/>
      <c r="FC262" s="48"/>
      <c r="FD262" s="48"/>
      <c r="FE262" s="48"/>
      <c r="FF262" s="48"/>
      <c r="FG262" s="48"/>
      <c r="FH262" s="48"/>
      <c r="FI262" s="48"/>
      <c r="FJ262" s="48"/>
      <c r="FK262" s="48"/>
      <c r="FL262" s="48"/>
      <c r="FM262" s="48"/>
      <c r="FN262" s="48"/>
      <c r="FO262" s="48"/>
      <c r="FP262" s="48"/>
      <c r="FQ262" s="48"/>
      <c r="FR262" s="48"/>
      <c r="FS262" s="48"/>
      <c r="FT262" s="48"/>
      <c r="FU262" s="48"/>
      <c r="FV262" s="48"/>
      <c r="FW262" s="48"/>
      <c r="FX262" s="48"/>
      <c r="FY262" s="48"/>
      <c r="FZ262" s="48"/>
      <c r="GA262" s="48"/>
      <c r="GB262" s="48"/>
      <c r="GC262" s="48"/>
      <c r="GD262" s="48"/>
      <c r="GE262" s="48"/>
      <c r="GF262" s="48"/>
      <c r="GG262" s="48"/>
      <c r="GH262" s="48"/>
      <c r="GI262" s="48"/>
      <c r="GJ262" s="48"/>
      <c r="GK262" s="48"/>
      <c r="GL262" s="48"/>
      <c r="GM262" s="48"/>
      <c r="GN262" s="48"/>
      <c r="GO262" s="48"/>
      <c r="GP262" s="48"/>
      <c r="GQ262" s="48"/>
      <c r="GR262" s="48"/>
      <c r="GS262" s="48"/>
      <c r="GT262" s="48"/>
      <c r="GU262" s="48"/>
      <c r="GV262" s="48"/>
      <c r="GW262" s="48"/>
      <c r="GX262" s="48"/>
      <c r="GY262" s="48"/>
      <c r="GZ262" s="48"/>
      <c r="HA262" s="48"/>
      <c r="HB262" s="48"/>
    </row>
    <row r="263" spans="1:210" ht="15.75" customHeight="1">
      <c r="A263" s="5"/>
      <c r="B263" s="5"/>
      <c r="C263" s="5"/>
      <c r="D263" s="5"/>
      <c r="E263" s="5"/>
      <c r="F263" s="5"/>
      <c r="G263" s="49"/>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48"/>
      <c r="CQ263" s="48"/>
      <c r="CR263" s="48"/>
      <c r="CS263" s="48"/>
      <c r="CT263" s="48"/>
      <c r="CU263" s="48"/>
      <c r="CV263" s="48"/>
      <c r="CW263" s="48"/>
      <c r="CX263" s="48"/>
      <c r="CY263" s="48"/>
      <c r="CZ263" s="48"/>
      <c r="DA263" s="48"/>
      <c r="DB263" s="48"/>
      <c r="DC263" s="48"/>
      <c r="DD263" s="48"/>
      <c r="DE263" s="48"/>
      <c r="DF263" s="48"/>
      <c r="DG263" s="48"/>
      <c r="DH263" s="48"/>
      <c r="DI263" s="48"/>
      <c r="DJ263" s="48"/>
      <c r="DK263" s="48"/>
      <c r="DL263" s="48"/>
      <c r="DM263" s="48"/>
      <c r="DN263" s="48"/>
      <c r="DO263" s="48"/>
      <c r="DP263" s="48"/>
      <c r="DQ263" s="48"/>
      <c r="DR263" s="48"/>
      <c r="DS263" s="48"/>
      <c r="DT263" s="48"/>
      <c r="DU263" s="48"/>
      <c r="DV263" s="48"/>
      <c r="DW263" s="48"/>
      <c r="DX263" s="48"/>
      <c r="DY263" s="48"/>
      <c r="DZ263" s="48"/>
      <c r="EA263" s="48"/>
      <c r="EB263" s="48"/>
      <c r="EC263" s="48"/>
      <c r="ED263" s="48"/>
      <c r="EE263" s="48"/>
      <c r="EF263" s="48"/>
      <c r="EG263" s="48"/>
      <c r="EH263" s="48"/>
      <c r="EI263" s="48"/>
      <c r="EJ263" s="48"/>
      <c r="EK263" s="48"/>
      <c r="EL263" s="48"/>
      <c r="EM263" s="48"/>
      <c r="EN263" s="48"/>
      <c r="EO263" s="48"/>
      <c r="EP263" s="48"/>
      <c r="EQ263" s="48"/>
      <c r="ER263" s="48"/>
      <c r="ES263" s="48"/>
      <c r="ET263" s="48"/>
      <c r="EU263" s="48"/>
      <c r="EV263" s="48"/>
      <c r="EW263" s="48"/>
      <c r="EX263" s="48"/>
      <c r="EY263" s="48"/>
      <c r="EZ263" s="48"/>
      <c r="FA263" s="48"/>
      <c r="FB263" s="48"/>
      <c r="FC263" s="48"/>
      <c r="FD263" s="48"/>
      <c r="FE263" s="48"/>
      <c r="FF263" s="48"/>
      <c r="FG263" s="48"/>
      <c r="FH263" s="48"/>
      <c r="FI263" s="48"/>
      <c r="FJ263" s="48"/>
      <c r="FK263" s="48"/>
      <c r="FL263" s="48"/>
      <c r="FM263" s="48"/>
      <c r="FN263" s="48"/>
      <c r="FO263" s="48"/>
      <c r="FP263" s="48"/>
      <c r="FQ263" s="48"/>
      <c r="FR263" s="48"/>
      <c r="FS263" s="48"/>
      <c r="FT263" s="48"/>
      <c r="FU263" s="48"/>
      <c r="FV263" s="48"/>
      <c r="FW263" s="48"/>
      <c r="FX263" s="48"/>
      <c r="FY263" s="48"/>
      <c r="FZ263" s="48"/>
      <c r="GA263" s="48"/>
      <c r="GB263" s="48"/>
      <c r="GC263" s="48"/>
      <c r="GD263" s="48"/>
      <c r="GE263" s="48"/>
      <c r="GF263" s="48"/>
      <c r="GG263" s="48"/>
      <c r="GH263" s="48"/>
      <c r="GI263" s="48"/>
      <c r="GJ263" s="48"/>
      <c r="GK263" s="48"/>
      <c r="GL263" s="48"/>
      <c r="GM263" s="48"/>
      <c r="GN263" s="48"/>
      <c r="GO263" s="48"/>
      <c r="GP263" s="48"/>
      <c r="GQ263" s="48"/>
      <c r="GR263" s="48"/>
      <c r="GS263" s="48"/>
      <c r="GT263" s="48"/>
      <c r="GU263" s="48"/>
      <c r="GV263" s="48"/>
      <c r="GW263" s="48"/>
      <c r="GX263" s="48"/>
      <c r="GY263" s="48"/>
      <c r="GZ263" s="48"/>
      <c r="HA263" s="48"/>
      <c r="HB263" s="48"/>
    </row>
    <row r="264" spans="1:210" ht="15.75" customHeight="1">
      <c r="A264" s="5"/>
      <c r="B264" s="5"/>
      <c r="C264" s="5"/>
      <c r="D264" s="5"/>
      <c r="E264" s="5"/>
      <c r="F264" s="5"/>
      <c r="G264" s="49"/>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48"/>
      <c r="CQ264" s="48"/>
      <c r="CR264" s="48"/>
      <c r="CS264" s="48"/>
      <c r="CT264" s="48"/>
      <c r="CU264" s="48"/>
      <c r="CV264" s="48"/>
      <c r="CW264" s="48"/>
      <c r="CX264" s="48"/>
      <c r="CY264" s="48"/>
      <c r="CZ264" s="48"/>
      <c r="DA264" s="48"/>
      <c r="DB264" s="48"/>
      <c r="DC264" s="48"/>
      <c r="DD264" s="48"/>
      <c r="DE264" s="48"/>
      <c r="DF264" s="48"/>
      <c r="DG264" s="48"/>
      <c r="DH264" s="48"/>
      <c r="DI264" s="48"/>
      <c r="DJ264" s="48"/>
      <c r="DK264" s="48"/>
      <c r="DL264" s="48"/>
      <c r="DM264" s="48"/>
      <c r="DN264" s="48"/>
      <c r="DO264" s="48"/>
      <c r="DP264" s="48"/>
      <c r="DQ264" s="48"/>
      <c r="DR264" s="48"/>
      <c r="DS264" s="48"/>
      <c r="DT264" s="48"/>
      <c r="DU264" s="48"/>
      <c r="DV264" s="48"/>
      <c r="DW264" s="48"/>
      <c r="DX264" s="48"/>
      <c r="DY264" s="48"/>
      <c r="DZ264" s="48"/>
      <c r="EA264" s="48"/>
      <c r="EB264" s="48"/>
      <c r="EC264" s="48"/>
      <c r="ED264" s="48"/>
      <c r="EE264" s="48"/>
      <c r="EF264" s="48"/>
      <c r="EG264" s="48"/>
      <c r="EH264" s="48"/>
      <c r="EI264" s="48"/>
      <c r="EJ264" s="48"/>
      <c r="EK264" s="48"/>
      <c r="EL264" s="48"/>
      <c r="EM264" s="48"/>
      <c r="EN264" s="48"/>
      <c r="EO264" s="48"/>
      <c r="EP264" s="48"/>
      <c r="EQ264" s="48"/>
      <c r="ER264" s="48"/>
      <c r="ES264" s="48"/>
      <c r="ET264" s="48"/>
      <c r="EU264" s="48"/>
      <c r="EV264" s="48"/>
      <c r="EW264" s="48"/>
      <c r="EX264" s="48"/>
      <c r="EY264" s="48"/>
      <c r="EZ264" s="48"/>
      <c r="FA264" s="48"/>
      <c r="FB264" s="48"/>
      <c r="FC264" s="48"/>
      <c r="FD264" s="48"/>
      <c r="FE264" s="48"/>
      <c r="FF264" s="48"/>
      <c r="FG264" s="48"/>
      <c r="FH264" s="48"/>
      <c r="FI264" s="48"/>
      <c r="FJ264" s="48"/>
      <c r="FK264" s="48"/>
      <c r="FL264" s="48"/>
      <c r="FM264" s="48"/>
      <c r="FN264" s="48"/>
      <c r="FO264" s="48"/>
      <c r="FP264" s="48"/>
      <c r="FQ264" s="48"/>
      <c r="FR264" s="48"/>
      <c r="FS264" s="48"/>
      <c r="FT264" s="48"/>
      <c r="FU264" s="48"/>
      <c r="FV264" s="48"/>
      <c r="FW264" s="48"/>
      <c r="FX264" s="48"/>
      <c r="FY264" s="48"/>
      <c r="FZ264" s="48"/>
      <c r="GA264" s="48"/>
      <c r="GB264" s="48"/>
      <c r="GC264" s="48"/>
      <c r="GD264" s="48"/>
      <c r="GE264" s="48"/>
      <c r="GF264" s="48"/>
      <c r="GG264" s="48"/>
      <c r="GH264" s="48"/>
      <c r="GI264" s="48"/>
      <c r="GJ264" s="48"/>
      <c r="GK264" s="48"/>
      <c r="GL264" s="48"/>
      <c r="GM264" s="48"/>
      <c r="GN264" s="48"/>
      <c r="GO264" s="48"/>
      <c r="GP264" s="48"/>
      <c r="GQ264" s="48"/>
      <c r="GR264" s="48"/>
      <c r="GS264" s="48"/>
      <c r="GT264" s="48"/>
      <c r="GU264" s="48"/>
      <c r="GV264" s="48"/>
      <c r="GW264" s="48"/>
      <c r="GX264" s="48"/>
      <c r="GY264" s="48"/>
      <c r="GZ264" s="48"/>
      <c r="HA264" s="48"/>
      <c r="HB264" s="48"/>
    </row>
    <row r="265" spans="1:210" ht="15.75" customHeight="1">
      <c r="A265" s="5"/>
      <c r="B265" s="5"/>
      <c r="C265" s="5"/>
      <c r="D265" s="5"/>
      <c r="E265" s="5"/>
      <c r="F265" s="5"/>
      <c r="G265" s="49"/>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48"/>
      <c r="CQ265" s="48"/>
      <c r="CR265" s="48"/>
      <c r="CS265" s="48"/>
      <c r="CT265" s="48"/>
      <c r="CU265" s="48"/>
      <c r="CV265" s="48"/>
      <c r="CW265" s="48"/>
      <c r="CX265" s="48"/>
      <c r="CY265" s="48"/>
      <c r="CZ265" s="48"/>
      <c r="DA265" s="48"/>
      <c r="DB265" s="48"/>
      <c r="DC265" s="48"/>
      <c r="DD265" s="48"/>
      <c r="DE265" s="48"/>
      <c r="DF265" s="48"/>
      <c r="DG265" s="48"/>
      <c r="DH265" s="48"/>
      <c r="DI265" s="48"/>
      <c r="DJ265" s="48"/>
      <c r="DK265" s="48"/>
      <c r="DL265" s="48"/>
      <c r="DM265" s="48"/>
      <c r="DN265" s="48"/>
      <c r="DO265" s="48"/>
      <c r="DP265" s="48"/>
      <c r="DQ265" s="48"/>
      <c r="DR265" s="48"/>
      <c r="DS265" s="48"/>
      <c r="DT265" s="48"/>
      <c r="DU265" s="48"/>
      <c r="DV265" s="48"/>
      <c r="DW265" s="48"/>
      <c r="DX265" s="48"/>
      <c r="DY265" s="48"/>
      <c r="DZ265" s="48"/>
      <c r="EA265" s="48"/>
      <c r="EB265" s="48"/>
      <c r="EC265" s="48"/>
      <c r="ED265" s="48"/>
      <c r="EE265" s="48"/>
      <c r="EF265" s="48"/>
      <c r="EG265" s="48"/>
      <c r="EH265" s="48"/>
      <c r="EI265" s="48"/>
      <c r="EJ265" s="48"/>
      <c r="EK265" s="48"/>
      <c r="EL265" s="48"/>
      <c r="EM265" s="48"/>
      <c r="EN265" s="48"/>
      <c r="EO265" s="48"/>
      <c r="EP265" s="48"/>
      <c r="EQ265" s="48"/>
      <c r="ER265" s="48"/>
      <c r="ES265" s="48"/>
      <c r="ET265" s="48"/>
      <c r="EU265" s="48"/>
      <c r="EV265" s="48"/>
      <c r="EW265" s="48"/>
      <c r="EX265" s="48"/>
      <c r="EY265" s="48"/>
      <c r="EZ265" s="48"/>
      <c r="FA265" s="48"/>
      <c r="FB265" s="48"/>
      <c r="FC265" s="48"/>
      <c r="FD265" s="48"/>
      <c r="FE265" s="48"/>
      <c r="FF265" s="48"/>
      <c r="FG265" s="48"/>
      <c r="FH265" s="48"/>
      <c r="FI265" s="48"/>
      <c r="FJ265" s="48"/>
      <c r="FK265" s="48"/>
      <c r="FL265" s="48"/>
      <c r="FM265" s="48"/>
      <c r="FN265" s="48"/>
      <c r="FO265" s="48"/>
      <c r="FP265" s="48"/>
      <c r="FQ265" s="48"/>
      <c r="FR265" s="48"/>
      <c r="FS265" s="48"/>
      <c r="FT265" s="48"/>
      <c r="FU265" s="48"/>
      <c r="FV265" s="48"/>
      <c r="FW265" s="48"/>
      <c r="FX265" s="48"/>
      <c r="FY265" s="48"/>
      <c r="FZ265" s="48"/>
      <c r="GA265" s="48"/>
      <c r="GB265" s="48"/>
      <c r="GC265" s="48"/>
      <c r="GD265" s="48"/>
      <c r="GE265" s="48"/>
      <c r="GF265" s="48"/>
      <c r="GG265" s="48"/>
      <c r="GH265" s="48"/>
      <c r="GI265" s="48"/>
      <c r="GJ265" s="48"/>
      <c r="GK265" s="48"/>
      <c r="GL265" s="48"/>
      <c r="GM265" s="48"/>
      <c r="GN265" s="48"/>
      <c r="GO265" s="48"/>
      <c r="GP265" s="48"/>
      <c r="GQ265" s="48"/>
      <c r="GR265" s="48"/>
      <c r="GS265" s="48"/>
      <c r="GT265" s="48"/>
      <c r="GU265" s="48"/>
      <c r="GV265" s="48"/>
      <c r="GW265" s="48"/>
      <c r="GX265" s="48"/>
      <c r="GY265" s="48"/>
      <c r="GZ265" s="48"/>
      <c r="HA265" s="48"/>
      <c r="HB265" s="48"/>
    </row>
    <row r="266" spans="1:210" ht="15.75" customHeight="1">
      <c r="A266" s="5"/>
      <c r="B266" s="5"/>
      <c r="C266" s="5"/>
      <c r="D266" s="5"/>
      <c r="E266" s="5"/>
      <c r="F266" s="5"/>
      <c r="G266" s="49"/>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48"/>
      <c r="CQ266" s="48"/>
      <c r="CR266" s="48"/>
      <c r="CS266" s="48"/>
      <c r="CT266" s="48"/>
      <c r="CU266" s="48"/>
      <c r="CV266" s="48"/>
      <c r="CW266" s="48"/>
      <c r="CX266" s="48"/>
      <c r="CY266" s="48"/>
      <c r="CZ266" s="48"/>
      <c r="DA266" s="48"/>
      <c r="DB266" s="48"/>
      <c r="DC266" s="48"/>
      <c r="DD266" s="48"/>
      <c r="DE266" s="48"/>
      <c r="DF266" s="48"/>
      <c r="DG266" s="48"/>
      <c r="DH266" s="48"/>
      <c r="DI266" s="48"/>
      <c r="DJ266" s="48"/>
      <c r="DK266" s="48"/>
      <c r="DL266" s="48"/>
      <c r="DM266" s="48"/>
      <c r="DN266" s="48"/>
      <c r="DO266" s="48"/>
      <c r="DP266" s="48"/>
      <c r="DQ266" s="48"/>
      <c r="DR266" s="48"/>
      <c r="DS266" s="48"/>
      <c r="DT266" s="48"/>
      <c r="DU266" s="48"/>
      <c r="DV266" s="48"/>
      <c r="DW266" s="48"/>
      <c r="DX266" s="48"/>
      <c r="DY266" s="48"/>
      <c r="DZ266" s="48"/>
      <c r="EA266" s="48"/>
      <c r="EB266" s="48"/>
      <c r="EC266" s="48"/>
      <c r="ED266" s="48"/>
      <c r="EE266" s="48"/>
      <c r="EF266" s="48"/>
      <c r="EG266" s="48"/>
      <c r="EH266" s="48"/>
      <c r="EI266" s="48"/>
      <c r="EJ266" s="48"/>
      <c r="EK266" s="48"/>
      <c r="EL266" s="48"/>
      <c r="EM266" s="48"/>
      <c r="EN266" s="48"/>
      <c r="EO266" s="48"/>
      <c r="EP266" s="48"/>
      <c r="EQ266" s="48"/>
      <c r="ER266" s="48"/>
      <c r="ES266" s="48"/>
      <c r="ET266" s="48"/>
      <c r="EU266" s="48"/>
      <c r="EV266" s="48"/>
      <c r="EW266" s="48"/>
      <c r="EX266" s="48"/>
      <c r="EY266" s="48"/>
      <c r="EZ266" s="48"/>
      <c r="FA266" s="48"/>
      <c r="FB266" s="48"/>
      <c r="FC266" s="48"/>
      <c r="FD266" s="48"/>
      <c r="FE266" s="48"/>
      <c r="FF266" s="48"/>
      <c r="FG266" s="48"/>
      <c r="FH266" s="48"/>
      <c r="FI266" s="48"/>
      <c r="FJ266" s="48"/>
      <c r="FK266" s="48"/>
      <c r="FL266" s="48"/>
      <c r="FM266" s="48"/>
      <c r="FN266" s="48"/>
      <c r="FO266" s="48"/>
      <c r="FP266" s="48"/>
      <c r="FQ266" s="48"/>
      <c r="FR266" s="48"/>
      <c r="FS266" s="48"/>
      <c r="FT266" s="48"/>
      <c r="FU266" s="48"/>
      <c r="FV266" s="48"/>
      <c r="FW266" s="48"/>
      <c r="FX266" s="48"/>
      <c r="FY266" s="48"/>
      <c r="FZ266" s="48"/>
      <c r="GA266" s="48"/>
      <c r="GB266" s="48"/>
      <c r="GC266" s="48"/>
      <c r="GD266" s="48"/>
      <c r="GE266" s="48"/>
      <c r="GF266" s="48"/>
      <c r="GG266" s="48"/>
      <c r="GH266" s="48"/>
      <c r="GI266" s="48"/>
      <c r="GJ266" s="48"/>
      <c r="GK266" s="48"/>
      <c r="GL266" s="48"/>
      <c r="GM266" s="48"/>
      <c r="GN266" s="48"/>
      <c r="GO266" s="48"/>
      <c r="GP266" s="48"/>
      <c r="GQ266" s="48"/>
      <c r="GR266" s="48"/>
      <c r="GS266" s="48"/>
      <c r="GT266" s="48"/>
      <c r="GU266" s="48"/>
      <c r="GV266" s="48"/>
      <c r="GW266" s="48"/>
      <c r="GX266" s="48"/>
      <c r="GY266" s="48"/>
      <c r="GZ266" s="48"/>
      <c r="HA266" s="48"/>
      <c r="HB266" s="48"/>
    </row>
    <row r="267" spans="1:210" ht="15.75" customHeight="1">
      <c r="A267" s="5"/>
      <c r="B267" s="5"/>
      <c r="C267" s="5"/>
      <c r="D267" s="5"/>
      <c r="E267" s="5"/>
      <c r="F267" s="5"/>
      <c r="G267" s="49"/>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48"/>
      <c r="CQ267" s="48"/>
      <c r="CR267" s="48"/>
      <c r="CS267" s="48"/>
      <c r="CT267" s="48"/>
      <c r="CU267" s="48"/>
      <c r="CV267" s="48"/>
      <c r="CW267" s="48"/>
      <c r="CX267" s="48"/>
      <c r="CY267" s="48"/>
      <c r="CZ267" s="48"/>
      <c r="DA267" s="48"/>
      <c r="DB267" s="48"/>
      <c r="DC267" s="48"/>
      <c r="DD267" s="48"/>
      <c r="DE267" s="48"/>
      <c r="DF267" s="48"/>
      <c r="DG267" s="48"/>
      <c r="DH267" s="48"/>
      <c r="DI267" s="48"/>
      <c r="DJ267" s="48"/>
      <c r="DK267" s="48"/>
      <c r="DL267" s="48"/>
      <c r="DM267" s="48"/>
      <c r="DN267" s="48"/>
      <c r="DO267" s="48"/>
      <c r="DP267" s="48"/>
      <c r="DQ267" s="48"/>
      <c r="DR267" s="48"/>
      <c r="DS267" s="48"/>
      <c r="DT267" s="48"/>
      <c r="DU267" s="48"/>
      <c r="DV267" s="48"/>
      <c r="DW267" s="48"/>
      <c r="DX267" s="48"/>
      <c r="DY267" s="48"/>
      <c r="DZ267" s="48"/>
      <c r="EA267" s="48"/>
      <c r="EB267" s="48"/>
      <c r="EC267" s="48"/>
      <c r="ED267" s="48"/>
      <c r="EE267" s="48"/>
      <c r="EF267" s="48"/>
      <c r="EG267" s="48"/>
      <c r="EH267" s="48"/>
      <c r="EI267" s="48"/>
      <c r="EJ267" s="48"/>
      <c r="EK267" s="48"/>
      <c r="EL267" s="48"/>
      <c r="EM267" s="48"/>
      <c r="EN267" s="48"/>
      <c r="EO267" s="48"/>
      <c r="EP267" s="48"/>
      <c r="EQ267" s="48"/>
      <c r="ER267" s="48"/>
      <c r="ES267" s="48"/>
      <c r="ET267" s="48"/>
      <c r="EU267" s="48"/>
      <c r="EV267" s="48"/>
      <c r="EW267" s="48"/>
      <c r="EX267" s="48"/>
      <c r="EY267" s="48"/>
      <c r="EZ267" s="48"/>
      <c r="FA267" s="48"/>
      <c r="FB267" s="48"/>
      <c r="FC267" s="48"/>
      <c r="FD267" s="48"/>
      <c r="FE267" s="48"/>
      <c r="FF267" s="48"/>
      <c r="FG267" s="48"/>
      <c r="FH267" s="48"/>
      <c r="FI267" s="48"/>
      <c r="FJ267" s="48"/>
      <c r="FK267" s="48"/>
      <c r="FL267" s="48"/>
      <c r="FM267" s="48"/>
      <c r="FN267" s="48"/>
      <c r="FO267" s="48"/>
      <c r="FP267" s="48"/>
      <c r="FQ267" s="48"/>
      <c r="FR267" s="48"/>
      <c r="FS267" s="48"/>
      <c r="FT267" s="48"/>
      <c r="FU267" s="48"/>
      <c r="FV267" s="48"/>
      <c r="FW267" s="48"/>
      <c r="FX267" s="48"/>
      <c r="FY267" s="48"/>
      <c r="FZ267" s="48"/>
      <c r="GA267" s="48"/>
      <c r="GB267" s="48"/>
      <c r="GC267" s="48"/>
      <c r="GD267" s="48"/>
      <c r="GE267" s="48"/>
      <c r="GF267" s="48"/>
      <c r="GG267" s="48"/>
      <c r="GH267" s="48"/>
      <c r="GI267" s="48"/>
      <c r="GJ267" s="48"/>
      <c r="GK267" s="48"/>
      <c r="GL267" s="48"/>
      <c r="GM267" s="48"/>
      <c r="GN267" s="48"/>
      <c r="GO267" s="48"/>
      <c r="GP267" s="48"/>
      <c r="GQ267" s="48"/>
      <c r="GR267" s="48"/>
      <c r="GS267" s="48"/>
      <c r="GT267" s="48"/>
      <c r="GU267" s="48"/>
      <c r="GV267" s="48"/>
      <c r="GW267" s="48"/>
      <c r="GX267" s="48"/>
      <c r="GY267" s="48"/>
      <c r="GZ267" s="48"/>
      <c r="HA267" s="48"/>
      <c r="HB267" s="48"/>
    </row>
    <row r="268" spans="1:210" ht="15.75" customHeight="1">
      <c r="A268" s="5"/>
      <c r="B268" s="5"/>
      <c r="C268" s="5"/>
      <c r="D268" s="5"/>
      <c r="E268" s="5"/>
      <c r="F268" s="5"/>
      <c r="G268" s="49"/>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48"/>
      <c r="CQ268" s="48"/>
      <c r="CR268" s="48"/>
      <c r="CS268" s="48"/>
      <c r="CT268" s="48"/>
      <c r="CU268" s="48"/>
      <c r="CV268" s="48"/>
      <c r="CW268" s="48"/>
      <c r="CX268" s="48"/>
      <c r="CY268" s="48"/>
      <c r="CZ268" s="48"/>
      <c r="DA268" s="48"/>
      <c r="DB268" s="48"/>
      <c r="DC268" s="48"/>
      <c r="DD268" s="48"/>
      <c r="DE268" s="48"/>
      <c r="DF268" s="48"/>
      <c r="DG268" s="48"/>
      <c r="DH268" s="48"/>
      <c r="DI268" s="48"/>
      <c r="DJ268" s="48"/>
      <c r="DK268" s="48"/>
      <c r="DL268" s="48"/>
      <c r="DM268" s="48"/>
      <c r="DN268" s="48"/>
      <c r="DO268" s="48"/>
      <c r="DP268" s="48"/>
      <c r="DQ268" s="48"/>
      <c r="DR268" s="48"/>
      <c r="DS268" s="48"/>
      <c r="DT268" s="48"/>
      <c r="DU268" s="48"/>
      <c r="DV268" s="48"/>
      <c r="DW268" s="48"/>
      <c r="DX268" s="48"/>
      <c r="DY268" s="48"/>
      <c r="DZ268" s="48"/>
      <c r="EA268" s="48"/>
      <c r="EB268" s="48"/>
      <c r="EC268" s="48"/>
      <c r="ED268" s="48"/>
      <c r="EE268" s="48"/>
      <c r="EF268" s="48"/>
      <c r="EG268" s="48"/>
      <c r="EH268" s="48"/>
      <c r="EI268" s="48"/>
      <c r="EJ268" s="48"/>
      <c r="EK268" s="48"/>
      <c r="EL268" s="48"/>
      <c r="EM268" s="48"/>
      <c r="EN268" s="48"/>
      <c r="EO268" s="48"/>
      <c r="EP268" s="48"/>
      <c r="EQ268" s="48"/>
      <c r="ER268" s="48"/>
      <c r="ES268" s="48"/>
      <c r="ET268" s="48"/>
      <c r="EU268" s="48"/>
      <c r="EV268" s="48"/>
      <c r="EW268" s="48"/>
      <c r="EX268" s="48"/>
      <c r="EY268" s="48"/>
      <c r="EZ268" s="48"/>
      <c r="FA268" s="48"/>
      <c r="FB268" s="48"/>
      <c r="FC268" s="48"/>
      <c r="FD268" s="48"/>
      <c r="FE268" s="48"/>
      <c r="FF268" s="48"/>
      <c r="FG268" s="48"/>
      <c r="FH268" s="48"/>
      <c r="FI268" s="48"/>
      <c r="FJ268" s="48"/>
      <c r="FK268" s="48"/>
      <c r="FL268" s="48"/>
      <c r="FM268" s="48"/>
      <c r="FN268" s="48"/>
      <c r="FO268" s="48"/>
      <c r="FP268" s="48"/>
      <c r="FQ268" s="48"/>
      <c r="FR268" s="48"/>
      <c r="FS268" s="48"/>
      <c r="FT268" s="48"/>
      <c r="FU268" s="48"/>
      <c r="FV268" s="48"/>
      <c r="FW268" s="48"/>
      <c r="FX268" s="48"/>
      <c r="FY268" s="48"/>
      <c r="FZ268" s="48"/>
      <c r="GA268" s="48"/>
      <c r="GB268" s="48"/>
      <c r="GC268" s="48"/>
      <c r="GD268" s="48"/>
      <c r="GE268" s="48"/>
      <c r="GF268" s="48"/>
      <c r="GG268" s="48"/>
      <c r="GH268" s="48"/>
      <c r="GI268" s="48"/>
      <c r="GJ268" s="48"/>
      <c r="GK268" s="48"/>
      <c r="GL268" s="48"/>
      <c r="GM268" s="48"/>
      <c r="GN268" s="48"/>
      <c r="GO268" s="48"/>
      <c r="GP268" s="48"/>
      <c r="GQ268" s="48"/>
      <c r="GR268" s="48"/>
      <c r="GS268" s="48"/>
      <c r="GT268" s="48"/>
      <c r="GU268" s="48"/>
      <c r="GV268" s="48"/>
      <c r="GW268" s="48"/>
      <c r="GX268" s="48"/>
      <c r="GY268" s="48"/>
      <c r="GZ268" s="48"/>
      <c r="HA268" s="48"/>
      <c r="HB268" s="48"/>
    </row>
    <row r="269" spans="1:210" ht="15.75" customHeight="1">
      <c r="A269" s="5"/>
      <c r="B269" s="5"/>
      <c r="C269" s="5"/>
      <c r="D269" s="5"/>
      <c r="E269" s="5"/>
      <c r="F269" s="5"/>
      <c r="G269" s="49"/>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48"/>
      <c r="CQ269" s="48"/>
      <c r="CR269" s="48"/>
      <c r="CS269" s="48"/>
      <c r="CT269" s="48"/>
      <c r="CU269" s="48"/>
      <c r="CV269" s="48"/>
      <c r="CW269" s="48"/>
      <c r="CX269" s="48"/>
      <c r="CY269" s="48"/>
      <c r="CZ269" s="48"/>
      <c r="DA269" s="48"/>
      <c r="DB269" s="48"/>
      <c r="DC269" s="48"/>
      <c r="DD269" s="48"/>
      <c r="DE269" s="48"/>
      <c r="DF269" s="48"/>
      <c r="DG269" s="48"/>
      <c r="DH269" s="48"/>
      <c r="DI269" s="48"/>
      <c r="DJ269" s="48"/>
      <c r="DK269" s="48"/>
      <c r="DL269" s="48"/>
      <c r="DM269" s="48"/>
      <c r="DN269" s="48"/>
      <c r="DO269" s="48"/>
      <c r="DP269" s="48"/>
      <c r="DQ269" s="48"/>
      <c r="DR269" s="48"/>
      <c r="DS269" s="48"/>
      <c r="DT269" s="48"/>
      <c r="DU269" s="48"/>
      <c r="DV269" s="48"/>
      <c r="DW269" s="48"/>
      <c r="DX269" s="48"/>
      <c r="DY269" s="48"/>
      <c r="DZ269" s="48"/>
      <c r="EA269" s="48"/>
      <c r="EB269" s="48"/>
      <c r="EC269" s="48"/>
      <c r="ED269" s="48"/>
      <c r="EE269" s="48"/>
      <c r="EF269" s="48"/>
      <c r="EG269" s="48"/>
      <c r="EH269" s="48"/>
      <c r="EI269" s="48"/>
      <c r="EJ269" s="48"/>
      <c r="EK269" s="48"/>
      <c r="EL269" s="48"/>
      <c r="EM269" s="48"/>
      <c r="EN269" s="48"/>
      <c r="EO269" s="48"/>
      <c r="EP269" s="48"/>
      <c r="EQ269" s="48"/>
      <c r="ER269" s="48"/>
      <c r="ES269" s="48"/>
      <c r="ET269" s="48"/>
      <c r="EU269" s="48"/>
      <c r="EV269" s="48"/>
      <c r="EW269" s="48"/>
      <c r="EX269" s="48"/>
      <c r="EY269" s="48"/>
      <c r="EZ269" s="48"/>
      <c r="FA269" s="48"/>
      <c r="FB269" s="48"/>
      <c r="FC269" s="48"/>
      <c r="FD269" s="48"/>
      <c r="FE269" s="48"/>
      <c r="FF269" s="48"/>
      <c r="FG269" s="48"/>
      <c r="FH269" s="48"/>
      <c r="FI269" s="48"/>
      <c r="FJ269" s="48"/>
      <c r="FK269" s="48"/>
      <c r="FL269" s="48"/>
      <c r="FM269" s="48"/>
      <c r="FN269" s="48"/>
      <c r="FO269" s="48"/>
      <c r="FP269" s="48"/>
      <c r="FQ269" s="48"/>
      <c r="FR269" s="48"/>
      <c r="FS269" s="48"/>
      <c r="FT269" s="48"/>
      <c r="FU269" s="48"/>
      <c r="FV269" s="48"/>
      <c r="FW269" s="48"/>
      <c r="FX269" s="48"/>
      <c r="FY269" s="48"/>
      <c r="FZ269" s="48"/>
      <c r="GA269" s="48"/>
      <c r="GB269" s="48"/>
      <c r="GC269" s="48"/>
      <c r="GD269" s="48"/>
      <c r="GE269" s="48"/>
      <c r="GF269" s="48"/>
      <c r="GG269" s="48"/>
      <c r="GH269" s="48"/>
      <c r="GI269" s="48"/>
      <c r="GJ269" s="48"/>
      <c r="GK269" s="48"/>
      <c r="GL269" s="48"/>
      <c r="GM269" s="48"/>
      <c r="GN269" s="48"/>
      <c r="GO269" s="48"/>
      <c r="GP269" s="48"/>
      <c r="GQ269" s="48"/>
      <c r="GR269" s="48"/>
      <c r="GS269" s="48"/>
      <c r="GT269" s="48"/>
      <c r="GU269" s="48"/>
      <c r="GV269" s="48"/>
      <c r="GW269" s="48"/>
      <c r="GX269" s="48"/>
      <c r="GY269" s="48"/>
      <c r="GZ269" s="48"/>
      <c r="HA269" s="48"/>
      <c r="HB269" s="48"/>
    </row>
    <row r="270" spans="1:210" ht="15.75" customHeight="1">
      <c r="A270" s="5"/>
      <c r="B270" s="5"/>
      <c r="C270" s="5"/>
      <c r="D270" s="5"/>
      <c r="E270" s="5"/>
      <c r="F270" s="5"/>
      <c r="G270" s="49"/>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48"/>
      <c r="CQ270" s="48"/>
      <c r="CR270" s="48"/>
      <c r="CS270" s="48"/>
      <c r="CT270" s="48"/>
      <c r="CU270" s="48"/>
      <c r="CV270" s="48"/>
      <c r="CW270" s="48"/>
      <c r="CX270" s="48"/>
      <c r="CY270" s="48"/>
      <c r="CZ270" s="48"/>
      <c r="DA270" s="48"/>
      <c r="DB270" s="48"/>
      <c r="DC270" s="48"/>
      <c r="DD270" s="48"/>
      <c r="DE270" s="48"/>
      <c r="DF270" s="48"/>
      <c r="DG270" s="48"/>
      <c r="DH270" s="48"/>
      <c r="DI270" s="48"/>
      <c r="DJ270" s="48"/>
      <c r="DK270" s="48"/>
      <c r="DL270" s="48"/>
      <c r="DM270" s="48"/>
      <c r="DN270" s="48"/>
      <c r="DO270" s="48"/>
      <c r="DP270" s="48"/>
      <c r="DQ270" s="48"/>
      <c r="DR270" s="48"/>
      <c r="DS270" s="48"/>
      <c r="DT270" s="48"/>
      <c r="DU270" s="48"/>
      <c r="DV270" s="48"/>
      <c r="DW270" s="48"/>
      <c r="DX270" s="48"/>
      <c r="DY270" s="48"/>
      <c r="DZ270" s="48"/>
      <c r="EA270" s="48"/>
      <c r="EB270" s="48"/>
      <c r="EC270" s="48"/>
      <c r="ED270" s="48"/>
      <c r="EE270" s="48"/>
      <c r="EF270" s="48"/>
      <c r="EG270" s="48"/>
      <c r="EH270" s="48"/>
      <c r="EI270" s="48"/>
      <c r="EJ270" s="48"/>
      <c r="EK270" s="48"/>
      <c r="EL270" s="48"/>
      <c r="EM270" s="48"/>
      <c r="EN270" s="48"/>
      <c r="EO270" s="48"/>
      <c r="EP270" s="48"/>
      <c r="EQ270" s="48"/>
      <c r="ER270" s="48"/>
      <c r="ES270" s="48"/>
      <c r="ET270" s="48"/>
      <c r="EU270" s="48"/>
      <c r="EV270" s="48"/>
      <c r="EW270" s="48"/>
      <c r="EX270" s="48"/>
      <c r="EY270" s="48"/>
      <c r="EZ270" s="48"/>
      <c r="FA270" s="48"/>
      <c r="FB270" s="48"/>
      <c r="FC270" s="48"/>
      <c r="FD270" s="48"/>
      <c r="FE270" s="48"/>
      <c r="FF270" s="48"/>
      <c r="FG270" s="48"/>
      <c r="FH270" s="48"/>
      <c r="FI270" s="48"/>
      <c r="FJ270" s="48"/>
      <c r="FK270" s="48"/>
      <c r="FL270" s="48"/>
      <c r="FM270" s="48"/>
      <c r="FN270" s="48"/>
      <c r="FO270" s="48"/>
      <c r="FP270" s="48"/>
      <c r="FQ270" s="48"/>
      <c r="FR270" s="48"/>
      <c r="FS270" s="48"/>
      <c r="FT270" s="48"/>
      <c r="FU270" s="48"/>
      <c r="FV270" s="48"/>
      <c r="FW270" s="48"/>
      <c r="FX270" s="48"/>
      <c r="FY270" s="48"/>
      <c r="FZ270" s="48"/>
      <c r="GA270" s="48"/>
      <c r="GB270" s="48"/>
      <c r="GC270" s="48"/>
      <c r="GD270" s="48"/>
      <c r="GE270" s="48"/>
      <c r="GF270" s="48"/>
      <c r="GG270" s="48"/>
      <c r="GH270" s="48"/>
      <c r="GI270" s="48"/>
      <c r="GJ270" s="48"/>
      <c r="GK270" s="48"/>
      <c r="GL270" s="48"/>
      <c r="GM270" s="48"/>
      <c r="GN270" s="48"/>
      <c r="GO270" s="48"/>
      <c r="GP270" s="48"/>
      <c r="GQ270" s="48"/>
      <c r="GR270" s="48"/>
      <c r="GS270" s="48"/>
      <c r="GT270" s="48"/>
      <c r="GU270" s="48"/>
      <c r="GV270" s="48"/>
      <c r="GW270" s="48"/>
      <c r="GX270" s="48"/>
      <c r="GY270" s="48"/>
      <c r="GZ270" s="48"/>
      <c r="HA270" s="48"/>
      <c r="HB270" s="48"/>
    </row>
    <row r="271" spans="1:210" ht="15.75" customHeight="1">
      <c r="A271" s="5"/>
      <c r="B271" s="5"/>
      <c r="C271" s="5"/>
      <c r="D271" s="5"/>
      <c r="E271" s="5"/>
      <c r="F271" s="5"/>
      <c r="G271" s="49"/>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48"/>
      <c r="CQ271" s="48"/>
      <c r="CR271" s="48"/>
      <c r="CS271" s="48"/>
      <c r="CT271" s="48"/>
      <c r="CU271" s="48"/>
      <c r="CV271" s="48"/>
      <c r="CW271" s="48"/>
      <c r="CX271" s="48"/>
      <c r="CY271" s="48"/>
      <c r="CZ271" s="48"/>
      <c r="DA271" s="48"/>
      <c r="DB271" s="48"/>
      <c r="DC271" s="48"/>
      <c r="DD271" s="48"/>
      <c r="DE271" s="48"/>
      <c r="DF271" s="48"/>
      <c r="DG271" s="48"/>
      <c r="DH271" s="48"/>
      <c r="DI271" s="48"/>
      <c r="DJ271" s="48"/>
      <c r="DK271" s="48"/>
      <c r="DL271" s="48"/>
      <c r="DM271" s="48"/>
      <c r="DN271" s="48"/>
      <c r="DO271" s="48"/>
      <c r="DP271" s="48"/>
      <c r="DQ271" s="48"/>
      <c r="DR271" s="48"/>
      <c r="DS271" s="48"/>
      <c r="DT271" s="48"/>
      <c r="DU271" s="48"/>
      <c r="DV271" s="48"/>
      <c r="DW271" s="48"/>
      <c r="DX271" s="48"/>
      <c r="DY271" s="48"/>
      <c r="DZ271" s="48"/>
      <c r="EA271" s="48"/>
      <c r="EB271" s="48"/>
      <c r="EC271" s="48"/>
      <c r="ED271" s="48"/>
      <c r="EE271" s="48"/>
      <c r="EF271" s="48"/>
      <c r="EG271" s="48"/>
      <c r="EH271" s="48"/>
      <c r="EI271" s="48"/>
      <c r="EJ271" s="48"/>
      <c r="EK271" s="48"/>
      <c r="EL271" s="48"/>
      <c r="EM271" s="48"/>
      <c r="EN271" s="48"/>
      <c r="EO271" s="48"/>
      <c r="EP271" s="48"/>
      <c r="EQ271" s="48"/>
      <c r="ER271" s="48"/>
      <c r="ES271" s="48"/>
      <c r="ET271" s="48"/>
      <c r="EU271" s="48"/>
      <c r="EV271" s="48"/>
      <c r="EW271" s="48"/>
      <c r="EX271" s="48"/>
      <c r="EY271" s="48"/>
      <c r="EZ271" s="48"/>
      <c r="FA271" s="48"/>
      <c r="FB271" s="48"/>
      <c r="FC271" s="48"/>
      <c r="FD271" s="48"/>
      <c r="FE271" s="48"/>
      <c r="FF271" s="48"/>
      <c r="FG271" s="48"/>
      <c r="FH271" s="48"/>
      <c r="FI271" s="48"/>
      <c r="FJ271" s="48"/>
      <c r="FK271" s="48"/>
      <c r="FL271" s="48"/>
      <c r="FM271" s="48"/>
      <c r="FN271" s="48"/>
      <c r="FO271" s="48"/>
      <c r="FP271" s="48"/>
      <c r="FQ271" s="48"/>
      <c r="FR271" s="48"/>
      <c r="FS271" s="48"/>
      <c r="FT271" s="48"/>
      <c r="FU271" s="48"/>
      <c r="FV271" s="48"/>
      <c r="FW271" s="48"/>
      <c r="FX271" s="48"/>
      <c r="FY271" s="48"/>
      <c r="FZ271" s="48"/>
      <c r="GA271" s="48"/>
      <c r="GB271" s="48"/>
      <c r="GC271" s="48"/>
      <c r="GD271" s="48"/>
      <c r="GE271" s="48"/>
      <c r="GF271" s="48"/>
      <c r="GG271" s="48"/>
      <c r="GH271" s="48"/>
      <c r="GI271" s="48"/>
      <c r="GJ271" s="48"/>
      <c r="GK271" s="48"/>
      <c r="GL271" s="48"/>
      <c r="GM271" s="48"/>
      <c r="GN271" s="48"/>
      <c r="GO271" s="48"/>
      <c r="GP271" s="48"/>
      <c r="GQ271" s="48"/>
      <c r="GR271" s="48"/>
      <c r="GS271" s="48"/>
      <c r="GT271" s="48"/>
      <c r="GU271" s="48"/>
      <c r="GV271" s="48"/>
      <c r="GW271" s="48"/>
      <c r="GX271" s="48"/>
      <c r="GY271" s="48"/>
      <c r="GZ271" s="48"/>
      <c r="HA271" s="48"/>
      <c r="HB271" s="48"/>
    </row>
    <row r="272" spans="1:210" ht="15.75" customHeight="1">
      <c r="A272" s="5"/>
      <c r="B272" s="5"/>
      <c r="C272" s="5"/>
      <c r="D272" s="5"/>
      <c r="E272" s="5"/>
      <c r="F272" s="5"/>
      <c r="G272" s="49"/>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48"/>
      <c r="CQ272" s="48"/>
      <c r="CR272" s="48"/>
      <c r="CS272" s="48"/>
      <c r="CT272" s="48"/>
      <c r="CU272" s="48"/>
      <c r="CV272" s="48"/>
      <c r="CW272" s="48"/>
      <c r="CX272" s="48"/>
      <c r="CY272" s="48"/>
      <c r="CZ272" s="48"/>
      <c r="DA272" s="48"/>
      <c r="DB272" s="48"/>
      <c r="DC272" s="48"/>
      <c r="DD272" s="48"/>
      <c r="DE272" s="48"/>
      <c r="DF272" s="48"/>
      <c r="DG272" s="48"/>
      <c r="DH272" s="48"/>
      <c r="DI272" s="48"/>
      <c r="DJ272" s="48"/>
      <c r="DK272" s="48"/>
      <c r="DL272" s="48"/>
      <c r="DM272" s="48"/>
      <c r="DN272" s="48"/>
      <c r="DO272" s="48"/>
      <c r="DP272" s="48"/>
      <c r="DQ272" s="48"/>
      <c r="DR272" s="48"/>
      <c r="DS272" s="48"/>
      <c r="DT272" s="48"/>
      <c r="DU272" s="48"/>
      <c r="DV272" s="48"/>
      <c r="DW272" s="48"/>
      <c r="DX272" s="48"/>
      <c r="DY272" s="48"/>
      <c r="DZ272" s="48"/>
      <c r="EA272" s="48"/>
      <c r="EB272" s="48"/>
      <c r="EC272" s="48"/>
      <c r="ED272" s="48"/>
      <c r="EE272" s="48"/>
      <c r="EF272" s="48"/>
      <c r="EG272" s="48"/>
      <c r="EH272" s="48"/>
      <c r="EI272" s="48"/>
      <c r="EJ272" s="48"/>
      <c r="EK272" s="48"/>
      <c r="EL272" s="48"/>
      <c r="EM272" s="48"/>
      <c r="EN272" s="48"/>
      <c r="EO272" s="48"/>
      <c r="EP272" s="48"/>
      <c r="EQ272" s="48"/>
      <c r="ER272" s="48"/>
      <c r="ES272" s="48"/>
      <c r="ET272" s="48"/>
      <c r="EU272" s="48"/>
      <c r="EV272" s="48"/>
      <c r="EW272" s="48"/>
      <c r="EX272" s="48"/>
      <c r="EY272" s="48"/>
      <c r="EZ272" s="48"/>
      <c r="FA272" s="48"/>
      <c r="FB272" s="48"/>
      <c r="FC272" s="48"/>
      <c r="FD272" s="48"/>
      <c r="FE272" s="48"/>
      <c r="FF272" s="48"/>
      <c r="FG272" s="48"/>
      <c r="FH272" s="48"/>
      <c r="FI272" s="48"/>
      <c r="FJ272" s="48"/>
      <c r="FK272" s="48"/>
      <c r="FL272" s="48"/>
      <c r="FM272" s="48"/>
      <c r="FN272" s="48"/>
      <c r="FO272" s="48"/>
      <c r="FP272" s="48"/>
      <c r="FQ272" s="48"/>
      <c r="FR272" s="48"/>
      <c r="FS272" s="48"/>
      <c r="FT272" s="48"/>
      <c r="FU272" s="48"/>
      <c r="FV272" s="48"/>
      <c r="FW272" s="48"/>
      <c r="FX272" s="48"/>
      <c r="FY272" s="48"/>
      <c r="FZ272" s="48"/>
      <c r="GA272" s="48"/>
      <c r="GB272" s="48"/>
      <c r="GC272" s="48"/>
      <c r="GD272" s="48"/>
      <c r="GE272" s="48"/>
      <c r="GF272" s="48"/>
      <c r="GG272" s="48"/>
      <c r="GH272" s="48"/>
      <c r="GI272" s="48"/>
      <c r="GJ272" s="48"/>
      <c r="GK272" s="48"/>
      <c r="GL272" s="48"/>
      <c r="GM272" s="48"/>
      <c r="GN272" s="48"/>
      <c r="GO272" s="48"/>
      <c r="GP272" s="48"/>
      <c r="GQ272" s="48"/>
      <c r="GR272" s="48"/>
      <c r="GS272" s="48"/>
      <c r="GT272" s="48"/>
      <c r="GU272" s="48"/>
      <c r="GV272" s="48"/>
      <c r="GW272" s="48"/>
      <c r="GX272" s="48"/>
      <c r="GY272" s="48"/>
      <c r="GZ272" s="48"/>
      <c r="HA272" s="48"/>
      <c r="HB272" s="48"/>
    </row>
    <row r="273" spans="1:210" ht="15.75" customHeight="1">
      <c r="A273" s="5"/>
      <c r="B273" s="5"/>
      <c r="C273" s="5"/>
      <c r="D273" s="5"/>
      <c r="E273" s="5"/>
      <c r="F273" s="5"/>
      <c r="G273" s="49"/>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48"/>
      <c r="CQ273" s="48"/>
      <c r="CR273" s="48"/>
      <c r="CS273" s="48"/>
      <c r="CT273" s="48"/>
      <c r="CU273" s="48"/>
      <c r="CV273" s="48"/>
      <c r="CW273" s="48"/>
      <c r="CX273" s="48"/>
      <c r="CY273" s="48"/>
      <c r="CZ273" s="48"/>
      <c r="DA273" s="48"/>
      <c r="DB273" s="48"/>
      <c r="DC273" s="48"/>
      <c r="DD273" s="48"/>
      <c r="DE273" s="48"/>
      <c r="DF273" s="48"/>
      <c r="DG273" s="48"/>
      <c r="DH273" s="48"/>
      <c r="DI273" s="48"/>
      <c r="DJ273" s="48"/>
      <c r="DK273" s="48"/>
      <c r="DL273" s="48"/>
      <c r="DM273" s="48"/>
      <c r="DN273" s="48"/>
      <c r="DO273" s="48"/>
      <c r="DP273" s="48"/>
      <c r="DQ273" s="48"/>
      <c r="DR273" s="48"/>
      <c r="DS273" s="48"/>
      <c r="DT273" s="48"/>
      <c r="DU273" s="48"/>
      <c r="DV273" s="48"/>
      <c r="DW273" s="48"/>
      <c r="DX273" s="48"/>
      <c r="DY273" s="48"/>
      <c r="DZ273" s="48"/>
      <c r="EA273" s="48"/>
      <c r="EB273" s="48"/>
      <c r="EC273" s="48"/>
      <c r="ED273" s="48"/>
      <c r="EE273" s="48"/>
      <c r="EF273" s="48"/>
      <c r="EG273" s="48"/>
      <c r="EH273" s="48"/>
      <c r="EI273" s="48"/>
      <c r="EJ273" s="48"/>
      <c r="EK273" s="48"/>
      <c r="EL273" s="48"/>
      <c r="EM273" s="48"/>
      <c r="EN273" s="48"/>
      <c r="EO273" s="48"/>
      <c r="EP273" s="48"/>
      <c r="EQ273" s="48"/>
      <c r="ER273" s="48"/>
      <c r="ES273" s="48"/>
      <c r="ET273" s="48"/>
      <c r="EU273" s="48"/>
      <c r="EV273" s="48"/>
      <c r="EW273" s="48"/>
      <c r="EX273" s="48"/>
      <c r="EY273" s="48"/>
      <c r="EZ273" s="48"/>
      <c r="FA273" s="48"/>
      <c r="FB273" s="48"/>
      <c r="FC273" s="48"/>
      <c r="FD273" s="48"/>
      <c r="FE273" s="48"/>
      <c r="FF273" s="48"/>
      <c r="FG273" s="48"/>
      <c r="FH273" s="48"/>
      <c r="FI273" s="48"/>
      <c r="FJ273" s="48"/>
      <c r="FK273" s="48"/>
      <c r="FL273" s="48"/>
      <c r="FM273" s="48"/>
      <c r="FN273" s="48"/>
      <c r="FO273" s="48"/>
      <c r="FP273" s="48"/>
      <c r="FQ273" s="48"/>
      <c r="FR273" s="48"/>
      <c r="FS273" s="48"/>
      <c r="FT273" s="48"/>
      <c r="FU273" s="48"/>
      <c r="FV273" s="48"/>
      <c r="FW273" s="48"/>
      <c r="FX273" s="48"/>
      <c r="FY273" s="48"/>
      <c r="FZ273" s="48"/>
      <c r="GA273" s="48"/>
      <c r="GB273" s="48"/>
      <c r="GC273" s="48"/>
      <c r="GD273" s="48"/>
      <c r="GE273" s="48"/>
      <c r="GF273" s="48"/>
      <c r="GG273" s="48"/>
      <c r="GH273" s="48"/>
      <c r="GI273" s="48"/>
      <c r="GJ273" s="48"/>
      <c r="GK273" s="48"/>
      <c r="GL273" s="48"/>
      <c r="GM273" s="48"/>
      <c r="GN273" s="48"/>
      <c r="GO273" s="48"/>
      <c r="GP273" s="48"/>
      <c r="GQ273" s="48"/>
      <c r="GR273" s="48"/>
      <c r="GS273" s="48"/>
      <c r="GT273" s="48"/>
      <c r="GU273" s="48"/>
      <c r="GV273" s="48"/>
      <c r="GW273" s="48"/>
      <c r="GX273" s="48"/>
      <c r="GY273" s="48"/>
      <c r="GZ273" s="48"/>
      <c r="HA273" s="48"/>
      <c r="HB273" s="48"/>
    </row>
    <row r="274" spans="1:210" ht="15.75" customHeight="1">
      <c r="A274" s="5"/>
      <c r="B274" s="5"/>
      <c r="C274" s="5"/>
      <c r="D274" s="5"/>
      <c r="E274" s="5"/>
      <c r="F274" s="5"/>
      <c r="G274" s="49"/>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48"/>
      <c r="CQ274" s="48"/>
      <c r="CR274" s="48"/>
      <c r="CS274" s="48"/>
      <c r="CT274" s="48"/>
      <c r="CU274" s="48"/>
      <c r="CV274" s="48"/>
      <c r="CW274" s="48"/>
      <c r="CX274" s="48"/>
      <c r="CY274" s="48"/>
      <c r="CZ274" s="48"/>
      <c r="DA274" s="48"/>
      <c r="DB274" s="48"/>
      <c r="DC274" s="48"/>
      <c r="DD274" s="48"/>
      <c r="DE274" s="48"/>
      <c r="DF274" s="48"/>
      <c r="DG274" s="48"/>
      <c r="DH274" s="48"/>
      <c r="DI274" s="48"/>
      <c r="DJ274" s="48"/>
      <c r="DK274" s="48"/>
      <c r="DL274" s="48"/>
      <c r="DM274" s="48"/>
      <c r="DN274" s="48"/>
      <c r="DO274" s="48"/>
      <c r="DP274" s="48"/>
      <c r="DQ274" s="48"/>
      <c r="DR274" s="48"/>
      <c r="DS274" s="48"/>
      <c r="DT274" s="48"/>
      <c r="DU274" s="48"/>
      <c r="DV274" s="48"/>
      <c r="DW274" s="48"/>
      <c r="DX274" s="48"/>
      <c r="DY274" s="48"/>
      <c r="DZ274" s="48"/>
      <c r="EA274" s="48"/>
      <c r="EB274" s="48"/>
      <c r="EC274" s="48"/>
      <c r="ED274" s="48"/>
      <c r="EE274" s="48"/>
      <c r="EF274" s="48"/>
      <c r="EG274" s="48"/>
      <c r="EH274" s="48"/>
      <c r="EI274" s="48"/>
      <c r="EJ274" s="48"/>
      <c r="EK274" s="48"/>
      <c r="EL274" s="48"/>
      <c r="EM274" s="48"/>
      <c r="EN274" s="48"/>
      <c r="EO274" s="48"/>
      <c r="EP274" s="48"/>
      <c r="EQ274" s="48"/>
      <c r="ER274" s="48"/>
      <c r="ES274" s="48"/>
      <c r="ET274" s="48"/>
      <c r="EU274" s="48"/>
      <c r="EV274" s="48"/>
      <c r="EW274" s="48"/>
      <c r="EX274" s="48"/>
      <c r="EY274" s="48"/>
      <c r="EZ274" s="48"/>
      <c r="FA274" s="48"/>
      <c r="FB274" s="48"/>
      <c r="FC274" s="48"/>
      <c r="FD274" s="48"/>
      <c r="FE274" s="48"/>
      <c r="FF274" s="48"/>
      <c r="FG274" s="48"/>
      <c r="FH274" s="48"/>
      <c r="FI274" s="48"/>
      <c r="FJ274" s="48"/>
      <c r="FK274" s="48"/>
      <c r="FL274" s="48"/>
      <c r="FM274" s="48"/>
      <c r="FN274" s="48"/>
      <c r="FO274" s="48"/>
      <c r="FP274" s="48"/>
      <c r="FQ274" s="48"/>
      <c r="FR274" s="48"/>
      <c r="FS274" s="48"/>
      <c r="FT274" s="48"/>
      <c r="FU274" s="48"/>
      <c r="FV274" s="48"/>
      <c r="FW274" s="48"/>
      <c r="FX274" s="48"/>
      <c r="FY274" s="48"/>
      <c r="FZ274" s="48"/>
      <c r="GA274" s="48"/>
      <c r="GB274" s="48"/>
      <c r="GC274" s="48"/>
      <c r="GD274" s="48"/>
      <c r="GE274" s="48"/>
      <c r="GF274" s="48"/>
      <c r="GG274" s="48"/>
      <c r="GH274" s="48"/>
      <c r="GI274" s="48"/>
      <c r="GJ274" s="48"/>
      <c r="GK274" s="48"/>
      <c r="GL274" s="48"/>
      <c r="GM274" s="48"/>
      <c r="GN274" s="48"/>
      <c r="GO274" s="48"/>
      <c r="GP274" s="48"/>
      <c r="GQ274" s="48"/>
      <c r="GR274" s="48"/>
      <c r="GS274" s="48"/>
      <c r="GT274" s="48"/>
      <c r="GU274" s="48"/>
      <c r="GV274" s="48"/>
      <c r="GW274" s="48"/>
      <c r="GX274" s="48"/>
      <c r="GY274" s="48"/>
      <c r="GZ274" s="48"/>
      <c r="HA274" s="48"/>
      <c r="HB274" s="48"/>
    </row>
    <row r="275" spans="1:210" ht="15.75" customHeight="1">
      <c r="A275" s="5"/>
      <c r="B275" s="5"/>
      <c r="C275" s="5"/>
      <c r="D275" s="5"/>
      <c r="E275" s="5"/>
      <c r="F275" s="5"/>
      <c r="G275" s="49"/>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48"/>
      <c r="CQ275" s="48"/>
      <c r="CR275" s="48"/>
      <c r="CS275" s="48"/>
      <c r="CT275" s="48"/>
      <c r="CU275" s="48"/>
      <c r="CV275" s="48"/>
      <c r="CW275" s="48"/>
      <c r="CX275" s="48"/>
      <c r="CY275" s="48"/>
      <c r="CZ275" s="48"/>
      <c r="DA275" s="48"/>
      <c r="DB275" s="48"/>
      <c r="DC275" s="48"/>
      <c r="DD275" s="48"/>
      <c r="DE275" s="48"/>
      <c r="DF275" s="48"/>
      <c r="DG275" s="48"/>
      <c r="DH275" s="48"/>
      <c r="DI275" s="48"/>
      <c r="DJ275" s="48"/>
      <c r="DK275" s="48"/>
      <c r="DL275" s="48"/>
      <c r="DM275" s="48"/>
      <c r="DN275" s="48"/>
      <c r="DO275" s="48"/>
      <c r="DP275" s="48"/>
      <c r="DQ275" s="48"/>
      <c r="DR275" s="48"/>
      <c r="DS275" s="48"/>
      <c r="DT275" s="48"/>
      <c r="DU275" s="48"/>
      <c r="DV275" s="48"/>
      <c r="DW275" s="48"/>
      <c r="DX275" s="48"/>
      <c r="DY275" s="48"/>
      <c r="DZ275" s="48"/>
      <c r="EA275" s="48"/>
      <c r="EB275" s="48"/>
      <c r="EC275" s="48"/>
      <c r="ED275" s="48"/>
      <c r="EE275" s="48"/>
      <c r="EF275" s="48"/>
      <c r="EG275" s="48"/>
      <c r="EH275" s="48"/>
      <c r="EI275" s="48"/>
      <c r="EJ275" s="48"/>
      <c r="EK275" s="48"/>
      <c r="EL275" s="48"/>
      <c r="EM275" s="48"/>
      <c r="EN275" s="48"/>
      <c r="EO275" s="48"/>
      <c r="EP275" s="48"/>
      <c r="EQ275" s="48"/>
      <c r="ER275" s="48"/>
      <c r="ES275" s="48"/>
      <c r="ET275" s="48"/>
      <c r="EU275" s="48"/>
      <c r="EV275" s="48"/>
      <c r="EW275" s="48"/>
      <c r="EX275" s="48"/>
      <c r="EY275" s="48"/>
      <c r="EZ275" s="48"/>
      <c r="FA275" s="48"/>
      <c r="FB275" s="48"/>
      <c r="FC275" s="48"/>
      <c r="FD275" s="48"/>
      <c r="FE275" s="48"/>
      <c r="FF275" s="48"/>
      <c r="FG275" s="48"/>
      <c r="FH275" s="48"/>
      <c r="FI275" s="48"/>
      <c r="FJ275" s="48"/>
      <c r="FK275" s="48"/>
      <c r="FL275" s="48"/>
      <c r="FM275" s="48"/>
      <c r="FN275" s="48"/>
      <c r="FO275" s="48"/>
      <c r="FP275" s="48"/>
      <c r="FQ275" s="48"/>
      <c r="FR275" s="48"/>
      <c r="FS275" s="48"/>
      <c r="FT275" s="48"/>
      <c r="FU275" s="48"/>
      <c r="FV275" s="48"/>
      <c r="FW275" s="48"/>
      <c r="FX275" s="48"/>
      <c r="FY275" s="48"/>
      <c r="FZ275" s="48"/>
      <c r="GA275" s="48"/>
      <c r="GB275" s="48"/>
      <c r="GC275" s="48"/>
      <c r="GD275" s="48"/>
      <c r="GE275" s="48"/>
      <c r="GF275" s="48"/>
      <c r="GG275" s="48"/>
      <c r="GH275" s="48"/>
      <c r="GI275" s="48"/>
      <c r="GJ275" s="48"/>
      <c r="GK275" s="48"/>
      <c r="GL275" s="48"/>
      <c r="GM275" s="48"/>
      <c r="GN275" s="48"/>
      <c r="GO275" s="48"/>
      <c r="GP275" s="48"/>
      <c r="GQ275" s="48"/>
      <c r="GR275" s="48"/>
      <c r="GS275" s="48"/>
      <c r="GT275" s="48"/>
      <c r="GU275" s="48"/>
      <c r="GV275" s="48"/>
      <c r="GW275" s="48"/>
      <c r="GX275" s="48"/>
      <c r="GY275" s="48"/>
      <c r="GZ275" s="48"/>
      <c r="HA275" s="48"/>
      <c r="HB275" s="48"/>
    </row>
    <row r="276" spans="1:210" ht="15.75" customHeight="1">
      <c r="A276" s="5"/>
      <c r="B276" s="5"/>
      <c r="C276" s="5"/>
      <c r="D276" s="5"/>
      <c r="E276" s="5"/>
      <c r="F276" s="5"/>
      <c r="G276" s="49"/>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48"/>
      <c r="CQ276" s="48"/>
      <c r="CR276" s="48"/>
      <c r="CS276" s="48"/>
      <c r="CT276" s="48"/>
      <c r="CU276" s="48"/>
      <c r="CV276" s="48"/>
      <c r="CW276" s="48"/>
      <c r="CX276" s="48"/>
      <c r="CY276" s="48"/>
      <c r="CZ276" s="48"/>
      <c r="DA276" s="48"/>
      <c r="DB276" s="48"/>
      <c r="DC276" s="48"/>
      <c r="DD276" s="48"/>
      <c r="DE276" s="48"/>
      <c r="DF276" s="48"/>
      <c r="DG276" s="48"/>
      <c r="DH276" s="48"/>
      <c r="DI276" s="48"/>
      <c r="DJ276" s="48"/>
      <c r="DK276" s="48"/>
      <c r="DL276" s="48"/>
      <c r="DM276" s="48"/>
      <c r="DN276" s="48"/>
      <c r="DO276" s="48"/>
      <c r="DP276" s="48"/>
      <c r="DQ276" s="48"/>
      <c r="DR276" s="48"/>
      <c r="DS276" s="48"/>
      <c r="DT276" s="48"/>
      <c r="DU276" s="48"/>
      <c r="DV276" s="48"/>
      <c r="DW276" s="48"/>
      <c r="DX276" s="48"/>
      <c r="DY276" s="48"/>
      <c r="DZ276" s="48"/>
      <c r="EA276" s="48"/>
      <c r="EB276" s="48"/>
      <c r="EC276" s="48"/>
      <c r="ED276" s="48"/>
      <c r="EE276" s="48"/>
      <c r="EF276" s="48"/>
      <c r="EG276" s="48"/>
      <c r="EH276" s="48"/>
      <c r="EI276" s="48"/>
      <c r="EJ276" s="48"/>
      <c r="EK276" s="48"/>
      <c r="EL276" s="48"/>
      <c r="EM276" s="48"/>
      <c r="EN276" s="48"/>
      <c r="EO276" s="48"/>
      <c r="EP276" s="48"/>
      <c r="EQ276" s="48"/>
      <c r="ER276" s="48"/>
      <c r="ES276" s="48"/>
      <c r="ET276" s="48"/>
      <c r="EU276" s="48"/>
      <c r="EV276" s="48"/>
      <c r="EW276" s="48"/>
      <c r="EX276" s="48"/>
      <c r="EY276" s="48"/>
      <c r="EZ276" s="48"/>
      <c r="FA276" s="48"/>
      <c r="FB276" s="48"/>
      <c r="FC276" s="48"/>
      <c r="FD276" s="48"/>
      <c r="FE276" s="48"/>
      <c r="FF276" s="48"/>
      <c r="FG276" s="48"/>
      <c r="FH276" s="48"/>
      <c r="FI276" s="48"/>
      <c r="FJ276" s="48"/>
      <c r="FK276" s="48"/>
      <c r="FL276" s="48"/>
      <c r="FM276" s="48"/>
      <c r="FN276" s="48"/>
      <c r="FO276" s="48"/>
      <c r="FP276" s="48"/>
      <c r="FQ276" s="48"/>
      <c r="FR276" s="48"/>
      <c r="FS276" s="48"/>
      <c r="FT276" s="48"/>
      <c r="FU276" s="48"/>
      <c r="FV276" s="48"/>
      <c r="FW276" s="48"/>
      <c r="FX276" s="48"/>
      <c r="FY276" s="48"/>
      <c r="FZ276" s="48"/>
      <c r="GA276" s="48"/>
      <c r="GB276" s="48"/>
      <c r="GC276" s="48"/>
      <c r="GD276" s="48"/>
      <c r="GE276" s="48"/>
      <c r="GF276" s="48"/>
      <c r="GG276" s="48"/>
      <c r="GH276" s="48"/>
      <c r="GI276" s="48"/>
      <c r="GJ276" s="48"/>
      <c r="GK276" s="48"/>
      <c r="GL276" s="48"/>
      <c r="GM276" s="48"/>
      <c r="GN276" s="48"/>
      <c r="GO276" s="48"/>
      <c r="GP276" s="48"/>
      <c r="GQ276" s="48"/>
      <c r="GR276" s="48"/>
      <c r="GS276" s="48"/>
      <c r="GT276" s="48"/>
      <c r="GU276" s="48"/>
      <c r="GV276" s="48"/>
      <c r="GW276" s="48"/>
      <c r="GX276" s="48"/>
      <c r="GY276" s="48"/>
      <c r="GZ276" s="48"/>
      <c r="HA276" s="48"/>
      <c r="HB276" s="48"/>
    </row>
    <row r="277" spans="1:210" ht="15.75" customHeight="1">
      <c r="A277" s="5"/>
      <c r="B277" s="5"/>
      <c r="C277" s="5"/>
      <c r="D277" s="5"/>
      <c r="E277" s="5"/>
      <c r="F277" s="5"/>
      <c r="G277" s="49"/>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48"/>
      <c r="CQ277" s="48"/>
      <c r="CR277" s="48"/>
      <c r="CS277" s="48"/>
      <c r="CT277" s="48"/>
      <c r="CU277" s="48"/>
      <c r="CV277" s="48"/>
      <c r="CW277" s="48"/>
      <c r="CX277" s="48"/>
      <c r="CY277" s="48"/>
      <c r="CZ277" s="48"/>
      <c r="DA277" s="48"/>
      <c r="DB277" s="48"/>
      <c r="DC277" s="48"/>
      <c r="DD277" s="48"/>
      <c r="DE277" s="48"/>
      <c r="DF277" s="48"/>
      <c r="DG277" s="48"/>
      <c r="DH277" s="48"/>
      <c r="DI277" s="48"/>
      <c r="DJ277" s="48"/>
      <c r="DK277" s="48"/>
      <c r="DL277" s="48"/>
      <c r="DM277" s="48"/>
      <c r="DN277" s="48"/>
      <c r="DO277" s="48"/>
      <c r="DP277" s="48"/>
      <c r="DQ277" s="48"/>
      <c r="DR277" s="48"/>
      <c r="DS277" s="48"/>
      <c r="DT277" s="48"/>
      <c r="DU277" s="48"/>
      <c r="DV277" s="48"/>
      <c r="DW277" s="48"/>
      <c r="DX277" s="48"/>
      <c r="DY277" s="48"/>
      <c r="DZ277" s="48"/>
      <c r="EA277" s="48"/>
      <c r="EB277" s="48"/>
      <c r="EC277" s="48"/>
      <c r="ED277" s="48"/>
      <c r="EE277" s="48"/>
      <c r="EF277" s="48"/>
      <c r="EG277" s="48"/>
      <c r="EH277" s="48"/>
      <c r="EI277" s="48"/>
      <c r="EJ277" s="48"/>
      <c r="EK277" s="48"/>
      <c r="EL277" s="48"/>
      <c r="EM277" s="48"/>
      <c r="EN277" s="48"/>
      <c r="EO277" s="48"/>
      <c r="EP277" s="48"/>
      <c r="EQ277" s="48"/>
      <c r="ER277" s="48"/>
      <c r="ES277" s="48"/>
      <c r="ET277" s="48"/>
      <c r="EU277" s="48"/>
      <c r="EV277" s="48"/>
      <c r="EW277" s="48"/>
      <c r="EX277" s="48"/>
      <c r="EY277" s="48"/>
      <c r="EZ277" s="48"/>
      <c r="FA277" s="48"/>
      <c r="FB277" s="48"/>
      <c r="FC277" s="48"/>
      <c r="FD277" s="48"/>
      <c r="FE277" s="48"/>
      <c r="FF277" s="48"/>
      <c r="FG277" s="48"/>
      <c r="FH277" s="48"/>
      <c r="FI277" s="48"/>
      <c r="FJ277" s="48"/>
      <c r="FK277" s="48"/>
      <c r="FL277" s="48"/>
      <c r="FM277" s="48"/>
      <c r="FN277" s="48"/>
      <c r="FO277" s="48"/>
      <c r="FP277" s="48"/>
      <c r="FQ277" s="48"/>
      <c r="FR277" s="48"/>
      <c r="FS277" s="48"/>
      <c r="FT277" s="48"/>
      <c r="FU277" s="48"/>
      <c r="FV277" s="48"/>
      <c r="FW277" s="48"/>
      <c r="FX277" s="48"/>
      <c r="FY277" s="48"/>
      <c r="FZ277" s="48"/>
      <c r="GA277" s="48"/>
      <c r="GB277" s="48"/>
      <c r="GC277" s="48"/>
      <c r="GD277" s="48"/>
      <c r="GE277" s="48"/>
      <c r="GF277" s="48"/>
      <c r="GG277" s="48"/>
      <c r="GH277" s="48"/>
      <c r="GI277" s="48"/>
      <c r="GJ277" s="48"/>
      <c r="GK277" s="48"/>
      <c r="GL277" s="48"/>
      <c r="GM277" s="48"/>
      <c r="GN277" s="48"/>
      <c r="GO277" s="48"/>
      <c r="GP277" s="48"/>
      <c r="GQ277" s="48"/>
      <c r="GR277" s="48"/>
      <c r="GS277" s="48"/>
      <c r="GT277" s="48"/>
      <c r="GU277" s="48"/>
      <c r="GV277" s="48"/>
      <c r="GW277" s="48"/>
      <c r="GX277" s="48"/>
      <c r="GY277" s="48"/>
      <c r="GZ277" s="48"/>
      <c r="HA277" s="48"/>
      <c r="HB277" s="48"/>
    </row>
    <row r="278" spans="1:210" ht="15.75" customHeight="1">
      <c r="A278" s="5"/>
      <c r="B278" s="5"/>
      <c r="C278" s="5"/>
      <c r="D278" s="5"/>
      <c r="E278" s="5"/>
      <c r="F278" s="5"/>
      <c r="G278" s="49"/>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48"/>
      <c r="CQ278" s="48"/>
      <c r="CR278" s="48"/>
      <c r="CS278" s="48"/>
      <c r="CT278" s="48"/>
      <c r="CU278" s="48"/>
      <c r="CV278" s="48"/>
      <c r="CW278" s="48"/>
      <c r="CX278" s="48"/>
      <c r="CY278" s="48"/>
      <c r="CZ278" s="48"/>
      <c r="DA278" s="48"/>
      <c r="DB278" s="48"/>
      <c r="DC278" s="48"/>
      <c r="DD278" s="48"/>
      <c r="DE278" s="48"/>
      <c r="DF278" s="48"/>
      <c r="DG278" s="48"/>
      <c r="DH278" s="48"/>
      <c r="DI278" s="48"/>
      <c r="DJ278" s="48"/>
      <c r="DK278" s="48"/>
      <c r="DL278" s="48"/>
      <c r="DM278" s="48"/>
      <c r="DN278" s="48"/>
      <c r="DO278" s="48"/>
      <c r="DP278" s="48"/>
      <c r="DQ278" s="48"/>
      <c r="DR278" s="48"/>
      <c r="DS278" s="48"/>
      <c r="DT278" s="48"/>
      <c r="DU278" s="48"/>
      <c r="DV278" s="48"/>
      <c r="DW278" s="48"/>
      <c r="DX278" s="48"/>
      <c r="DY278" s="48"/>
      <c r="DZ278" s="48"/>
      <c r="EA278" s="48"/>
      <c r="EB278" s="48"/>
      <c r="EC278" s="48"/>
      <c r="ED278" s="48"/>
      <c r="EE278" s="48"/>
      <c r="EF278" s="48"/>
      <c r="EG278" s="48"/>
      <c r="EH278" s="48"/>
      <c r="EI278" s="48"/>
      <c r="EJ278" s="48"/>
      <c r="EK278" s="48"/>
      <c r="EL278" s="48"/>
      <c r="EM278" s="48"/>
      <c r="EN278" s="48"/>
      <c r="EO278" s="48"/>
      <c r="EP278" s="48"/>
      <c r="EQ278" s="48"/>
      <c r="ER278" s="48"/>
      <c r="ES278" s="48"/>
      <c r="ET278" s="48"/>
      <c r="EU278" s="48"/>
      <c r="EV278" s="48"/>
      <c r="EW278" s="48"/>
      <c r="EX278" s="48"/>
      <c r="EY278" s="48"/>
      <c r="EZ278" s="48"/>
      <c r="FA278" s="48"/>
      <c r="FB278" s="48"/>
      <c r="FC278" s="48"/>
      <c r="FD278" s="48"/>
      <c r="FE278" s="48"/>
      <c r="FF278" s="48"/>
      <c r="FG278" s="48"/>
      <c r="FH278" s="48"/>
      <c r="FI278" s="48"/>
      <c r="FJ278" s="48"/>
      <c r="FK278" s="48"/>
      <c r="FL278" s="48"/>
      <c r="FM278" s="48"/>
      <c r="FN278" s="48"/>
      <c r="FO278" s="48"/>
      <c r="FP278" s="48"/>
      <c r="FQ278" s="48"/>
      <c r="FR278" s="48"/>
      <c r="FS278" s="48"/>
      <c r="FT278" s="48"/>
      <c r="FU278" s="48"/>
      <c r="FV278" s="48"/>
      <c r="FW278" s="48"/>
      <c r="FX278" s="48"/>
      <c r="FY278" s="48"/>
      <c r="FZ278" s="48"/>
      <c r="GA278" s="48"/>
      <c r="GB278" s="48"/>
      <c r="GC278" s="48"/>
      <c r="GD278" s="48"/>
      <c r="GE278" s="48"/>
      <c r="GF278" s="48"/>
      <c r="GG278" s="48"/>
      <c r="GH278" s="48"/>
      <c r="GI278" s="48"/>
      <c r="GJ278" s="48"/>
      <c r="GK278" s="48"/>
      <c r="GL278" s="48"/>
      <c r="GM278" s="48"/>
      <c r="GN278" s="48"/>
      <c r="GO278" s="48"/>
      <c r="GP278" s="48"/>
      <c r="GQ278" s="48"/>
      <c r="GR278" s="48"/>
      <c r="GS278" s="48"/>
      <c r="GT278" s="48"/>
      <c r="GU278" s="48"/>
      <c r="GV278" s="48"/>
      <c r="GW278" s="48"/>
      <c r="GX278" s="48"/>
      <c r="GY278" s="48"/>
      <c r="GZ278" s="48"/>
      <c r="HA278" s="48"/>
      <c r="HB278" s="48"/>
    </row>
    <row r="279" spans="1:210" ht="15.75" customHeight="1">
      <c r="A279" s="5"/>
      <c r="B279" s="5"/>
      <c r="C279" s="5"/>
      <c r="D279" s="5"/>
      <c r="E279" s="5"/>
      <c r="F279" s="5"/>
      <c r="G279" s="49"/>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48"/>
      <c r="CQ279" s="48"/>
      <c r="CR279" s="48"/>
      <c r="CS279" s="48"/>
      <c r="CT279" s="48"/>
      <c r="CU279" s="48"/>
      <c r="CV279" s="48"/>
      <c r="CW279" s="48"/>
      <c r="CX279" s="48"/>
      <c r="CY279" s="48"/>
      <c r="CZ279" s="48"/>
      <c r="DA279" s="48"/>
      <c r="DB279" s="48"/>
      <c r="DC279" s="48"/>
      <c r="DD279" s="48"/>
      <c r="DE279" s="48"/>
      <c r="DF279" s="48"/>
      <c r="DG279" s="48"/>
      <c r="DH279" s="48"/>
      <c r="DI279" s="48"/>
      <c r="DJ279" s="48"/>
      <c r="DK279" s="48"/>
      <c r="DL279" s="48"/>
      <c r="DM279" s="48"/>
      <c r="DN279" s="48"/>
      <c r="DO279" s="48"/>
      <c r="DP279" s="48"/>
      <c r="DQ279" s="48"/>
      <c r="DR279" s="48"/>
      <c r="DS279" s="48"/>
      <c r="DT279" s="48"/>
      <c r="DU279" s="48"/>
      <c r="DV279" s="48"/>
      <c r="DW279" s="48"/>
      <c r="DX279" s="48"/>
      <c r="DY279" s="48"/>
      <c r="DZ279" s="48"/>
      <c r="EA279" s="48"/>
      <c r="EB279" s="48"/>
      <c r="EC279" s="48"/>
      <c r="ED279" s="48"/>
      <c r="EE279" s="48"/>
      <c r="EF279" s="48"/>
      <c r="EG279" s="48"/>
      <c r="EH279" s="48"/>
      <c r="EI279" s="48"/>
      <c r="EJ279" s="48"/>
      <c r="EK279" s="48"/>
      <c r="EL279" s="48"/>
      <c r="EM279" s="48"/>
      <c r="EN279" s="48"/>
      <c r="EO279" s="48"/>
      <c r="EP279" s="48"/>
      <c r="EQ279" s="48"/>
      <c r="ER279" s="48"/>
      <c r="ES279" s="48"/>
      <c r="ET279" s="48"/>
      <c r="EU279" s="48"/>
      <c r="EV279" s="48"/>
      <c r="EW279" s="48"/>
      <c r="EX279" s="48"/>
      <c r="EY279" s="48"/>
      <c r="EZ279" s="48"/>
      <c r="FA279" s="48"/>
      <c r="FB279" s="48"/>
      <c r="FC279" s="48"/>
      <c r="FD279" s="48"/>
      <c r="FE279" s="48"/>
      <c r="FF279" s="48"/>
      <c r="FG279" s="48"/>
      <c r="FH279" s="48"/>
      <c r="FI279" s="48"/>
      <c r="FJ279" s="48"/>
      <c r="FK279" s="48"/>
      <c r="FL279" s="48"/>
      <c r="FM279" s="48"/>
      <c r="FN279" s="48"/>
      <c r="FO279" s="48"/>
      <c r="FP279" s="48"/>
      <c r="FQ279" s="48"/>
      <c r="FR279" s="48"/>
      <c r="FS279" s="48"/>
      <c r="FT279" s="48"/>
      <c r="FU279" s="48"/>
      <c r="FV279" s="48"/>
      <c r="FW279" s="48"/>
      <c r="FX279" s="48"/>
      <c r="FY279" s="48"/>
      <c r="FZ279" s="48"/>
      <c r="GA279" s="48"/>
      <c r="GB279" s="48"/>
      <c r="GC279" s="48"/>
      <c r="GD279" s="48"/>
      <c r="GE279" s="48"/>
      <c r="GF279" s="48"/>
      <c r="GG279" s="48"/>
      <c r="GH279" s="48"/>
      <c r="GI279" s="48"/>
      <c r="GJ279" s="48"/>
      <c r="GK279" s="48"/>
      <c r="GL279" s="48"/>
      <c r="GM279" s="48"/>
      <c r="GN279" s="48"/>
      <c r="GO279" s="48"/>
      <c r="GP279" s="48"/>
      <c r="GQ279" s="48"/>
      <c r="GR279" s="48"/>
      <c r="GS279" s="48"/>
      <c r="GT279" s="48"/>
      <c r="GU279" s="48"/>
      <c r="GV279" s="48"/>
      <c r="GW279" s="48"/>
      <c r="GX279" s="48"/>
      <c r="GY279" s="48"/>
      <c r="GZ279" s="48"/>
      <c r="HA279" s="48"/>
      <c r="HB279" s="48"/>
    </row>
    <row r="280" spans="1:210" ht="15.75" customHeight="1">
      <c r="A280" s="50"/>
      <c r="B280" s="50"/>
      <c r="C280" s="50"/>
      <c r="D280" s="50"/>
      <c r="E280" s="50"/>
      <c r="F280" s="50"/>
      <c r="G280" s="51"/>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c r="AZ280" s="50"/>
      <c r="BA280" s="50"/>
      <c r="BB280" s="50"/>
      <c r="BC280" s="50"/>
      <c r="BD280" s="50"/>
      <c r="BE280" s="50"/>
      <c r="BF280" s="50"/>
      <c r="BG280" s="50"/>
      <c r="BH280" s="50"/>
      <c r="BI280" s="50"/>
      <c r="BJ280" s="50"/>
      <c r="BK280" s="50"/>
      <c r="BL280" s="50"/>
      <c r="BM280" s="50"/>
      <c r="BN280" s="50"/>
      <c r="BO280" s="50"/>
      <c r="BP280" s="50"/>
      <c r="BQ280" s="50"/>
      <c r="BR280" s="50"/>
      <c r="BS280" s="50"/>
      <c r="BT280" s="50"/>
      <c r="BU280" s="50"/>
      <c r="BV280" s="50"/>
      <c r="BW280" s="50"/>
      <c r="BX280" s="50"/>
      <c r="BY280" s="50"/>
      <c r="BZ280" s="50"/>
      <c r="CA280" s="50"/>
      <c r="CB280" s="50"/>
      <c r="CC280" s="50"/>
      <c r="CD280" s="52"/>
      <c r="CE280" s="50"/>
      <c r="CF280" s="50"/>
      <c r="CG280" s="50"/>
      <c r="CH280" s="50"/>
      <c r="CI280" s="50"/>
      <c r="CJ280" s="50"/>
      <c r="CK280" s="50"/>
      <c r="CL280" s="50"/>
      <c r="CM280" s="50"/>
      <c r="CN280" s="50"/>
      <c r="CO280" s="50"/>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row>
    <row r="281" spans="1:210" ht="15.75" customHeight="1">
      <c r="A281" s="50"/>
      <c r="B281" s="50"/>
      <c r="C281" s="50"/>
      <c r="D281" s="50"/>
      <c r="E281" s="50"/>
      <c r="F281" s="50"/>
      <c r="G281" s="51"/>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0"/>
      <c r="BP281" s="50"/>
      <c r="BQ281" s="50"/>
      <c r="BR281" s="50"/>
      <c r="BS281" s="50"/>
      <c r="BT281" s="50"/>
      <c r="BU281" s="50"/>
      <c r="BV281" s="50"/>
      <c r="BW281" s="50"/>
      <c r="BX281" s="50"/>
      <c r="BY281" s="50"/>
      <c r="BZ281" s="50"/>
      <c r="CA281" s="50"/>
      <c r="CB281" s="50"/>
      <c r="CC281" s="50"/>
      <c r="CD281" s="52"/>
      <c r="CE281" s="50"/>
      <c r="CF281" s="50"/>
      <c r="CG281" s="50"/>
      <c r="CH281" s="50"/>
      <c r="CI281" s="50"/>
      <c r="CJ281" s="50"/>
      <c r="CK281" s="50"/>
      <c r="CL281" s="50"/>
      <c r="CM281" s="50"/>
      <c r="CN281" s="50"/>
      <c r="CO281" s="50"/>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row>
    <row r="282" spans="1:210" ht="15.75" customHeight="1">
      <c r="A282" s="50"/>
      <c r="B282" s="50"/>
      <c r="C282" s="50"/>
      <c r="D282" s="50"/>
      <c r="E282" s="50"/>
      <c r="F282" s="50"/>
      <c r="G282" s="51"/>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c r="AZ282" s="50"/>
      <c r="BA282" s="50"/>
      <c r="BB282" s="50"/>
      <c r="BC282" s="50"/>
      <c r="BD282" s="50"/>
      <c r="BE282" s="50"/>
      <c r="BF282" s="50"/>
      <c r="BG282" s="50"/>
      <c r="BH282" s="50"/>
      <c r="BI282" s="50"/>
      <c r="BJ282" s="50"/>
      <c r="BK282" s="50"/>
      <c r="BL282" s="50"/>
      <c r="BM282" s="50"/>
      <c r="BN282" s="50"/>
      <c r="BO282" s="50"/>
      <c r="BP282" s="50"/>
      <c r="BQ282" s="50"/>
      <c r="BR282" s="50"/>
      <c r="BS282" s="50"/>
      <c r="BT282" s="50"/>
      <c r="BU282" s="50"/>
      <c r="BV282" s="50"/>
      <c r="BW282" s="50"/>
      <c r="BX282" s="50"/>
      <c r="BY282" s="50"/>
      <c r="BZ282" s="50"/>
      <c r="CA282" s="50"/>
      <c r="CB282" s="50"/>
      <c r="CC282" s="50"/>
      <c r="CD282" s="52"/>
      <c r="CE282" s="50"/>
      <c r="CF282" s="50"/>
      <c r="CG282" s="50"/>
      <c r="CH282" s="50"/>
      <c r="CI282" s="50"/>
      <c r="CJ282" s="50"/>
      <c r="CK282" s="50"/>
      <c r="CL282" s="50"/>
      <c r="CM282" s="50"/>
      <c r="CN282" s="50"/>
      <c r="CO282" s="50"/>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row>
    <row r="283" spans="1:210" ht="15.75" customHeight="1">
      <c r="A283" s="50"/>
      <c r="B283" s="50"/>
      <c r="C283" s="50"/>
      <c r="D283" s="50"/>
      <c r="E283" s="50"/>
      <c r="F283" s="50"/>
      <c r="G283" s="51"/>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c r="AZ283" s="50"/>
      <c r="BA283" s="50"/>
      <c r="BB283" s="50"/>
      <c r="BC283" s="50"/>
      <c r="BD283" s="50"/>
      <c r="BE283" s="50"/>
      <c r="BF283" s="50"/>
      <c r="BG283" s="50"/>
      <c r="BH283" s="50"/>
      <c r="BI283" s="50"/>
      <c r="BJ283" s="50"/>
      <c r="BK283" s="50"/>
      <c r="BL283" s="50"/>
      <c r="BM283" s="50"/>
      <c r="BN283" s="50"/>
      <c r="BO283" s="50"/>
      <c r="BP283" s="50"/>
      <c r="BQ283" s="50"/>
      <c r="BR283" s="50"/>
      <c r="BS283" s="50"/>
      <c r="BT283" s="50"/>
      <c r="BU283" s="50"/>
      <c r="BV283" s="50"/>
      <c r="BW283" s="50"/>
      <c r="BX283" s="50"/>
      <c r="BY283" s="50"/>
      <c r="BZ283" s="50"/>
      <c r="CA283" s="50"/>
      <c r="CB283" s="50"/>
      <c r="CC283" s="50"/>
      <c r="CD283" s="52"/>
      <c r="CE283" s="50"/>
      <c r="CF283" s="50"/>
      <c r="CG283" s="50"/>
      <c r="CH283" s="50"/>
      <c r="CI283" s="50"/>
      <c r="CJ283" s="50"/>
      <c r="CK283" s="50"/>
      <c r="CL283" s="50"/>
      <c r="CM283" s="50"/>
      <c r="CN283" s="50"/>
      <c r="CO283" s="50"/>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row>
    <row r="284" spans="1:210" ht="15.75" customHeight="1">
      <c r="A284" s="50"/>
      <c r="B284" s="50"/>
      <c r="C284" s="50"/>
      <c r="D284" s="50"/>
      <c r="E284" s="50"/>
      <c r="F284" s="50"/>
      <c r="G284" s="51"/>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0"/>
      <c r="BP284" s="50"/>
      <c r="BQ284" s="50"/>
      <c r="BR284" s="50"/>
      <c r="BS284" s="50"/>
      <c r="BT284" s="50"/>
      <c r="BU284" s="50"/>
      <c r="BV284" s="50"/>
      <c r="BW284" s="50"/>
      <c r="BX284" s="50"/>
      <c r="BY284" s="50"/>
      <c r="BZ284" s="50"/>
      <c r="CA284" s="50"/>
      <c r="CB284" s="50"/>
      <c r="CC284" s="50"/>
      <c r="CD284" s="52"/>
      <c r="CE284" s="50"/>
      <c r="CF284" s="50"/>
      <c r="CG284" s="50"/>
      <c r="CH284" s="50"/>
      <c r="CI284" s="50"/>
      <c r="CJ284" s="50"/>
      <c r="CK284" s="50"/>
      <c r="CL284" s="50"/>
      <c r="CM284" s="50"/>
      <c r="CN284" s="50"/>
      <c r="CO284" s="50"/>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row>
    <row r="285" spans="1:210" ht="15.75" customHeight="1">
      <c r="A285" s="50"/>
      <c r="B285" s="50"/>
      <c r="C285" s="50"/>
      <c r="D285" s="50"/>
      <c r="E285" s="50"/>
      <c r="F285" s="50"/>
      <c r="G285" s="51"/>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c r="AZ285" s="50"/>
      <c r="BA285" s="50"/>
      <c r="BB285" s="50"/>
      <c r="BC285" s="50"/>
      <c r="BD285" s="50"/>
      <c r="BE285" s="50"/>
      <c r="BF285" s="50"/>
      <c r="BG285" s="50"/>
      <c r="BH285" s="50"/>
      <c r="BI285" s="50"/>
      <c r="BJ285" s="50"/>
      <c r="BK285" s="50"/>
      <c r="BL285" s="50"/>
      <c r="BM285" s="50"/>
      <c r="BN285" s="50"/>
      <c r="BO285" s="50"/>
      <c r="BP285" s="50"/>
      <c r="BQ285" s="50"/>
      <c r="BR285" s="50"/>
      <c r="BS285" s="50"/>
      <c r="BT285" s="50"/>
      <c r="BU285" s="50"/>
      <c r="BV285" s="50"/>
      <c r="BW285" s="50"/>
      <c r="BX285" s="50"/>
      <c r="BY285" s="50"/>
      <c r="BZ285" s="50"/>
      <c r="CA285" s="50"/>
      <c r="CB285" s="50"/>
      <c r="CC285" s="50"/>
      <c r="CD285" s="52"/>
      <c r="CE285" s="50"/>
      <c r="CF285" s="50"/>
      <c r="CG285" s="50"/>
      <c r="CH285" s="50"/>
      <c r="CI285" s="50"/>
      <c r="CJ285" s="50"/>
      <c r="CK285" s="50"/>
      <c r="CL285" s="50"/>
      <c r="CM285" s="50"/>
      <c r="CN285" s="50"/>
      <c r="CO285" s="50"/>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row>
    <row r="286" spans="1:210" ht="15.75" customHeight="1">
      <c r="A286" s="50"/>
      <c r="B286" s="50"/>
      <c r="C286" s="50"/>
      <c r="D286" s="50"/>
      <c r="E286" s="50"/>
      <c r="F286" s="50"/>
      <c r="G286" s="51"/>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c r="AZ286" s="50"/>
      <c r="BA286" s="50"/>
      <c r="BB286" s="50"/>
      <c r="BC286" s="50"/>
      <c r="BD286" s="50"/>
      <c r="BE286" s="50"/>
      <c r="BF286" s="50"/>
      <c r="BG286" s="50"/>
      <c r="BH286" s="50"/>
      <c r="BI286" s="50"/>
      <c r="BJ286" s="50"/>
      <c r="BK286" s="50"/>
      <c r="BL286" s="50"/>
      <c r="BM286" s="50"/>
      <c r="BN286" s="50"/>
      <c r="BO286" s="50"/>
      <c r="BP286" s="50"/>
      <c r="BQ286" s="50"/>
      <c r="BR286" s="50"/>
      <c r="BS286" s="50"/>
      <c r="BT286" s="50"/>
      <c r="BU286" s="50"/>
      <c r="BV286" s="50"/>
      <c r="BW286" s="50"/>
      <c r="BX286" s="50"/>
      <c r="BY286" s="50"/>
      <c r="BZ286" s="50"/>
      <c r="CA286" s="50"/>
      <c r="CB286" s="50"/>
      <c r="CC286" s="50"/>
      <c r="CD286" s="52"/>
      <c r="CE286" s="50"/>
      <c r="CF286" s="50"/>
      <c r="CG286" s="50"/>
      <c r="CH286" s="50"/>
      <c r="CI286" s="50"/>
      <c r="CJ286" s="50"/>
      <c r="CK286" s="50"/>
      <c r="CL286" s="50"/>
      <c r="CM286" s="50"/>
      <c r="CN286" s="50"/>
      <c r="CO286" s="50"/>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row>
    <row r="287" spans="1:210" ht="15.75" customHeight="1">
      <c r="A287" s="50"/>
      <c r="B287" s="50"/>
      <c r="C287" s="50"/>
      <c r="D287" s="50"/>
      <c r="E287" s="50"/>
      <c r="F287" s="50"/>
      <c r="G287" s="51"/>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c r="AZ287" s="50"/>
      <c r="BA287" s="50"/>
      <c r="BB287" s="50"/>
      <c r="BC287" s="50"/>
      <c r="BD287" s="50"/>
      <c r="BE287" s="50"/>
      <c r="BF287" s="50"/>
      <c r="BG287" s="50"/>
      <c r="BH287" s="50"/>
      <c r="BI287" s="50"/>
      <c r="BJ287" s="50"/>
      <c r="BK287" s="50"/>
      <c r="BL287" s="50"/>
      <c r="BM287" s="50"/>
      <c r="BN287" s="50"/>
      <c r="BO287" s="50"/>
      <c r="BP287" s="50"/>
      <c r="BQ287" s="50"/>
      <c r="BR287" s="50"/>
      <c r="BS287" s="50"/>
      <c r="BT287" s="50"/>
      <c r="BU287" s="50"/>
      <c r="BV287" s="50"/>
      <c r="BW287" s="50"/>
      <c r="BX287" s="50"/>
      <c r="BY287" s="50"/>
      <c r="BZ287" s="50"/>
      <c r="CA287" s="50"/>
      <c r="CB287" s="50"/>
      <c r="CC287" s="50"/>
      <c r="CD287" s="52"/>
      <c r="CE287" s="50"/>
      <c r="CF287" s="50"/>
      <c r="CG287" s="50"/>
      <c r="CH287" s="50"/>
      <c r="CI287" s="50"/>
      <c r="CJ287" s="50"/>
      <c r="CK287" s="50"/>
      <c r="CL287" s="50"/>
      <c r="CM287" s="50"/>
      <c r="CN287" s="50"/>
      <c r="CO287" s="50"/>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row>
    <row r="288" spans="1:210" ht="15.75" customHeight="1">
      <c r="A288" s="50"/>
      <c r="B288" s="50"/>
      <c r="C288" s="50"/>
      <c r="D288" s="50"/>
      <c r="E288" s="50"/>
      <c r="F288" s="50"/>
      <c r="G288" s="51"/>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c r="AZ288" s="50"/>
      <c r="BA288" s="50"/>
      <c r="BB288" s="50"/>
      <c r="BC288" s="50"/>
      <c r="BD288" s="50"/>
      <c r="BE288" s="50"/>
      <c r="BF288" s="50"/>
      <c r="BG288" s="50"/>
      <c r="BH288" s="50"/>
      <c r="BI288" s="50"/>
      <c r="BJ288" s="50"/>
      <c r="BK288" s="50"/>
      <c r="BL288" s="50"/>
      <c r="BM288" s="50"/>
      <c r="BN288" s="50"/>
      <c r="BO288" s="50"/>
      <c r="BP288" s="50"/>
      <c r="BQ288" s="50"/>
      <c r="BR288" s="50"/>
      <c r="BS288" s="50"/>
      <c r="BT288" s="50"/>
      <c r="BU288" s="50"/>
      <c r="BV288" s="50"/>
      <c r="BW288" s="50"/>
      <c r="BX288" s="50"/>
      <c r="BY288" s="50"/>
      <c r="BZ288" s="50"/>
      <c r="CA288" s="50"/>
      <c r="CB288" s="50"/>
      <c r="CC288" s="50"/>
      <c r="CD288" s="52"/>
      <c r="CE288" s="50"/>
      <c r="CF288" s="50"/>
      <c r="CG288" s="50"/>
      <c r="CH288" s="50"/>
      <c r="CI288" s="50"/>
      <c r="CJ288" s="50"/>
      <c r="CK288" s="50"/>
      <c r="CL288" s="50"/>
      <c r="CM288" s="50"/>
      <c r="CN288" s="50"/>
      <c r="CO288" s="50"/>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row>
    <row r="289" spans="1:210" ht="15.75" customHeight="1">
      <c r="A289" s="50"/>
      <c r="B289" s="50"/>
      <c r="C289" s="50"/>
      <c r="D289" s="50"/>
      <c r="E289" s="50"/>
      <c r="F289" s="50"/>
      <c r="G289" s="51"/>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c r="AZ289" s="50"/>
      <c r="BA289" s="50"/>
      <c r="BB289" s="50"/>
      <c r="BC289" s="50"/>
      <c r="BD289" s="50"/>
      <c r="BE289" s="50"/>
      <c r="BF289" s="50"/>
      <c r="BG289" s="50"/>
      <c r="BH289" s="50"/>
      <c r="BI289" s="50"/>
      <c r="BJ289" s="50"/>
      <c r="BK289" s="50"/>
      <c r="BL289" s="50"/>
      <c r="BM289" s="50"/>
      <c r="BN289" s="50"/>
      <c r="BO289" s="50"/>
      <c r="BP289" s="50"/>
      <c r="BQ289" s="50"/>
      <c r="BR289" s="50"/>
      <c r="BS289" s="50"/>
      <c r="BT289" s="50"/>
      <c r="BU289" s="50"/>
      <c r="BV289" s="50"/>
      <c r="BW289" s="50"/>
      <c r="BX289" s="50"/>
      <c r="BY289" s="50"/>
      <c r="BZ289" s="50"/>
      <c r="CA289" s="50"/>
      <c r="CB289" s="50"/>
      <c r="CC289" s="50"/>
      <c r="CD289" s="52"/>
      <c r="CE289" s="50"/>
      <c r="CF289" s="50"/>
      <c r="CG289" s="50"/>
      <c r="CH289" s="50"/>
      <c r="CI289" s="50"/>
      <c r="CJ289" s="50"/>
      <c r="CK289" s="50"/>
      <c r="CL289" s="50"/>
      <c r="CM289" s="50"/>
      <c r="CN289" s="50"/>
      <c r="CO289" s="50"/>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row>
    <row r="290" spans="1:210" ht="15.75" customHeight="1">
      <c r="A290" s="50"/>
      <c r="B290" s="50"/>
      <c r="C290" s="50"/>
      <c r="D290" s="50"/>
      <c r="E290" s="50"/>
      <c r="F290" s="50"/>
      <c r="G290" s="51"/>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c r="AX290" s="50"/>
      <c r="AY290" s="50"/>
      <c r="AZ290" s="50"/>
      <c r="BA290" s="50"/>
      <c r="BB290" s="50"/>
      <c r="BC290" s="50"/>
      <c r="BD290" s="50"/>
      <c r="BE290" s="50"/>
      <c r="BF290" s="50"/>
      <c r="BG290" s="50"/>
      <c r="BH290" s="50"/>
      <c r="BI290" s="50"/>
      <c r="BJ290" s="50"/>
      <c r="BK290" s="50"/>
      <c r="BL290" s="50"/>
      <c r="BM290" s="50"/>
      <c r="BN290" s="50"/>
      <c r="BO290" s="50"/>
      <c r="BP290" s="50"/>
      <c r="BQ290" s="50"/>
      <c r="BR290" s="50"/>
      <c r="BS290" s="50"/>
      <c r="BT290" s="50"/>
      <c r="BU290" s="50"/>
      <c r="BV290" s="50"/>
      <c r="BW290" s="50"/>
      <c r="BX290" s="50"/>
      <c r="BY290" s="50"/>
      <c r="BZ290" s="50"/>
      <c r="CA290" s="50"/>
      <c r="CB290" s="50"/>
      <c r="CC290" s="50"/>
      <c r="CD290" s="52"/>
      <c r="CE290" s="50"/>
      <c r="CF290" s="50"/>
      <c r="CG290" s="50"/>
      <c r="CH290" s="50"/>
      <c r="CI290" s="50"/>
      <c r="CJ290" s="50"/>
      <c r="CK290" s="50"/>
      <c r="CL290" s="50"/>
      <c r="CM290" s="50"/>
      <c r="CN290" s="50"/>
      <c r="CO290" s="50"/>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row>
    <row r="291" spans="1:210" ht="15.75" customHeight="1">
      <c r="A291" s="50"/>
      <c r="B291" s="50"/>
      <c r="C291" s="50"/>
      <c r="D291" s="50"/>
      <c r="E291" s="50"/>
      <c r="F291" s="50"/>
      <c r="G291" s="51"/>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c r="AV291" s="50"/>
      <c r="AW291" s="50"/>
      <c r="AX291" s="50"/>
      <c r="AY291" s="50"/>
      <c r="AZ291" s="50"/>
      <c r="BA291" s="50"/>
      <c r="BB291" s="50"/>
      <c r="BC291" s="50"/>
      <c r="BD291" s="50"/>
      <c r="BE291" s="50"/>
      <c r="BF291" s="50"/>
      <c r="BG291" s="50"/>
      <c r="BH291" s="50"/>
      <c r="BI291" s="50"/>
      <c r="BJ291" s="50"/>
      <c r="BK291" s="50"/>
      <c r="BL291" s="50"/>
      <c r="BM291" s="50"/>
      <c r="BN291" s="50"/>
      <c r="BO291" s="50"/>
      <c r="BP291" s="50"/>
      <c r="BQ291" s="50"/>
      <c r="BR291" s="50"/>
      <c r="BS291" s="50"/>
      <c r="BT291" s="50"/>
      <c r="BU291" s="50"/>
      <c r="BV291" s="50"/>
      <c r="BW291" s="50"/>
      <c r="BX291" s="50"/>
      <c r="BY291" s="50"/>
      <c r="BZ291" s="50"/>
      <c r="CA291" s="50"/>
      <c r="CB291" s="50"/>
      <c r="CC291" s="50"/>
      <c r="CD291" s="52"/>
      <c r="CE291" s="50"/>
      <c r="CF291" s="50"/>
      <c r="CG291" s="50"/>
      <c r="CH291" s="50"/>
      <c r="CI291" s="50"/>
      <c r="CJ291" s="50"/>
      <c r="CK291" s="50"/>
      <c r="CL291" s="50"/>
      <c r="CM291" s="50"/>
      <c r="CN291" s="50"/>
      <c r="CO291" s="50"/>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row>
    <row r="292" spans="1:210" ht="15.75" customHeight="1">
      <c r="A292" s="50"/>
      <c r="B292" s="50"/>
      <c r="C292" s="50"/>
      <c r="D292" s="50"/>
      <c r="E292" s="50"/>
      <c r="F292" s="50"/>
      <c r="G292" s="51"/>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c r="AY292" s="50"/>
      <c r="AZ292" s="50"/>
      <c r="BA292" s="50"/>
      <c r="BB292" s="50"/>
      <c r="BC292" s="50"/>
      <c r="BD292" s="50"/>
      <c r="BE292" s="50"/>
      <c r="BF292" s="50"/>
      <c r="BG292" s="50"/>
      <c r="BH292" s="50"/>
      <c r="BI292" s="50"/>
      <c r="BJ292" s="50"/>
      <c r="BK292" s="50"/>
      <c r="BL292" s="50"/>
      <c r="BM292" s="50"/>
      <c r="BN292" s="50"/>
      <c r="BO292" s="50"/>
      <c r="BP292" s="50"/>
      <c r="BQ292" s="50"/>
      <c r="BR292" s="50"/>
      <c r="BS292" s="50"/>
      <c r="BT292" s="50"/>
      <c r="BU292" s="50"/>
      <c r="BV292" s="50"/>
      <c r="BW292" s="50"/>
      <c r="BX292" s="50"/>
      <c r="BY292" s="50"/>
      <c r="BZ292" s="50"/>
      <c r="CA292" s="50"/>
      <c r="CB292" s="50"/>
      <c r="CC292" s="50"/>
      <c r="CD292" s="52"/>
      <c r="CE292" s="50"/>
      <c r="CF292" s="50"/>
      <c r="CG292" s="50"/>
      <c r="CH292" s="50"/>
      <c r="CI292" s="50"/>
      <c r="CJ292" s="50"/>
      <c r="CK292" s="50"/>
      <c r="CL292" s="50"/>
      <c r="CM292" s="50"/>
      <c r="CN292" s="50"/>
      <c r="CO292" s="50"/>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row>
    <row r="293" spans="1:210" ht="15.75" customHeight="1">
      <c r="A293" s="50"/>
      <c r="B293" s="50"/>
      <c r="C293" s="50"/>
      <c r="D293" s="50"/>
      <c r="E293" s="50"/>
      <c r="F293" s="50"/>
      <c r="G293" s="51"/>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c r="AY293" s="50"/>
      <c r="AZ293" s="50"/>
      <c r="BA293" s="50"/>
      <c r="BB293" s="50"/>
      <c r="BC293" s="50"/>
      <c r="BD293" s="50"/>
      <c r="BE293" s="50"/>
      <c r="BF293" s="50"/>
      <c r="BG293" s="50"/>
      <c r="BH293" s="50"/>
      <c r="BI293" s="50"/>
      <c r="BJ293" s="50"/>
      <c r="BK293" s="50"/>
      <c r="BL293" s="50"/>
      <c r="BM293" s="50"/>
      <c r="BN293" s="50"/>
      <c r="BO293" s="50"/>
      <c r="BP293" s="50"/>
      <c r="BQ293" s="50"/>
      <c r="BR293" s="50"/>
      <c r="BS293" s="50"/>
      <c r="BT293" s="50"/>
      <c r="BU293" s="50"/>
      <c r="BV293" s="50"/>
      <c r="BW293" s="50"/>
      <c r="BX293" s="50"/>
      <c r="BY293" s="50"/>
      <c r="BZ293" s="50"/>
      <c r="CA293" s="50"/>
      <c r="CB293" s="50"/>
      <c r="CC293" s="50"/>
      <c r="CD293" s="52"/>
      <c r="CE293" s="50"/>
      <c r="CF293" s="50"/>
      <c r="CG293" s="50"/>
      <c r="CH293" s="50"/>
      <c r="CI293" s="50"/>
      <c r="CJ293" s="50"/>
      <c r="CK293" s="50"/>
      <c r="CL293" s="50"/>
      <c r="CM293" s="50"/>
      <c r="CN293" s="50"/>
      <c r="CO293" s="50"/>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row>
    <row r="294" spans="1:210" ht="15.75" customHeight="1">
      <c r="A294" s="50"/>
      <c r="B294" s="50"/>
      <c r="C294" s="50"/>
      <c r="D294" s="50"/>
      <c r="E294" s="50"/>
      <c r="F294" s="50"/>
      <c r="G294" s="51"/>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c r="AY294" s="50"/>
      <c r="AZ294" s="50"/>
      <c r="BA294" s="50"/>
      <c r="BB294" s="50"/>
      <c r="BC294" s="50"/>
      <c r="BD294" s="50"/>
      <c r="BE294" s="50"/>
      <c r="BF294" s="50"/>
      <c r="BG294" s="50"/>
      <c r="BH294" s="50"/>
      <c r="BI294" s="50"/>
      <c r="BJ294" s="50"/>
      <c r="BK294" s="50"/>
      <c r="BL294" s="50"/>
      <c r="BM294" s="50"/>
      <c r="BN294" s="50"/>
      <c r="BO294" s="50"/>
      <c r="BP294" s="50"/>
      <c r="BQ294" s="50"/>
      <c r="BR294" s="50"/>
      <c r="BS294" s="50"/>
      <c r="BT294" s="50"/>
      <c r="BU294" s="50"/>
      <c r="BV294" s="50"/>
      <c r="BW294" s="50"/>
      <c r="BX294" s="50"/>
      <c r="BY294" s="50"/>
      <c r="BZ294" s="50"/>
      <c r="CA294" s="50"/>
      <c r="CB294" s="50"/>
      <c r="CC294" s="50"/>
      <c r="CD294" s="52"/>
      <c r="CE294" s="50"/>
      <c r="CF294" s="50"/>
      <c r="CG294" s="50"/>
      <c r="CH294" s="50"/>
      <c r="CI294" s="50"/>
      <c r="CJ294" s="50"/>
      <c r="CK294" s="50"/>
      <c r="CL294" s="50"/>
      <c r="CM294" s="50"/>
      <c r="CN294" s="50"/>
      <c r="CO294" s="50"/>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row>
    <row r="295" spans="1:210" ht="15.75" customHeight="1">
      <c r="A295" s="50"/>
      <c r="B295" s="50"/>
      <c r="C295" s="50"/>
      <c r="D295" s="50"/>
      <c r="E295" s="50"/>
      <c r="F295" s="50"/>
      <c r="G295" s="51"/>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c r="AV295" s="50"/>
      <c r="AW295" s="50"/>
      <c r="AX295" s="50"/>
      <c r="AY295" s="50"/>
      <c r="AZ295" s="50"/>
      <c r="BA295" s="50"/>
      <c r="BB295" s="50"/>
      <c r="BC295" s="50"/>
      <c r="BD295" s="50"/>
      <c r="BE295" s="50"/>
      <c r="BF295" s="50"/>
      <c r="BG295" s="50"/>
      <c r="BH295" s="50"/>
      <c r="BI295" s="50"/>
      <c r="BJ295" s="50"/>
      <c r="BK295" s="50"/>
      <c r="BL295" s="50"/>
      <c r="BM295" s="50"/>
      <c r="BN295" s="50"/>
      <c r="BO295" s="50"/>
      <c r="BP295" s="50"/>
      <c r="BQ295" s="50"/>
      <c r="BR295" s="50"/>
      <c r="BS295" s="50"/>
      <c r="BT295" s="50"/>
      <c r="BU295" s="50"/>
      <c r="BV295" s="50"/>
      <c r="BW295" s="50"/>
      <c r="BX295" s="50"/>
      <c r="BY295" s="50"/>
      <c r="BZ295" s="50"/>
      <c r="CA295" s="50"/>
      <c r="CB295" s="50"/>
      <c r="CC295" s="50"/>
      <c r="CD295" s="52"/>
      <c r="CE295" s="50"/>
      <c r="CF295" s="50"/>
      <c r="CG295" s="50"/>
      <c r="CH295" s="50"/>
      <c r="CI295" s="50"/>
      <c r="CJ295" s="50"/>
      <c r="CK295" s="50"/>
      <c r="CL295" s="50"/>
      <c r="CM295" s="50"/>
      <c r="CN295" s="50"/>
      <c r="CO295" s="50"/>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row>
    <row r="296" spans="1:210" ht="15.75" customHeight="1">
      <c r="A296" s="50"/>
      <c r="B296" s="50"/>
      <c r="C296" s="50"/>
      <c r="D296" s="50"/>
      <c r="E296" s="50"/>
      <c r="F296" s="50"/>
      <c r="G296" s="51"/>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c r="AS296" s="50"/>
      <c r="AT296" s="50"/>
      <c r="AU296" s="50"/>
      <c r="AV296" s="50"/>
      <c r="AW296" s="50"/>
      <c r="AX296" s="50"/>
      <c r="AY296" s="50"/>
      <c r="AZ296" s="50"/>
      <c r="BA296" s="50"/>
      <c r="BB296" s="50"/>
      <c r="BC296" s="50"/>
      <c r="BD296" s="50"/>
      <c r="BE296" s="50"/>
      <c r="BF296" s="50"/>
      <c r="BG296" s="50"/>
      <c r="BH296" s="50"/>
      <c r="BI296" s="50"/>
      <c r="BJ296" s="50"/>
      <c r="BK296" s="50"/>
      <c r="BL296" s="50"/>
      <c r="BM296" s="50"/>
      <c r="BN296" s="50"/>
      <c r="BO296" s="50"/>
      <c r="BP296" s="50"/>
      <c r="BQ296" s="50"/>
      <c r="BR296" s="50"/>
      <c r="BS296" s="50"/>
      <c r="BT296" s="50"/>
      <c r="BU296" s="50"/>
      <c r="BV296" s="50"/>
      <c r="BW296" s="50"/>
      <c r="BX296" s="50"/>
      <c r="BY296" s="50"/>
      <c r="BZ296" s="50"/>
      <c r="CA296" s="50"/>
      <c r="CB296" s="50"/>
      <c r="CC296" s="50"/>
      <c r="CD296" s="52"/>
      <c r="CE296" s="50"/>
      <c r="CF296" s="50"/>
      <c r="CG296" s="50"/>
      <c r="CH296" s="50"/>
      <c r="CI296" s="50"/>
      <c r="CJ296" s="50"/>
      <c r="CK296" s="50"/>
      <c r="CL296" s="50"/>
      <c r="CM296" s="50"/>
      <c r="CN296" s="50"/>
      <c r="CO296" s="50"/>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row>
    <row r="297" spans="1:210" ht="15.75" customHeight="1">
      <c r="A297" s="50"/>
      <c r="B297" s="50"/>
      <c r="C297" s="50"/>
      <c r="D297" s="50"/>
      <c r="E297" s="50"/>
      <c r="F297" s="50"/>
      <c r="G297" s="51"/>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c r="AS297" s="50"/>
      <c r="AT297" s="50"/>
      <c r="AU297" s="50"/>
      <c r="AV297" s="50"/>
      <c r="AW297" s="50"/>
      <c r="AX297" s="50"/>
      <c r="AY297" s="50"/>
      <c r="AZ297" s="50"/>
      <c r="BA297" s="50"/>
      <c r="BB297" s="50"/>
      <c r="BC297" s="50"/>
      <c r="BD297" s="50"/>
      <c r="BE297" s="50"/>
      <c r="BF297" s="50"/>
      <c r="BG297" s="50"/>
      <c r="BH297" s="50"/>
      <c r="BI297" s="50"/>
      <c r="BJ297" s="50"/>
      <c r="BK297" s="50"/>
      <c r="BL297" s="50"/>
      <c r="BM297" s="50"/>
      <c r="BN297" s="50"/>
      <c r="BO297" s="50"/>
      <c r="BP297" s="50"/>
      <c r="BQ297" s="50"/>
      <c r="BR297" s="50"/>
      <c r="BS297" s="50"/>
      <c r="BT297" s="50"/>
      <c r="BU297" s="50"/>
      <c r="BV297" s="50"/>
      <c r="BW297" s="50"/>
      <c r="BX297" s="50"/>
      <c r="BY297" s="50"/>
      <c r="BZ297" s="50"/>
      <c r="CA297" s="50"/>
      <c r="CB297" s="50"/>
      <c r="CC297" s="50"/>
      <c r="CD297" s="52"/>
      <c r="CE297" s="50"/>
      <c r="CF297" s="50"/>
      <c r="CG297" s="50"/>
      <c r="CH297" s="50"/>
      <c r="CI297" s="50"/>
      <c r="CJ297" s="50"/>
      <c r="CK297" s="50"/>
      <c r="CL297" s="50"/>
      <c r="CM297" s="50"/>
      <c r="CN297" s="50"/>
      <c r="CO297" s="50"/>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row>
    <row r="298" spans="1:210" ht="15.75" customHeight="1">
      <c r="A298" s="50"/>
      <c r="B298" s="50"/>
      <c r="C298" s="50"/>
      <c r="D298" s="50"/>
      <c r="E298" s="50"/>
      <c r="F298" s="50"/>
      <c r="G298" s="51"/>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c r="AR298" s="50"/>
      <c r="AS298" s="50"/>
      <c r="AT298" s="50"/>
      <c r="AU298" s="50"/>
      <c r="AV298" s="50"/>
      <c r="AW298" s="50"/>
      <c r="AX298" s="50"/>
      <c r="AY298" s="50"/>
      <c r="AZ298" s="50"/>
      <c r="BA298" s="50"/>
      <c r="BB298" s="50"/>
      <c r="BC298" s="50"/>
      <c r="BD298" s="50"/>
      <c r="BE298" s="50"/>
      <c r="BF298" s="50"/>
      <c r="BG298" s="50"/>
      <c r="BH298" s="50"/>
      <c r="BI298" s="50"/>
      <c r="BJ298" s="50"/>
      <c r="BK298" s="50"/>
      <c r="BL298" s="50"/>
      <c r="BM298" s="50"/>
      <c r="BN298" s="50"/>
      <c r="BO298" s="50"/>
      <c r="BP298" s="50"/>
      <c r="BQ298" s="50"/>
      <c r="BR298" s="50"/>
      <c r="BS298" s="50"/>
      <c r="BT298" s="50"/>
      <c r="BU298" s="50"/>
      <c r="BV298" s="50"/>
      <c r="BW298" s="50"/>
      <c r="BX298" s="50"/>
      <c r="BY298" s="50"/>
      <c r="BZ298" s="50"/>
      <c r="CA298" s="50"/>
      <c r="CB298" s="50"/>
      <c r="CC298" s="50"/>
      <c r="CD298" s="52"/>
      <c r="CE298" s="50"/>
      <c r="CF298" s="50"/>
      <c r="CG298" s="50"/>
      <c r="CH298" s="50"/>
      <c r="CI298" s="50"/>
      <c r="CJ298" s="50"/>
      <c r="CK298" s="50"/>
      <c r="CL298" s="50"/>
      <c r="CM298" s="50"/>
      <c r="CN298" s="50"/>
      <c r="CO298" s="50"/>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row>
    <row r="299" spans="1:210" ht="15.75" customHeight="1">
      <c r="A299" s="50"/>
      <c r="B299" s="50"/>
      <c r="C299" s="50"/>
      <c r="D299" s="50"/>
      <c r="E299" s="50"/>
      <c r="F299" s="50"/>
      <c r="G299" s="51"/>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c r="AR299" s="50"/>
      <c r="AS299" s="50"/>
      <c r="AT299" s="50"/>
      <c r="AU299" s="50"/>
      <c r="AV299" s="50"/>
      <c r="AW299" s="50"/>
      <c r="AX299" s="50"/>
      <c r="AY299" s="50"/>
      <c r="AZ299" s="50"/>
      <c r="BA299" s="50"/>
      <c r="BB299" s="50"/>
      <c r="BC299" s="50"/>
      <c r="BD299" s="50"/>
      <c r="BE299" s="50"/>
      <c r="BF299" s="50"/>
      <c r="BG299" s="50"/>
      <c r="BH299" s="50"/>
      <c r="BI299" s="50"/>
      <c r="BJ299" s="50"/>
      <c r="BK299" s="50"/>
      <c r="BL299" s="50"/>
      <c r="BM299" s="50"/>
      <c r="BN299" s="50"/>
      <c r="BO299" s="50"/>
      <c r="BP299" s="50"/>
      <c r="BQ299" s="50"/>
      <c r="BR299" s="50"/>
      <c r="BS299" s="50"/>
      <c r="BT299" s="50"/>
      <c r="BU299" s="50"/>
      <c r="BV299" s="50"/>
      <c r="BW299" s="50"/>
      <c r="BX299" s="50"/>
      <c r="BY299" s="50"/>
      <c r="BZ299" s="50"/>
      <c r="CA299" s="50"/>
      <c r="CB299" s="50"/>
      <c r="CC299" s="50"/>
      <c r="CD299" s="52"/>
      <c r="CE299" s="50"/>
      <c r="CF299" s="50"/>
      <c r="CG299" s="50"/>
      <c r="CH299" s="50"/>
      <c r="CI299" s="50"/>
      <c r="CJ299" s="50"/>
      <c r="CK299" s="50"/>
      <c r="CL299" s="50"/>
      <c r="CM299" s="50"/>
      <c r="CN299" s="50"/>
      <c r="CO299" s="50"/>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row>
    <row r="300" spans="1:210" ht="15.75" customHeight="1">
      <c r="A300" s="50"/>
      <c r="B300" s="50"/>
      <c r="C300" s="50"/>
      <c r="D300" s="50"/>
      <c r="E300" s="50"/>
      <c r="F300" s="50"/>
      <c r="G300" s="51"/>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c r="AR300" s="50"/>
      <c r="AS300" s="50"/>
      <c r="AT300" s="50"/>
      <c r="AU300" s="50"/>
      <c r="AV300" s="50"/>
      <c r="AW300" s="50"/>
      <c r="AX300" s="50"/>
      <c r="AY300" s="50"/>
      <c r="AZ300" s="50"/>
      <c r="BA300" s="50"/>
      <c r="BB300" s="50"/>
      <c r="BC300" s="50"/>
      <c r="BD300" s="50"/>
      <c r="BE300" s="50"/>
      <c r="BF300" s="50"/>
      <c r="BG300" s="50"/>
      <c r="BH300" s="50"/>
      <c r="BI300" s="50"/>
      <c r="BJ300" s="50"/>
      <c r="BK300" s="50"/>
      <c r="BL300" s="50"/>
      <c r="BM300" s="50"/>
      <c r="BN300" s="50"/>
      <c r="BO300" s="50"/>
      <c r="BP300" s="50"/>
      <c r="BQ300" s="50"/>
      <c r="BR300" s="50"/>
      <c r="BS300" s="50"/>
      <c r="BT300" s="50"/>
      <c r="BU300" s="50"/>
      <c r="BV300" s="50"/>
      <c r="BW300" s="50"/>
      <c r="BX300" s="50"/>
      <c r="BY300" s="50"/>
      <c r="BZ300" s="50"/>
      <c r="CA300" s="50"/>
      <c r="CB300" s="50"/>
      <c r="CC300" s="50"/>
      <c r="CD300" s="52"/>
      <c r="CE300" s="50"/>
      <c r="CF300" s="50"/>
      <c r="CG300" s="50"/>
      <c r="CH300" s="50"/>
      <c r="CI300" s="50"/>
      <c r="CJ300" s="50"/>
      <c r="CK300" s="50"/>
      <c r="CL300" s="50"/>
      <c r="CM300" s="50"/>
      <c r="CN300" s="50"/>
      <c r="CO300" s="50"/>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row>
    <row r="301" spans="1:210" ht="15.75" customHeight="1">
      <c r="A301" s="50"/>
      <c r="B301" s="50"/>
      <c r="C301" s="50"/>
      <c r="D301" s="50"/>
      <c r="E301" s="50"/>
      <c r="F301" s="50"/>
      <c r="G301" s="51"/>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c r="AR301" s="50"/>
      <c r="AS301" s="50"/>
      <c r="AT301" s="50"/>
      <c r="AU301" s="50"/>
      <c r="AV301" s="50"/>
      <c r="AW301" s="50"/>
      <c r="AX301" s="50"/>
      <c r="AY301" s="50"/>
      <c r="AZ301" s="50"/>
      <c r="BA301" s="50"/>
      <c r="BB301" s="50"/>
      <c r="BC301" s="50"/>
      <c r="BD301" s="50"/>
      <c r="BE301" s="50"/>
      <c r="BF301" s="50"/>
      <c r="BG301" s="50"/>
      <c r="BH301" s="50"/>
      <c r="BI301" s="50"/>
      <c r="BJ301" s="50"/>
      <c r="BK301" s="50"/>
      <c r="BL301" s="50"/>
      <c r="BM301" s="50"/>
      <c r="BN301" s="50"/>
      <c r="BO301" s="50"/>
      <c r="BP301" s="50"/>
      <c r="BQ301" s="50"/>
      <c r="BR301" s="50"/>
      <c r="BS301" s="50"/>
      <c r="BT301" s="50"/>
      <c r="BU301" s="50"/>
      <c r="BV301" s="50"/>
      <c r="BW301" s="50"/>
      <c r="BX301" s="50"/>
      <c r="BY301" s="50"/>
      <c r="BZ301" s="50"/>
      <c r="CA301" s="50"/>
      <c r="CB301" s="50"/>
      <c r="CC301" s="50"/>
      <c r="CD301" s="52"/>
      <c r="CE301" s="50"/>
      <c r="CF301" s="50"/>
      <c r="CG301" s="50"/>
      <c r="CH301" s="50"/>
      <c r="CI301" s="50"/>
      <c r="CJ301" s="50"/>
      <c r="CK301" s="50"/>
      <c r="CL301" s="50"/>
      <c r="CM301" s="50"/>
      <c r="CN301" s="50"/>
      <c r="CO301" s="50"/>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row>
    <row r="302" spans="1:210" ht="15.75" customHeight="1">
      <c r="A302" s="50"/>
      <c r="B302" s="50"/>
      <c r="C302" s="50"/>
      <c r="D302" s="50"/>
      <c r="E302" s="50"/>
      <c r="F302" s="50"/>
      <c r="G302" s="51"/>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c r="AR302" s="50"/>
      <c r="AS302" s="50"/>
      <c r="AT302" s="50"/>
      <c r="AU302" s="50"/>
      <c r="AV302" s="50"/>
      <c r="AW302" s="50"/>
      <c r="AX302" s="50"/>
      <c r="AY302" s="50"/>
      <c r="AZ302" s="50"/>
      <c r="BA302" s="50"/>
      <c r="BB302" s="50"/>
      <c r="BC302" s="50"/>
      <c r="BD302" s="50"/>
      <c r="BE302" s="50"/>
      <c r="BF302" s="50"/>
      <c r="BG302" s="50"/>
      <c r="BH302" s="50"/>
      <c r="BI302" s="50"/>
      <c r="BJ302" s="50"/>
      <c r="BK302" s="50"/>
      <c r="BL302" s="50"/>
      <c r="BM302" s="50"/>
      <c r="BN302" s="50"/>
      <c r="BO302" s="50"/>
      <c r="BP302" s="50"/>
      <c r="BQ302" s="50"/>
      <c r="BR302" s="50"/>
      <c r="BS302" s="50"/>
      <c r="BT302" s="50"/>
      <c r="BU302" s="50"/>
      <c r="BV302" s="50"/>
      <c r="BW302" s="50"/>
      <c r="BX302" s="50"/>
      <c r="BY302" s="50"/>
      <c r="BZ302" s="50"/>
      <c r="CA302" s="50"/>
      <c r="CB302" s="50"/>
      <c r="CC302" s="50"/>
      <c r="CD302" s="52"/>
      <c r="CE302" s="50"/>
      <c r="CF302" s="50"/>
      <c r="CG302" s="50"/>
      <c r="CH302" s="50"/>
      <c r="CI302" s="50"/>
      <c r="CJ302" s="50"/>
      <c r="CK302" s="50"/>
      <c r="CL302" s="50"/>
      <c r="CM302" s="50"/>
      <c r="CN302" s="50"/>
      <c r="CO302" s="50"/>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row>
    <row r="303" spans="1:210" ht="15.75" customHeight="1">
      <c r="A303" s="50"/>
      <c r="B303" s="50"/>
      <c r="C303" s="50"/>
      <c r="D303" s="50"/>
      <c r="E303" s="50"/>
      <c r="F303" s="50"/>
      <c r="G303" s="51"/>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0"/>
      <c r="BR303" s="50"/>
      <c r="BS303" s="50"/>
      <c r="BT303" s="50"/>
      <c r="BU303" s="50"/>
      <c r="BV303" s="50"/>
      <c r="BW303" s="50"/>
      <c r="BX303" s="50"/>
      <c r="BY303" s="50"/>
      <c r="BZ303" s="50"/>
      <c r="CA303" s="50"/>
      <c r="CB303" s="50"/>
      <c r="CC303" s="50"/>
      <c r="CD303" s="52"/>
      <c r="CE303" s="50"/>
      <c r="CF303" s="50"/>
      <c r="CG303" s="50"/>
      <c r="CH303" s="50"/>
      <c r="CI303" s="50"/>
      <c r="CJ303" s="50"/>
      <c r="CK303" s="50"/>
      <c r="CL303" s="50"/>
      <c r="CM303" s="50"/>
      <c r="CN303" s="50"/>
      <c r="CO303" s="50"/>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row>
    <row r="304" spans="1:210" ht="15.75" customHeight="1">
      <c r="A304" s="50"/>
      <c r="B304" s="50"/>
      <c r="C304" s="50"/>
      <c r="D304" s="50"/>
      <c r="E304" s="50"/>
      <c r="F304" s="50"/>
      <c r="G304" s="51"/>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c r="AR304" s="50"/>
      <c r="AS304" s="50"/>
      <c r="AT304" s="50"/>
      <c r="AU304" s="50"/>
      <c r="AV304" s="50"/>
      <c r="AW304" s="50"/>
      <c r="AX304" s="50"/>
      <c r="AY304" s="50"/>
      <c r="AZ304" s="50"/>
      <c r="BA304" s="50"/>
      <c r="BB304" s="50"/>
      <c r="BC304" s="50"/>
      <c r="BD304" s="50"/>
      <c r="BE304" s="50"/>
      <c r="BF304" s="50"/>
      <c r="BG304" s="50"/>
      <c r="BH304" s="50"/>
      <c r="BI304" s="50"/>
      <c r="BJ304" s="50"/>
      <c r="BK304" s="50"/>
      <c r="BL304" s="50"/>
      <c r="BM304" s="50"/>
      <c r="BN304" s="50"/>
      <c r="BO304" s="50"/>
      <c r="BP304" s="50"/>
      <c r="BQ304" s="50"/>
      <c r="BR304" s="50"/>
      <c r="BS304" s="50"/>
      <c r="BT304" s="50"/>
      <c r="BU304" s="50"/>
      <c r="BV304" s="50"/>
      <c r="BW304" s="50"/>
      <c r="BX304" s="50"/>
      <c r="BY304" s="50"/>
      <c r="BZ304" s="50"/>
      <c r="CA304" s="50"/>
      <c r="CB304" s="50"/>
      <c r="CC304" s="50"/>
      <c r="CD304" s="52"/>
      <c r="CE304" s="50"/>
      <c r="CF304" s="50"/>
      <c r="CG304" s="50"/>
      <c r="CH304" s="50"/>
      <c r="CI304" s="50"/>
      <c r="CJ304" s="50"/>
      <c r="CK304" s="50"/>
      <c r="CL304" s="50"/>
      <c r="CM304" s="50"/>
      <c r="CN304" s="50"/>
      <c r="CO304" s="50"/>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row>
    <row r="305" spans="1:210" ht="15.75" customHeight="1">
      <c r="A305" s="50"/>
      <c r="B305" s="50"/>
      <c r="C305" s="50"/>
      <c r="D305" s="50"/>
      <c r="E305" s="50"/>
      <c r="F305" s="50"/>
      <c r="G305" s="51"/>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c r="AR305" s="50"/>
      <c r="AS305" s="50"/>
      <c r="AT305" s="50"/>
      <c r="AU305" s="50"/>
      <c r="AV305" s="50"/>
      <c r="AW305" s="50"/>
      <c r="AX305" s="50"/>
      <c r="AY305" s="50"/>
      <c r="AZ305" s="50"/>
      <c r="BA305" s="50"/>
      <c r="BB305" s="50"/>
      <c r="BC305" s="50"/>
      <c r="BD305" s="50"/>
      <c r="BE305" s="50"/>
      <c r="BF305" s="50"/>
      <c r="BG305" s="50"/>
      <c r="BH305" s="50"/>
      <c r="BI305" s="50"/>
      <c r="BJ305" s="50"/>
      <c r="BK305" s="50"/>
      <c r="BL305" s="50"/>
      <c r="BM305" s="50"/>
      <c r="BN305" s="50"/>
      <c r="BO305" s="50"/>
      <c r="BP305" s="50"/>
      <c r="BQ305" s="50"/>
      <c r="BR305" s="50"/>
      <c r="BS305" s="50"/>
      <c r="BT305" s="50"/>
      <c r="BU305" s="50"/>
      <c r="BV305" s="50"/>
      <c r="BW305" s="50"/>
      <c r="BX305" s="50"/>
      <c r="BY305" s="50"/>
      <c r="BZ305" s="50"/>
      <c r="CA305" s="50"/>
      <c r="CB305" s="50"/>
      <c r="CC305" s="50"/>
      <c r="CD305" s="52"/>
      <c r="CE305" s="50"/>
      <c r="CF305" s="50"/>
      <c r="CG305" s="50"/>
      <c r="CH305" s="50"/>
      <c r="CI305" s="50"/>
      <c r="CJ305" s="50"/>
      <c r="CK305" s="50"/>
      <c r="CL305" s="50"/>
      <c r="CM305" s="50"/>
      <c r="CN305" s="50"/>
      <c r="CO305" s="50"/>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row>
    <row r="306" spans="1:210" ht="15.75" customHeight="1">
      <c r="A306" s="50"/>
      <c r="B306" s="50"/>
      <c r="C306" s="50"/>
      <c r="D306" s="50"/>
      <c r="E306" s="50"/>
      <c r="F306" s="50"/>
      <c r="G306" s="51"/>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c r="AR306" s="50"/>
      <c r="AS306" s="50"/>
      <c r="AT306" s="50"/>
      <c r="AU306" s="50"/>
      <c r="AV306" s="50"/>
      <c r="AW306" s="50"/>
      <c r="AX306" s="50"/>
      <c r="AY306" s="50"/>
      <c r="AZ306" s="50"/>
      <c r="BA306" s="50"/>
      <c r="BB306" s="50"/>
      <c r="BC306" s="50"/>
      <c r="BD306" s="50"/>
      <c r="BE306" s="50"/>
      <c r="BF306" s="50"/>
      <c r="BG306" s="50"/>
      <c r="BH306" s="50"/>
      <c r="BI306" s="50"/>
      <c r="BJ306" s="50"/>
      <c r="BK306" s="50"/>
      <c r="BL306" s="50"/>
      <c r="BM306" s="50"/>
      <c r="BN306" s="50"/>
      <c r="BO306" s="50"/>
      <c r="BP306" s="50"/>
      <c r="BQ306" s="50"/>
      <c r="BR306" s="50"/>
      <c r="BS306" s="50"/>
      <c r="BT306" s="50"/>
      <c r="BU306" s="50"/>
      <c r="BV306" s="50"/>
      <c r="BW306" s="50"/>
      <c r="BX306" s="50"/>
      <c r="BY306" s="50"/>
      <c r="BZ306" s="50"/>
      <c r="CA306" s="50"/>
      <c r="CB306" s="50"/>
      <c r="CC306" s="50"/>
      <c r="CD306" s="52"/>
      <c r="CE306" s="50"/>
      <c r="CF306" s="50"/>
      <c r="CG306" s="50"/>
      <c r="CH306" s="50"/>
      <c r="CI306" s="50"/>
      <c r="CJ306" s="50"/>
      <c r="CK306" s="50"/>
      <c r="CL306" s="50"/>
      <c r="CM306" s="50"/>
      <c r="CN306" s="50"/>
      <c r="CO306" s="50"/>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row>
    <row r="307" spans="1:210" ht="15.75" customHeight="1">
      <c r="A307" s="50"/>
      <c r="B307" s="50"/>
      <c r="C307" s="50"/>
      <c r="D307" s="50"/>
      <c r="E307" s="50"/>
      <c r="F307" s="50"/>
      <c r="G307" s="51"/>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c r="AS307" s="50"/>
      <c r="AT307" s="50"/>
      <c r="AU307" s="50"/>
      <c r="AV307" s="50"/>
      <c r="AW307" s="50"/>
      <c r="AX307" s="50"/>
      <c r="AY307" s="50"/>
      <c r="AZ307" s="50"/>
      <c r="BA307" s="50"/>
      <c r="BB307" s="50"/>
      <c r="BC307" s="50"/>
      <c r="BD307" s="50"/>
      <c r="BE307" s="50"/>
      <c r="BF307" s="50"/>
      <c r="BG307" s="50"/>
      <c r="BH307" s="50"/>
      <c r="BI307" s="50"/>
      <c r="BJ307" s="50"/>
      <c r="BK307" s="50"/>
      <c r="BL307" s="50"/>
      <c r="BM307" s="50"/>
      <c r="BN307" s="50"/>
      <c r="BO307" s="50"/>
      <c r="BP307" s="50"/>
      <c r="BQ307" s="50"/>
      <c r="BR307" s="50"/>
      <c r="BS307" s="50"/>
      <c r="BT307" s="50"/>
      <c r="BU307" s="50"/>
      <c r="BV307" s="50"/>
      <c r="BW307" s="50"/>
      <c r="BX307" s="50"/>
      <c r="BY307" s="50"/>
      <c r="BZ307" s="50"/>
      <c r="CA307" s="50"/>
      <c r="CB307" s="50"/>
      <c r="CC307" s="50"/>
      <c r="CD307" s="52"/>
      <c r="CE307" s="50"/>
      <c r="CF307" s="50"/>
      <c r="CG307" s="50"/>
      <c r="CH307" s="50"/>
      <c r="CI307" s="50"/>
      <c r="CJ307" s="50"/>
      <c r="CK307" s="50"/>
      <c r="CL307" s="50"/>
      <c r="CM307" s="50"/>
      <c r="CN307" s="50"/>
      <c r="CO307" s="50"/>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row>
    <row r="308" spans="1:210" ht="15.75" customHeight="1">
      <c r="A308" s="50"/>
      <c r="B308" s="50"/>
      <c r="C308" s="50"/>
      <c r="D308" s="50"/>
      <c r="E308" s="50"/>
      <c r="F308" s="50"/>
      <c r="G308" s="51"/>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c r="AR308" s="50"/>
      <c r="AS308" s="50"/>
      <c r="AT308" s="50"/>
      <c r="AU308" s="50"/>
      <c r="AV308" s="50"/>
      <c r="AW308" s="50"/>
      <c r="AX308" s="50"/>
      <c r="AY308" s="50"/>
      <c r="AZ308" s="50"/>
      <c r="BA308" s="50"/>
      <c r="BB308" s="50"/>
      <c r="BC308" s="50"/>
      <c r="BD308" s="50"/>
      <c r="BE308" s="50"/>
      <c r="BF308" s="50"/>
      <c r="BG308" s="50"/>
      <c r="BH308" s="50"/>
      <c r="BI308" s="50"/>
      <c r="BJ308" s="50"/>
      <c r="BK308" s="50"/>
      <c r="BL308" s="50"/>
      <c r="BM308" s="50"/>
      <c r="BN308" s="50"/>
      <c r="BO308" s="50"/>
      <c r="BP308" s="50"/>
      <c r="BQ308" s="50"/>
      <c r="BR308" s="50"/>
      <c r="BS308" s="50"/>
      <c r="BT308" s="50"/>
      <c r="BU308" s="50"/>
      <c r="BV308" s="50"/>
      <c r="BW308" s="50"/>
      <c r="BX308" s="50"/>
      <c r="BY308" s="50"/>
      <c r="BZ308" s="50"/>
      <c r="CA308" s="50"/>
      <c r="CB308" s="50"/>
      <c r="CC308" s="50"/>
      <c r="CD308" s="52"/>
      <c r="CE308" s="50"/>
      <c r="CF308" s="50"/>
      <c r="CG308" s="50"/>
      <c r="CH308" s="50"/>
      <c r="CI308" s="50"/>
      <c r="CJ308" s="50"/>
      <c r="CK308" s="50"/>
      <c r="CL308" s="50"/>
      <c r="CM308" s="50"/>
      <c r="CN308" s="50"/>
      <c r="CO308" s="50"/>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row>
    <row r="309" spans="1:210" ht="15.75" customHeight="1">
      <c r="A309" s="50"/>
      <c r="B309" s="50"/>
      <c r="C309" s="50"/>
      <c r="D309" s="50"/>
      <c r="E309" s="50"/>
      <c r="F309" s="50"/>
      <c r="G309" s="51"/>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c r="AR309" s="50"/>
      <c r="AS309" s="50"/>
      <c r="AT309" s="50"/>
      <c r="AU309" s="50"/>
      <c r="AV309" s="50"/>
      <c r="AW309" s="50"/>
      <c r="AX309" s="50"/>
      <c r="AY309" s="50"/>
      <c r="AZ309" s="50"/>
      <c r="BA309" s="50"/>
      <c r="BB309" s="50"/>
      <c r="BC309" s="50"/>
      <c r="BD309" s="50"/>
      <c r="BE309" s="50"/>
      <c r="BF309" s="50"/>
      <c r="BG309" s="50"/>
      <c r="BH309" s="50"/>
      <c r="BI309" s="50"/>
      <c r="BJ309" s="50"/>
      <c r="BK309" s="50"/>
      <c r="BL309" s="50"/>
      <c r="BM309" s="50"/>
      <c r="BN309" s="50"/>
      <c r="BO309" s="50"/>
      <c r="BP309" s="50"/>
      <c r="BQ309" s="50"/>
      <c r="BR309" s="50"/>
      <c r="BS309" s="50"/>
      <c r="BT309" s="50"/>
      <c r="BU309" s="50"/>
      <c r="BV309" s="50"/>
      <c r="BW309" s="50"/>
      <c r="BX309" s="50"/>
      <c r="BY309" s="50"/>
      <c r="BZ309" s="50"/>
      <c r="CA309" s="50"/>
      <c r="CB309" s="50"/>
      <c r="CC309" s="50"/>
      <c r="CD309" s="52"/>
      <c r="CE309" s="50"/>
      <c r="CF309" s="50"/>
      <c r="CG309" s="50"/>
      <c r="CH309" s="50"/>
      <c r="CI309" s="50"/>
      <c r="CJ309" s="50"/>
      <c r="CK309" s="50"/>
      <c r="CL309" s="50"/>
      <c r="CM309" s="50"/>
      <c r="CN309" s="50"/>
      <c r="CO309" s="50"/>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c r="GP309" s="3"/>
      <c r="GQ309" s="3"/>
      <c r="GR309" s="3"/>
      <c r="GS309" s="3"/>
      <c r="GT309" s="3"/>
      <c r="GU309" s="3"/>
      <c r="GV309" s="3"/>
      <c r="GW309" s="3"/>
      <c r="GX309" s="3"/>
      <c r="GY309" s="3"/>
      <c r="GZ309" s="3"/>
      <c r="HA309" s="3"/>
      <c r="HB309" s="3"/>
    </row>
    <row r="310" spans="1:210" ht="15.75" customHeight="1">
      <c r="A310" s="50"/>
      <c r="B310" s="50"/>
      <c r="C310" s="50"/>
      <c r="D310" s="50"/>
      <c r="E310" s="50"/>
      <c r="F310" s="50"/>
      <c r="G310" s="51"/>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c r="AR310" s="50"/>
      <c r="AS310" s="50"/>
      <c r="AT310" s="50"/>
      <c r="AU310" s="50"/>
      <c r="AV310" s="50"/>
      <c r="AW310" s="50"/>
      <c r="AX310" s="50"/>
      <c r="AY310" s="50"/>
      <c r="AZ310" s="50"/>
      <c r="BA310" s="50"/>
      <c r="BB310" s="50"/>
      <c r="BC310" s="50"/>
      <c r="BD310" s="50"/>
      <c r="BE310" s="50"/>
      <c r="BF310" s="50"/>
      <c r="BG310" s="50"/>
      <c r="BH310" s="50"/>
      <c r="BI310" s="50"/>
      <c r="BJ310" s="50"/>
      <c r="BK310" s="50"/>
      <c r="BL310" s="50"/>
      <c r="BM310" s="50"/>
      <c r="BN310" s="50"/>
      <c r="BO310" s="50"/>
      <c r="BP310" s="50"/>
      <c r="BQ310" s="50"/>
      <c r="BR310" s="50"/>
      <c r="BS310" s="50"/>
      <c r="BT310" s="50"/>
      <c r="BU310" s="50"/>
      <c r="BV310" s="50"/>
      <c r="BW310" s="50"/>
      <c r="BX310" s="50"/>
      <c r="BY310" s="50"/>
      <c r="BZ310" s="50"/>
      <c r="CA310" s="50"/>
      <c r="CB310" s="50"/>
      <c r="CC310" s="50"/>
      <c r="CD310" s="52"/>
      <c r="CE310" s="50"/>
      <c r="CF310" s="50"/>
      <c r="CG310" s="50"/>
      <c r="CH310" s="50"/>
      <c r="CI310" s="50"/>
      <c r="CJ310" s="50"/>
      <c r="CK310" s="50"/>
      <c r="CL310" s="50"/>
      <c r="CM310" s="50"/>
      <c r="CN310" s="50"/>
      <c r="CO310" s="50"/>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c r="GP310" s="3"/>
      <c r="GQ310" s="3"/>
      <c r="GR310" s="3"/>
      <c r="GS310" s="3"/>
      <c r="GT310" s="3"/>
      <c r="GU310" s="3"/>
      <c r="GV310" s="3"/>
      <c r="GW310" s="3"/>
      <c r="GX310" s="3"/>
      <c r="GY310" s="3"/>
      <c r="GZ310" s="3"/>
      <c r="HA310" s="3"/>
      <c r="HB310" s="3"/>
    </row>
    <row r="311" spans="1:210" ht="15.75" customHeight="1">
      <c r="A311" s="50"/>
      <c r="B311" s="50"/>
      <c r="C311" s="50"/>
      <c r="D311" s="50"/>
      <c r="E311" s="50"/>
      <c r="F311" s="50"/>
      <c r="G311" s="51"/>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c r="AR311" s="50"/>
      <c r="AS311" s="50"/>
      <c r="AT311" s="50"/>
      <c r="AU311" s="50"/>
      <c r="AV311" s="50"/>
      <c r="AW311" s="50"/>
      <c r="AX311" s="50"/>
      <c r="AY311" s="50"/>
      <c r="AZ311" s="50"/>
      <c r="BA311" s="50"/>
      <c r="BB311" s="50"/>
      <c r="BC311" s="50"/>
      <c r="BD311" s="50"/>
      <c r="BE311" s="50"/>
      <c r="BF311" s="50"/>
      <c r="BG311" s="50"/>
      <c r="BH311" s="50"/>
      <c r="BI311" s="50"/>
      <c r="BJ311" s="50"/>
      <c r="BK311" s="50"/>
      <c r="BL311" s="50"/>
      <c r="BM311" s="50"/>
      <c r="BN311" s="50"/>
      <c r="BO311" s="50"/>
      <c r="BP311" s="50"/>
      <c r="BQ311" s="50"/>
      <c r="BR311" s="50"/>
      <c r="BS311" s="50"/>
      <c r="BT311" s="50"/>
      <c r="BU311" s="50"/>
      <c r="BV311" s="50"/>
      <c r="BW311" s="50"/>
      <c r="BX311" s="50"/>
      <c r="BY311" s="50"/>
      <c r="BZ311" s="50"/>
      <c r="CA311" s="50"/>
      <c r="CB311" s="50"/>
      <c r="CC311" s="50"/>
      <c r="CD311" s="52"/>
      <c r="CE311" s="50"/>
      <c r="CF311" s="50"/>
      <c r="CG311" s="50"/>
      <c r="CH311" s="50"/>
      <c r="CI311" s="50"/>
      <c r="CJ311" s="50"/>
      <c r="CK311" s="50"/>
      <c r="CL311" s="50"/>
      <c r="CM311" s="50"/>
      <c r="CN311" s="50"/>
      <c r="CO311" s="50"/>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c r="GP311" s="3"/>
      <c r="GQ311" s="3"/>
      <c r="GR311" s="3"/>
      <c r="GS311" s="3"/>
      <c r="GT311" s="3"/>
      <c r="GU311" s="3"/>
      <c r="GV311" s="3"/>
      <c r="GW311" s="3"/>
      <c r="GX311" s="3"/>
      <c r="GY311" s="3"/>
      <c r="GZ311" s="3"/>
      <c r="HA311" s="3"/>
      <c r="HB311" s="3"/>
    </row>
    <row r="312" spans="1:210" ht="15.75" customHeight="1">
      <c r="A312" s="50"/>
      <c r="B312" s="50"/>
      <c r="C312" s="50"/>
      <c r="D312" s="50"/>
      <c r="E312" s="50"/>
      <c r="F312" s="50"/>
      <c r="G312" s="51"/>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50"/>
      <c r="AV312" s="50"/>
      <c r="AW312" s="50"/>
      <c r="AX312" s="50"/>
      <c r="AY312" s="50"/>
      <c r="AZ312" s="50"/>
      <c r="BA312" s="50"/>
      <c r="BB312" s="50"/>
      <c r="BC312" s="50"/>
      <c r="BD312" s="50"/>
      <c r="BE312" s="50"/>
      <c r="BF312" s="50"/>
      <c r="BG312" s="50"/>
      <c r="BH312" s="50"/>
      <c r="BI312" s="50"/>
      <c r="BJ312" s="50"/>
      <c r="BK312" s="50"/>
      <c r="BL312" s="50"/>
      <c r="BM312" s="50"/>
      <c r="BN312" s="50"/>
      <c r="BO312" s="50"/>
      <c r="BP312" s="50"/>
      <c r="BQ312" s="50"/>
      <c r="BR312" s="50"/>
      <c r="BS312" s="50"/>
      <c r="BT312" s="50"/>
      <c r="BU312" s="50"/>
      <c r="BV312" s="50"/>
      <c r="BW312" s="50"/>
      <c r="BX312" s="50"/>
      <c r="BY312" s="50"/>
      <c r="BZ312" s="50"/>
      <c r="CA312" s="50"/>
      <c r="CB312" s="50"/>
      <c r="CC312" s="50"/>
      <c r="CD312" s="52"/>
      <c r="CE312" s="50"/>
      <c r="CF312" s="50"/>
      <c r="CG312" s="50"/>
      <c r="CH312" s="50"/>
      <c r="CI312" s="50"/>
      <c r="CJ312" s="50"/>
      <c r="CK312" s="50"/>
      <c r="CL312" s="50"/>
      <c r="CM312" s="50"/>
      <c r="CN312" s="50"/>
      <c r="CO312" s="50"/>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c r="GP312" s="3"/>
      <c r="GQ312" s="3"/>
      <c r="GR312" s="3"/>
      <c r="GS312" s="3"/>
      <c r="GT312" s="3"/>
      <c r="GU312" s="3"/>
      <c r="GV312" s="3"/>
      <c r="GW312" s="3"/>
      <c r="GX312" s="3"/>
      <c r="GY312" s="3"/>
      <c r="GZ312" s="3"/>
      <c r="HA312" s="3"/>
      <c r="HB312" s="3"/>
    </row>
    <row r="313" spans="1:210" ht="15.75" customHeight="1">
      <c r="A313" s="50"/>
      <c r="B313" s="50"/>
      <c r="C313" s="50"/>
      <c r="D313" s="50"/>
      <c r="E313" s="50"/>
      <c r="F313" s="50"/>
      <c r="G313" s="51"/>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c r="AS313" s="50"/>
      <c r="AT313" s="50"/>
      <c r="AU313" s="50"/>
      <c r="AV313" s="50"/>
      <c r="AW313" s="50"/>
      <c r="AX313" s="50"/>
      <c r="AY313" s="50"/>
      <c r="AZ313" s="50"/>
      <c r="BA313" s="50"/>
      <c r="BB313" s="50"/>
      <c r="BC313" s="50"/>
      <c r="BD313" s="50"/>
      <c r="BE313" s="50"/>
      <c r="BF313" s="50"/>
      <c r="BG313" s="50"/>
      <c r="BH313" s="50"/>
      <c r="BI313" s="50"/>
      <c r="BJ313" s="50"/>
      <c r="BK313" s="50"/>
      <c r="BL313" s="50"/>
      <c r="BM313" s="50"/>
      <c r="BN313" s="50"/>
      <c r="BO313" s="50"/>
      <c r="BP313" s="50"/>
      <c r="BQ313" s="50"/>
      <c r="BR313" s="50"/>
      <c r="BS313" s="50"/>
      <c r="BT313" s="50"/>
      <c r="BU313" s="50"/>
      <c r="BV313" s="50"/>
      <c r="BW313" s="50"/>
      <c r="BX313" s="50"/>
      <c r="BY313" s="50"/>
      <c r="BZ313" s="50"/>
      <c r="CA313" s="50"/>
      <c r="CB313" s="50"/>
      <c r="CC313" s="50"/>
      <c r="CD313" s="52"/>
      <c r="CE313" s="50"/>
      <c r="CF313" s="50"/>
      <c r="CG313" s="50"/>
      <c r="CH313" s="50"/>
      <c r="CI313" s="50"/>
      <c r="CJ313" s="50"/>
      <c r="CK313" s="50"/>
      <c r="CL313" s="50"/>
      <c r="CM313" s="50"/>
      <c r="CN313" s="50"/>
      <c r="CO313" s="50"/>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c r="GP313" s="3"/>
      <c r="GQ313" s="3"/>
      <c r="GR313" s="3"/>
      <c r="GS313" s="3"/>
      <c r="GT313" s="3"/>
      <c r="GU313" s="3"/>
      <c r="GV313" s="3"/>
      <c r="GW313" s="3"/>
      <c r="GX313" s="3"/>
      <c r="GY313" s="3"/>
      <c r="GZ313" s="3"/>
      <c r="HA313" s="3"/>
      <c r="HB313" s="3"/>
    </row>
    <row r="314" spans="1:210" ht="15.75" customHeight="1">
      <c r="A314" s="50"/>
      <c r="B314" s="50"/>
      <c r="C314" s="50"/>
      <c r="D314" s="50"/>
      <c r="E314" s="50"/>
      <c r="F314" s="50"/>
      <c r="G314" s="51"/>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c r="AR314" s="50"/>
      <c r="AS314" s="50"/>
      <c r="AT314" s="50"/>
      <c r="AU314" s="50"/>
      <c r="AV314" s="50"/>
      <c r="AW314" s="50"/>
      <c r="AX314" s="50"/>
      <c r="AY314" s="50"/>
      <c r="AZ314" s="50"/>
      <c r="BA314" s="50"/>
      <c r="BB314" s="50"/>
      <c r="BC314" s="50"/>
      <c r="BD314" s="50"/>
      <c r="BE314" s="50"/>
      <c r="BF314" s="50"/>
      <c r="BG314" s="50"/>
      <c r="BH314" s="50"/>
      <c r="BI314" s="50"/>
      <c r="BJ314" s="50"/>
      <c r="BK314" s="50"/>
      <c r="BL314" s="50"/>
      <c r="BM314" s="50"/>
      <c r="BN314" s="50"/>
      <c r="BO314" s="50"/>
      <c r="BP314" s="50"/>
      <c r="BQ314" s="50"/>
      <c r="BR314" s="50"/>
      <c r="BS314" s="50"/>
      <c r="BT314" s="50"/>
      <c r="BU314" s="50"/>
      <c r="BV314" s="50"/>
      <c r="BW314" s="50"/>
      <c r="BX314" s="50"/>
      <c r="BY314" s="50"/>
      <c r="BZ314" s="50"/>
      <c r="CA314" s="50"/>
      <c r="CB314" s="50"/>
      <c r="CC314" s="50"/>
      <c r="CD314" s="52"/>
      <c r="CE314" s="50"/>
      <c r="CF314" s="50"/>
      <c r="CG314" s="50"/>
      <c r="CH314" s="50"/>
      <c r="CI314" s="50"/>
      <c r="CJ314" s="50"/>
      <c r="CK314" s="50"/>
      <c r="CL314" s="50"/>
      <c r="CM314" s="50"/>
      <c r="CN314" s="50"/>
      <c r="CO314" s="50"/>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c r="GP314" s="3"/>
      <c r="GQ314" s="3"/>
      <c r="GR314" s="3"/>
      <c r="GS314" s="3"/>
      <c r="GT314" s="3"/>
      <c r="GU314" s="3"/>
      <c r="GV314" s="3"/>
      <c r="GW314" s="3"/>
      <c r="GX314" s="3"/>
      <c r="GY314" s="3"/>
      <c r="GZ314" s="3"/>
      <c r="HA314" s="3"/>
      <c r="HB314" s="3"/>
    </row>
    <row r="315" spans="1:210" ht="15.75" customHeight="1">
      <c r="A315" s="50"/>
      <c r="B315" s="50"/>
      <c r="C315" s="50"/>
      <c r="D315" s="50"/>
      <c r="E315" s="50"/>
      <c r="F315" s="50"/>
      <c r="G315" s="51"/>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c r="AR315" s="50"/>
      <c r="AS315" s="50"/>
      <c r="AT315" s="50"/>
      <c r="AU315" s="50"/>
      <c r="AV315" s="50"/>
      <c r="AW315" s="50"/>
      <c r="AX315" s="50"/>
      <c r="AY315" s="50"/>
      <c r="AZ315" s="50"/>
      <c r="BA315" s="50"/>
      <c r="BB315" s="50"/>
      <c r="BC315" s="50"/>
      <c r="BD315" s="50"/>
      <c r="BE315" s="50"/>
      <c r="BF315" s="50"/>
      <c r="BG315" s="50"/>
      <c r="BH315" s="50"/>
      <c r="BI315" s="50"/>
      <c r="BJ315" s="50"/>
      <c r="BK315" s="50"/>
      <c r="BL315" s="50"/>
      <c r="BM315" s="50"/>
      <c r="BN315" s="50"/>
      <c r="BO315" s="50"/>
      <c r="BP315" s="50"/>
      <c r="BQ315" s="50"/>
      <c r="BR315" s="50"/>
      <c r="BS315" s="50"/>
      <c r="BT315" s="50"/>
      <c r="BU315" s="50"/>
      <c r="BV315" s="50"/>
      <c r="BW315" s="50"/>
      <c r="BX315" s="50"/>
      <c r="BY315" s="50"/>
      <c r="BZ315" s="50"/>
      <c r="CA315" s="50"/>
      <c r="CB315" s="50"/>
      <c r="CC315" s="50"/>
      <c r="CD315" s="52"/>
      <c r="CE315" s="50"/>
      <c r="CF315" s="50"/>
      <c r="CG315" s="50"/>
      <c r="CH315" s="50"/>
      <c r="CI315" s="50"/>
      <c r="CJ315" s="50"/>
      <c r="CK315" s="50"/>
      <c r="CL315" s="50"/>
      <c r="CM315" s="50"/>
      <c r="CN315" s="50"/>
      <c r="CO315" s="50"/>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c r="GP315" s="3"/>
      <c r="GQ315" s="3"/>
      <c r="GR315" s="3"/>
      <c r="GS315" s="3"/>
      <c r="GT315" s="3"/>
      <c r="GU315" s="3"/>
      <c r="GV315" s="3"/>
      <c r="GW315" s="3"/>
      <c r="GX315" s="3"/>
      <c r="GY315" s="3"/>
      <c r="GZ315" s="3"/>
      <c r="HA315" s="3"/>
      <c r="HB315" s="3"/>
    </row>
    <row r="316" spans="1:210" ht="15.75" customHeight="1">
      <c r="A316" s="50"/>
      <c r="B316" s="50"/>
      <c r="C316" s="50"/>
      <c r="D316" s="50"/>
      <c r="E316" s="50"/>
      <c r="F316" s="50"/>
      <c r="G316" s="51"/>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c r="AR316" s="50"/>
      <c r="AS316" s="50"/>
      <c r="AT316" s="50"/>
      <c r="AU316" s="50"/>
      <c r="AV316" s="50"/>
      <c r="AW316" s="50"/>
      <c r="AX316" s="50"/>
      <c r="AY316" s="50"/>
      <c r="AZ316" s="50"/>
      <c r="BA316" s="50"/>
      <c r="BB316" s="50"/>
      <c r="BC316" s="50"/>
      <c r="BD316" s="50"/>
      <c r="BE316" s="50"/>
      <c r="BF316" s="50"/>
      <c r="BG316" s="50"/>
      <c r="BH316" s="50"/>
      <c r="BI316" s="50"/>
      <c r="BJ316" s="50"/>
      <c r="BK316" s="50"/>
      <c r="BL316" s="50"/>
      <c r="BM316" s="50"/>
      <c r="BN316" s="50"/>
      <c r="BO316" s="50"/>
      <c r="BP316" s="50"/>
      <c r="BQ316" s="50"/>
      <c r="BR316" s="50"/>
      <c r="BS316" s="50"/>
      <c r="BT316" s="50"/>
      <c r="BU316" s="50"/>
      <c r="BV316" s="50"/>
      <c r="BW316" s="50"/>
      <c r="BX316" s="50"/>
      <c r="BY316" s="50"/>
      <c r="BZ316" s="50"/>
      <c r="CA316" s="50"/>
      <c r="CB316" s="50"/>
      <c r="CC316" s="50"/>
      <c r="CD316" s="52"/>
      <c r="CE316" s="50"/>
      <c r="CF316" s="50"/>
      <c r="CG316" s="50"/>
      <c r="CH316" s="50"/>
      <c r="CI316" s="50"/>
      <c r="CJ316" s="50"/>
      <c r="CK316" s="50"/>
      <c r="CL316" s="50"/>
      <c r="CM316" s="50"/>
      <c r="CN316" s="50"/>
      <c r="CO316" s="50"/>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row>
    <row r="317" spans="1:210" ht="15.75" customHeight="1">
      <c r="A317" s="50"/>
      <c r="B317" s="50"/>
      <c r="C317" s="50"/>
      <c r="D317" s="50"/>
      <c r="E317" s="50"/>
      <c r="F317" s="50"/>
      <c r="G317" s="51"/>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c r="AR317" s="50"/>
      <c r="AS317" s="50"/>
      <c r="AT317" s="50"/>
      <c r="AU317" s="50"/>
      <c r="AV317" s="50"/>
      <c r="AW317" s="50"/>
      <c r="AX317" s="50"/>
      <c r="AY317" s="50"/>
      <c r="AZ317" s="50"/>
      <c r="BA317" s="50"/>
      <c r="BB317" s="50"/>
      <c r="BC317" s="50"/>
      <c r="BD317" s="50"/>
      <c r="BE317" s="50"/>
      <c r="BF317" s="50"/>
      <c r="BG317" s="50"/>
      <c r="BH317" s="50"/>
      <c r="BI317" s="50"/>
      <c r="BJ317" s="50"/>
      <c r="BK317" s="50"/>
      <c r="BL317" s="50"/>
      <c r="BM317" s="50"/>
      <c r="BN317" s="50"/>
      <c r="BO317" s="50"/>
      <c r="BP317" s="50"/>
      <c r="BQ317" s="50"/>
      <c r="BR317" s="50"/>
      <c r="BS317" s="50"/>
      <c r="BT317" s="50"/>
      <c r="BU317" s="50"/>
      <c r="BV317" s="50"/>
      <c r="BW317" s="50"/>
      <c r="BX317" s="50"/>
      <c r="BY317" s="50"/>
      <c r="BZ317" s="50"/>
      <c r="CA317" s="50"/>
      <c r="CB317" s="50"/>
      <c r="CC317" s="50"/>
      <c r="CD317" s="52"/>
      <c r="CE317" s="50"/>
      <c r="CF317" s="50"/>
      <c r="CG317" s="50"/>
      <c r="CH317" s="50"/>
      <c r="CI317" s="50"/>
      <c r="CJ317" s="50"/>
      <c r="CK317" s="50"/>
      <c r="CL317" s="50"/>
      <c r="CM317" s="50"/>
      <c r="CN317" s="50"/>
      <c r="CO317" s="50"/>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c r="GP317" s="3"/>
      <c r="GQ317" s="3"/>
      <c r="GR317" s="3"/>
      <c r="GS317" s="3"/>
      <c r="GT317" s="3"/>
      <c r="GU317" s="3"/>
      <c r="GV317" s="3"/>
      <c r="GW317" s="3"/>
      <c r="GX317" s="3"/>
      <c r="GY317" s="3"/>
      <c r="GZ317" s="3"/>
      <c r="HA317" s="3"/>
      <c r="HB317" s="3"/>
    </row>
    <row r="318" spans="1:210" ht="15.75" customHeight="1">
      <c r="A318" s="50"/>
      <c r="B318" s="50"/>
      <c r="C318" s="50"/>
      <c r="D318" s="50"/>
      <c r="E318" s="50"/>
      <c r="F318" s="50"/>
      <c r="G318" s="51"/>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c r="AR318" s="50"/>
      <c r="AS318" s="50"/>
      <c r="AT318" s="50"/>
      <c r="AU318" s="50"/>
      <c r="AV318" s="50"/>
      <c r="AW318" s="50"/>
      <c r="AX318" s="50"/>
      <c r="AY318" s="50"/>
      <c r="AZ318" s="50"/>
      <c r="BA318" s="50"/>
      <c r="BB318" s="50"/>
      <c r="BC318" s="50"/>
      <c r="BD318" s="50"/>
      <c r="BE318" s="50"/>
      <c r="BF318" s="50"/>
      <c r="BG318" s="50"/>
      <c r="BH318" s="50"/>
      <c r="BI318" s="50"/>
      <c r="BJ318" s="50"/>
      <c r="BK318" s="50"/>
      <c r="BL318" s="50"/>
      <c r="BM318" s="50"/>
      <c r="BN318" s="50"/>
      <c r="BO318" s="50"/>
      <c r="BP318" s="50"/>
      <c r="BQ318" s="50"/>
      <c r="BR318" s="50"/>
      <c r="BS318" s="50"/>
      <c r="BT318" s="50"/>
      <c r="BU318" s="50"/>
      <c r="BV318" s="50"/>
      <c r="BW318" s="50"/>
      <c r="BX318" s="50"/>
      <c r="BY318" s="50"/>
      <c r="BZ318" s="50"/>
      <c r="CA318" s="50"/>
      <c r="CB318" s="50"/>
      <c r="CC318" s="50"/>
      <c r="CD318" s="52"/>
      <c r="CE318" s="50"/>
      <c r="CF318" s="50"/>
      <c r="CG318" s="50"/>
      <c r="CH318" s="50"/>
      <c r="CI318" s="50"/>
      <c r="CJ318" s="50"/>
      <c r="CK318" s="50"/>
      <c r="CL318" s="50"/>
      <c r="CM318" s="50"/>
      <c r="CN318" s="50"/>
      <c r="CO318" s="50"/>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c r="GP318" s="3"/>
      <c r="GQ318" s="3"/>
      <c r="GR318" s="3"/>
      <c r="GS318" s="3"/>
      <c r="GT318" s="3"/>
      <c r="GU318" s="3"/>
      <c r="GV318" s="3"/>
      <c r="GW318" s="3"/>
      <c r="GX318" s="3"/>
      <c r="GY318" s="3"/>
      <c r="GZ318" s="3"/>
      <c r="HA318" s="3"/>
      <c r="HB318" s="3"/>
    </row>
    <row r="319" spans="1:210" ht="15.75" customHeight="1">
      <c r="A319" s="50"/>
      <c r="B319" s="50"/>
      <c r="C319" s="50"/>
      <c r="D319" s="50"/>
      <c r="E319" s="50"/>
      <c r="F319" s="50"/>
      <c r="G319" s="51"/>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2"/>
      <c r="CE319" s="50"/>
      <c r="CF319" s="50"/>
      <c r="CG319" s="50"/>
      <c r="CH319" s="50"/>
      <c r="CI319" s="50"/>
      <c r="CJ319" s="50"/>
      <c r="CK319" s="50"/>
      <c r="CL319" s="50"/>
      <c r="CM319" s="50"/>
      <c r="CN319" s="50"/>
      <c r="CO319" s="50"/>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c r="GP319" s="3"/>
      <c r="GQ319" s="3"/>
      <c r="GR319" s="3"/>
      <c r="GS319" s="3"/>
      <c r="GT319" s="3"/>
      <c r="GU319" s="3"/>
      <c r="GV319" s="3"/>
      <c r="GW319" s="3"/>
      <c r="GX319" s="3"/>
      <c r="GY319" s="3"/>
      <c r="GZ319" s="3"/>
      <c r="HA319" s="3"/>
      <c r="HB319" s="3"/>
    </row>
    <row r="320" spans="1:210" ht="15.75" customHeight="1">
      <c r="A320" s="50"/>
      <c r="B320" s="50"/>
      <c r="C320" s="50"/>
      <c r="D320" s="50"/>
      <c r="E320" s="50"/>
      <c r="F320" s="50"/>
      <c r="G320" s="51"/>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c r="AR320" s="50"/>
      <c r="AS320" s="50"/>
      <c r="AT320" s="50"/>
      <c r="AU320" s="50"/>
      <c r="AV320" s="50"/>
      <c r="AW320" s="50"/>
      <c r="AX320" s="50"/>
      <c r="AY320" s="50"/>
      <c r="AZ320" s="50"/>
      <c r="BA320" s="50"/>
      <c r="BB320" s="50"/>
      <c r="BC320" s="50"/>
      <c r="BD320" s="50"/>
      <c r="BE320" s="50"/>
      <c r="BF320" s="50"/>
      <c r="BG320" s="50"/>
      <c r="BH320" s="50"/>
      <c r="BI320" s="50"/>
      <c r="BJ320" s="50"/>
      <c r="BK320" s="50"/>
      <c r="BL320" s="50"/>
      <c r="BM320" s="50"/>
      <c r="BN320" s="50"/>
      <c r="BO320" s="50"/>
      <c r="BP320" s="50"/>
      <c r="BQ320" s="50"/>
      <c r="BR320" s="50"/>
      <c r="BS320" s="50"/>
      <c r="BT320" s="50"/>
      <c r="BU320" s="50"/>
      <c r="BV320" s="50"/>
      <c r="BW320" s="50"/>
      <c r="BX320" s="50"/>
      <c r="BY320" s="50"/>
      <c r="BZ320" s="50"/>
      <c r="CA320" s="50"/>
      <c r="CB320" s="50"/>
      <c r="CC320" s="50"/>
      <c r="CD320" s="52"/>
      <c r="CE320" s="50"/>
      <c r="CF320" s="50"/>
      <c r="CG320" s="50"/>
      <c r="CH320" s="50"/>
      <c r="CI320" s="50"/>
      <c r="CJ320" s="50"/>
      <c r="CK320" s="50"/>
      <c r="CL320" s="50"/>
      <c r="CM320" s="50"/>
      <c r="CN320" s="50"/>
      <c r="CO320" s="50"/>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c r="GP320" s="3"/>
      <c r="GQ320" s="3"/>
      <c r="GR320" s="3"/>
      <c r="GS320" s="3"/>
      <c r="GT320" s="3"/>
      <c r="GU320" s="3"/>
      <c r="GV320" s="3"/>
      <c r="GW320" s="3"/>
      <c r="GX320" s="3"/>
      <c r="GY320" s="3"/>
      <c r="GZ320" s="3"/>
      <c r="HA320" s="3"/>
      <c r="HB320" s="3"/>
    </row>
    <row r="321" spans="1:210" ht="15.75" customHeight="1">
      <c r="A321" s="50"/>
      <c r="B321" s="50"/>
      <c r="C321" s="50"/>
      <c r="D321" s="50"/>
      <c r="E321" s="50"/>
      <c r="F321" s="50"/>
      <c r="G321" s="51"/>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c r="AR321" s="50"/>
      <c r="AS321" s="50"/>
      <c r="AT321" s="50"/>
      <c r="AU321" s="50"/>
      <c r="AV321" s="50"/>
      <c r="AW321" s="50"/>
      <c r="AX321" s="50"/>
      <c r="AY321" s="50"/>
      <c r="AZ321" s="50"/>
      <c r="BA321" s="50"/>
      <c r="BB321" s="50"/>
      <c r="BC321" s="50"/>
      <c r="BD321" s="50"/>
      <c r="BE321" s="50"/>
      <c r="BF321" s="50"/>
      <c r="BG321" s="50"/>
      <c r="BH321" s="50"/>
      <c r="BI321" s="50"/>
      <c r="BJ321" s="50"/>
      <c r="BK321" s="50"/>
      <c r="BL321" s="50"/>
      <c r="BM321" s="50"/>
      <c r="BN321" s="50"/>
      <c r="BO321" s="50"/>
      <c r="BP321" s="50"/>
      <c r="BQ321" s="50"/>
      <c r="BR321" s="50"/>
      <c r="BS321" s="50"/>
      <c r="BT321" s="50"/>
      <c r="BU321" s="50"/>
      <c r="BV321" s="50"/>
      <c r="BW321" s="50"/>
      <c r="BX321" s="50"/>
      <c r="BY321" s="50"/>
      <c r="BZ321" s="50"/>
      <c r="CA321" s="50"/>
      <c r="CB321" s="50"/>
      <c r="CC321" s="50"/>
      <c r="CD321" s="52"/>
      <c r="CE321" s="50"/>
      <c r="CF321" s="50"/>
      <c r="CG321" s="50"/>
      <c r="CH321" s="50"/>
      <c r="CI321" s="50"/>
      <c r="CJ321" s="50"/>
      <c r="CK321" s="50"/>
      <c r="CL321" s="50"/>
      <c r="CM321" s="50"/>
      <c r="CN321" s="50"/>
      <c r="CO321" s="50"/>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c r="GP321" s="3"/>
      <c r="GQ321" s="3"/>
      <c r="GR321" s="3"/>
      <c r="GS321" s="3"/>
      <c r="GT321" s="3"/>
      <c r="GU321" s="3"/>
      <c r="GV321" s="3"/>
      <c r="GW321" s="3"/>
      <c r="GX321" s="3"/>
      <c r="GY321" s="3"/>
      <c r="GZ321" s="3"/>
      <c r="HA321" s="3"/>
      <c r="HB321" s="3"/>
    </row>
    <row r="322" spans="1:210" ht="15.75" customHeight="1">
      <c r="A322" s="50"/>
      <c r="B322" s="50"/>
      <c r="C322" s="50"/>
      <c r="D322" s="50"/>
      <c r="E322" s="50"/>
      <c r="F322" s="50"/>
      <c r="G322" s="51"/>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c r="AR322" s="50"/>
      <c r="AS322" s="50"/>
      <c r="AT322" s="50"/>
      <c r="AU322" s="50"/>
      <c r="AV322" s="50"/>
      <c r="AW322" s="50"/>
      <c r="AX322" s="50"/>
      <c r="AY322" s="50"/>
      <c r="AZ322" s="50"/>
      <c r="BA322" s="50"/>
      <c r="BB322" s="50"/>
      <c r="BC322" s="50"/>
      <c r="BD322" s="50"/>
      <c r="BE322" s="50"/>
      <c r="BF322" s="50"/>
      <c r="BG322" s="50"/>
      <c r="BH322" s="50"/>
      <c r="BI322" s="50"/>
      <c r="BJ322" s="50"/>
      <c r="BK322" s="50"/>
      <c r="BL322" s="50"/>
      <c r="BM322" s="50"/>
      <c r="BN322" s="50"/>
      <c r="BO322" s="50"/>
      <c r="BP322" s="50"/>
      <c r="BQ322" s="50"/>
      <c r="BR322" s="50"/>
      <c r="BS322" s="50"/>
      <c r="BT322" s="50"/>
      <c r="BU322" s="50"/>
      <c r="BV322" s="50"/>
      <c r="BW322" s="50"/>
      <c r="BX322" s="50"/>
      <c r="BY322" s="50"/>
      <c r="BZ322" s="50"/>
      <c r="CA322" s="50"/>
      <c r="CB322" s="50"/>
      <c r="CC322" s="50"/>
      <c r="CD322" s="52"/>
      <c r="CE322" s="50"/>
      <c r="CF322" s="50"/>
      <c r="CG322" s="50"/>
      <c r="CH322" s="50"/>
      <c r="CI322" s="50"/>
      <c r="CJ322" s="50"/>
      <c r="CK322" s="50"/>
      <c r="CL322" s="50"/>
      <c r="CM322" s="50"/>
      <c r="CN322" s="50"/>
      <c r="CO322" s="50"/>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c r="GP322" s="3"/>
      <c r="GQ322" s="3"/>
      <c r="GR322" s="3"/>
      <c r="GS322" s="3"/>
      <c r="GT322" s="3"/>
      <c r="GU322" s="3"/>
      <c r="GV322" s="3"/>
      <c r="GW322" s="3"/>
      <c r="GX322" s="3"/>
      <c r="GY322" s="3"/>
      <c r="GZ322" s="3"/>
      <c r="HA322" s="3"/>
      <c r="HB322" s="3"/>
    </row>
    <row r="323" spans="1:210" ht="15.75" customHeight="1">
      <c r="A323" s="50"/>
      <c r="B323" s="50"/>
      <c r="C323" s="50"/>
      <c r="D323" s="50"/>
      <c r="E323" s="50"/>
      <c r="F323" s="50"/>
      <c r="G323" s="51"/>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c r="AS323" s="50"/>
      <c r="AT323" s="50"/>
      <c r="AU323" s="50"/>
      <c r="AV323" s="50"/>
      <c r="AW323" s="50"/>
      <c r="AX323" s="50"/>
      <c r="AY323" s="50"/>
      <c r="AZ323" s="50"/>
      <c r="BA323" s="50"/>
      <c r="BB323" s="50"/>
      <c r="BC323" s="50"/>
      <c r="BD323" s="50"/>
      <c r="BE323" s="50"/>
      <c r="BF323" s="50"/>
      <c r="BG323" s="50"/>
      <c r="BH323" s="50"/>
      <c r="BI323" s="50"/>
      <c r="BJ323" s="50"/>
      <c r="BK323" s="50"/>
      <c r="BL323" s="50"/>
      <c r="BM323" s="50"/>
      <c r="BN323" s="50"/>
      <c r="BO323" s="50"/>
      <c r="BP323" s="50"/>
      <c r="BQ323" s="50"/>
      <c r="BR323" s="50"/>
      <c r="BS323" s="50"/>
      <c r="BT323" s="50"/>
      <c r="BU323" s="50"/>
      <c r="BV323" s="50"/>
      <c r="BW323" s="50"/>
      <c r="BX323" s="50"/>
      <c r="BY323" s="50"/>
      <c r="BZ323" s="50"/>
      <c r="CA323" s="50"/>
      <c r="CB323" s="50"/>
      <c r="CC323" s="50"/>
      <c r="CD323" s="52"/>
      <c r="CE323" s="50"/>
      <c r="CF323" s="50"/>
      <c r="CG323" s="50"/>
      <c r="CH323" s="50"/>
      <c r="CI323" s="50"/>
      <c r="CJ323" s="50"/>
      <c r="CK323" s="50"/>
      <c r="CL323" s="50"/>
      <c r="CM323" s="50"/>
      <c r="CN323" s="50"/>
      <c r="CO323" s="50"/>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row>
    <row r="324" spans="1:210" ht="15.75" customHeight="1">
      <c r="A324" s="50"/>
      <c r="B324" s="50"/>
      <c r="C324" s="50"/>
      <c r="D324" s="50"/>
      <c r="E324" s="50"/>
      <c r="F324" s="50"/>
      <c r="G324" s="51"/>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c r="AR324" s="50"/>
      <c r="AS324" s="50"/>
      <c r="AT324" s="50"/>
      <c r="AU324" s="50"/>
      <c r="AV324" s="50"/>
      <c r="AW324" s="50"/>
      <c r="AX324" s="50"/>
      <c r="AY324" s="50"/>
      <c r="AZ324" s="50"/>
      <c r="BA324" s="50"/>
      <c r="BB324" s="50"/>
      <c r="BC324" s="50"/>
      <c r="BD324" s="50"/>
      <c r="BE324" s="50"/>
      <c r="BF324" s="50"/>
      <c r="BG324" s="50"/>
      <c r="BH324" s="50"/>
      <c r="BI324" s="50"/>
      <c r="BJ324" s="50"/>
      <c r="BK324" s="50"/>
      <c r="BL324" s="50"/>
      <c r="BM324" s="50"/>
      <c r="BN324" s="50"/>
      <c r="BO324" s="50"/>
      <c r="BP324" s="50"/>
      <c r="BQ324" s="50"/>
      <c r="BR324" s="50"/>
      <c r="BS324" s="50"/>
      <c r="BT324" s="50"/>
      <c r="BU324" s="50"/>
      <c r="BV324" s="50"/>
      <c r="BW324" s="50"/>
      <c r="BX324" s="50"/>
      <c r="BY324" s="50"/>
      <c r="BZ324" s="50"/>
      <c r="CA324" s="50"/>
      <c r="CB324" s="50"/>
      <c r="CC324" s="50"/>
      <c r="CD324" s="52"/>
      <c r="CE324" s="50"/>
      <c r="CF324" s="50"/>
      <c r="CG324" s="50"/>
      <c r="CH324" s="50"/>
      <c r="CI324" s="50"/>
      <c r="CJ324" s="50"/>
      <c r="CK324" s="50"/>
      <c r="CL324" s="50"/>
      <c r="CM324" s="50"/>
      <c r="CN324" s="50"/>
      <c r="CO324" s="50"/>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row>
    <row r="325" spans="1:210" ht="15.75" customHeight="1">
      <c r="A325" s="50"/>
      <c r="B325" s="50"/>
      <c r="C325" s="50"/>
      <c r="D325" s="50"/>
      <c r="E325" s="50"/>
      <c r="F325" s="50"/>
      <c r="G325" s="51"/>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2"/>
      <c r="CE325" s="50"/>
      <c r="CF325" s="50"/>
      <c r="CG325" s="50"/>
      <c r="CH325" s="50"/>
      <c r="CI325" s="50"/>
      <c r="CJ325" s="50"/>
      <c r="CK325" s="50"/>
      <c r="CL325" s="50"/>
      <c r="CM325" s="50"/>
      <c r="CN325" s="50"/>
      <c r="CO325" s="50"/>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row>
    <row r="326" spans="1:210" ht="15.75" customHeight="1">
      <c r="A326" s="50"/>
      <c r="B326" s="50"/>
      <c r="C326" s="50"/>
      <c r="D326" s="50"/>
      <c r="E326" s="50"/>
      <c r="F326" s="50"/>
      <c r="G326" s="51"/>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c r="AR326" s="50"/>
      <c r="AS326" s="50"/>
      <c r="AT326" s="50"/>
      <c r="AU326" s="50"/>
      <c r="AV326" s="50"/>
      <c r="AW326" s="50"/>
      <c r="AX326" s="50"/>
      <c r="AY326" s="50"/>
      <c r="AZ326" s="50"/>
      <c r="BA326" s="50"/>
      <c r="BB326" s="50"/>
      <c r="BC326" s="50"/>
      <c r="BD326" s="50"/>
      <c r="BE326" s="50"/>
      <c r="BF326" s="50"/>
      <c r="BG326" s="50"/>
      <c r="BH326" s="50"/>
      <c r="BI326" s="50"/>
      <c r="BJ326" s="50"/>
      <c r="BK326" s="50"/>
      <c r="BL326" s="50"/>
      <c r="BM326" s="50"/>
      <c r="BN326" s="50"/>
      <c r="BO326" s="50"/>
      <c r="BP326" s="50"/>
      <c r="BQ326" s="50"/>
      <c r="BR326" s="50"/>
      <c r="BS326" s="50"/>
      <c r="BT326" s="50"/>
      <c r="BU326" s="50"/>
      <c r="BV326" s="50"/>
      <c r="BW326" s="50"/>
      <c r="BX326" s="50"/>
      <c r="BY326" s="50"/>
      <c r="BZ326" s="50"/>
      <c r="CA326" s="50"/>
      <c r="CB326" s="50"/>
      <c r="CC326" s="50"/>
      <c r="CD326" s="52"/>
      <c r="CE326" s="50"/>
      <c r="CF326" s="50"/>
      <c r="CG326" s="50"/>
      <c r="CH326" s="50"/>
      <c r="CI326" s="50"/>
      <c r="CJ326" s="50"/>
      <c r="CK326" s="50"/>
      <c r="CL326" s="50"/>
      <c r="CM326" s="50"/>
      <c r="CN326" s="50"/>
      <c r="CO326" s="50"/>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row>
    <row r="327" spans="1:210" ht="15.75" customHeight="1">
      <c r="A327" s="50"/>
      <c r="B327" s="50"/>
      <c r="C327" s="50"/>
      <c r="D327" s="50"/>
      <c r="E327" s="50"/>
      <c r="F327" s="50"/>
      <c r="G327" s="51"/>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c r="BS327" s="50"/>
      <c r="BT327" s="50"/>
      <c r="BU327" s="50"/>
      <c r="BV327" s="50"/>
      <c r="BW327" s="50"/>
      <c r="BX327" s="50"/>
      <c r="BY327" s="50"/>
      <c r="BZ327" s="50"/>
      <c r="CA327" s="50"/>
      <c r="CB327" s="50"/>
      <c r="CC327" s="50"/>
      <c r="CD327" s="52"/>
      <c r="CE327" s="50"/>
      <c r="CF327" s="50"/>
      <c r="CG327" s="50"/>
      <c r="CH327" s="50"/>
      <c r="CI327" s="50"/>
      <c r="CJ327" s="50"/>
      <c r="CK327" s="50"/>
      <c r="CL327" s="50"/>
      <c r="CM327" s="50"/>
      <c r="CN327" s="50"/>
      <c r="CO327" s="50"/>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row>
    <row r="328" spans="1:210" ht="15.75" customHeight="1">
      <c r="A328" s="50"/>
      <c r="B328" s="50"/>
      <c r="C328" s="50"/>
      <c r="D328" s="50"/>
      <c r="E328" s="50"/>
      <c r="F328" s="50"/>
      <c r="G328" s="51"/>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2"/>
      <c r="CE328" s="50"/>
      <c r="CF328" s="50"/>
      <c r="CG328" s="50"/>
      <c r="CH328" s="50"/>
      <c r="CI328" s="50"/>
      <c r="CJ328" s="50"/>
      <c r="CK328" s="50"/>
      <c r="CL328" s="50"/>
      <c r="CM328" s="50"/>
      <c r="CN328" s="50"/>
      <c r="CO328" s="50"/>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row>
    <row r="329" spans="1:210" ht="15.75" customHeight="1">
      <c r="A329" s="50"/>
      <c r="B329" s="50"/>
      <c r="C329" s="50"/>
      <c r="D329" s="50"/>
      <c r="E329" s="50"/>
      <c r="F329" s="50"/>
      <c r="G329" s="51"/>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c r="AR329" s="50"/>
      <c r="AS329" s="50"/>
      <c r="AT329" s="50"/>
      <c r="AU329" s="50"/>
      <c r="AV329" s="50"/>
      <c r="AW329" s="50"/>
      <c r="AX329" s="50"/>
      <c r="AY329" s="50"/>
      <c r="AZ329" s="50"/>
      <c r="BA329" s="50"/>
      <c r="BB329" s="50"/>
      <c r="BC329" s="50"/>
      <c r="BD329" s="50"/>
      <c r="BE329" s="50"/>
      <c r="BF329" s="50"/>
      <c r="BG329" s="50"/>
      <c r="BH329" s="50"/>
      <c r="BI329" s="50"/>
      <c r="BJ329" s="50"/>
      <c r="BK329" s="50"/>
      <c r="BL329" s="50"/>
      <c r="BM329" s="50"/>
      <c r="BN329" s="50"/>
      <c r="BO329" s="50"/>
      <c r="BP329" s="50"/>
      <c r="BQ329" s="50"/>
      <c r="BR329" s="50"/>
      <c r="BS329" s="50"/>
      <c r="BT329" s="50"/>
      <c r="BU329" s="50"/>
      <c r="BV329" s="50"/>
      <c r="BW329" s="50"/>
      <c r="BX329" s="50"/>
      <c r="BY329" s="50"/>
      <c r="BZ329" s="50"/>
      <c r="CA329" s="50"/>
      <c r="CB329" s="50"/>
      <c r="CC329" s="50"/>
      <c r="CD329" s="52"/>
      <c r="CE329" s="50"/>
      <c r="CF329" s="50"/>
      <c r="CG329" s="50"/>
      <c r="CH329" s="50"/>
      <c r="CI329" s="50"/>
      <c r="CJ329" s="50"/>
      <c r="CK329" s="50"/>
      <c r="CL329" s="50"/>
      <c r="CM329" s="50"/>
      <c r="CN329" s="50"/>
      <c r="CO329" s="50"/>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row>
    <row r="330" spans="1:210" ht="15.75" customHeight="1">
      <c r="A330" s="50"/>
      <c r="B330" s="50"/>
      <c r="C330" s="50"/>
      <c r="D330" s="50"/>
      <c r="E330" s="50"/>
      <c r="F330" s="50"/>
      <c r="G330" s="51"/>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c r="AR330" s="50"/>
      <c r="AS330" s="50"/>
      <c r="AT330" s="50"/>
      <c r="AU330" s="50"/>
      <c r="AV330" s="50"/>
      <c r="AW330" s="50"/>
      <c r="AX330" s="50"/>
      <c r="AY330" s="50"/>
      <c r="AZ330" s="50"/>
      <c r="BA330" s="50"/>
      <c r="BB330" s="50"/>
      <c r="BC330" s="50"/>
      <c r="BD330" s="50"/>
      <c r="BE330" s="50"/>
      <c r="BF330" s="50"/>
      <c r="BG330" s="50"/>
      <c r="BH330" s="50"/>
      <c r="BI330" s="50"/>
      <c r="BJ330" s="50"/>
      <c r="BK330" s="50"/>
      <c r="BL330" s="50"/>
      <c r="BM330" s="50"/>
      <c r="BN330" s="50"/>
      <c r="BO330" s="50"/>
      <c r="BP330" s="50"/>
      <c r="BQ330" s="50"/>
      <c r="BR330" s="50"/>
      <c r="BS330" s="50"/>
      <c r="BT330" s="50"/>
      <c r="BU330" s="50"/>
      <c r="BV330" s="50"/>
      <c r="BW330" s="50"/>
      <c r="BX330" s="50"/>
      <c r="BY330" s="50"/>
      <c r="BZ330" s="50"/>
      <c r="CA330" s="50"/>
      <c r="CB330" s="50"/>
      <c r="CC330" s="50"/>
      <c r="CD330" s="52"/>
      <c r="CE330" s="50"/>
      <c r="CF330" s="50"/>
      <c r="CG330" s="50"/>
      <c r="CH330" s="50"/>
      <c r="CI330" s="50"/>
      <c r="CJ330" s="50"/>
      <c r="CK330" s="50"/>
      <c r="CL330" s="50"/>
      <c r="CM330" s="50"/>
      <c r="CN330" s="50"/>
      <c r="CO330" s="50"/>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c r="GP330" s="3"/>
      <c r="GQ330" s="3"/>
      <c r="GR330" s="3"/>
      <c r="GS330" s="3"/>
      <c r="GT330" s="3"/>
      <c r="GU330" s="3"/>
      <c r="GV330" s="3"/>
      <c r="GW330" s="3"/>
      <c r="GX330" s="3"/>
      <c r="GY330" s="3"/>
      <c r="GZ330" s="3"/>
      <c r="HA330" s="3"/>
      <c r="HB330" s="3"/>
    </row>
    <row r="331" spans="1:210" ht="15.75" customHeight="1">
      <c r="A331" s="50"/>
      <c r="B331" s="50"/>
      <c r="C331" s="50"/>
      <c r="D331" s="50"/>
      <c r="E331" s="50"/>
      <c r="F331" s="50"/>
      <c r="G331" s="51"/>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c r="AS331" s="50"/>
      <c r="AT331" s="50"/>
      <c r="AU331" s="50"/>
      <c r="AV331" s="50"/>
      <c r="AW331" s="50"/>
      <c r="AX331" s="50"/>
      <c r="AY331" s="50"/>
      <c r="AZ331" s="50"/>
      <c r="BA331" s="50"/>
      <c r="BB331" s="50"/>
      <c r="BC331" s="50"/>
      <c r="BD331" s="50"/>
      <c r="BE331" s="50"/>
      <c r="BF331" s="50"/>
      <c r="BG331" s="50"/>
      <c r="BH331" s="50"/>
      <c r="BI331" s="50"/>
      <c r="BJ331" s="50"/>
      <c r="BK331" s="50"/>
      <c r="BL331" s="50"/>
      <c r="BM331" s="50"/>
      <c r="BN331" s="50"/>
      <c r="BO331" s="50"/>
      <c r="BP331" s="50"/>
      <c r="BQ331" s="50"/>
      <c r="BR331" s="50"/>
      <c r="BS331" s="50"/>
      <c r="BT331" s="50"/>
      <c r="BU331" s="50"/>
      <c r="BV331" s="50"/>
      <c r="BW331" s="50"/>
      <c r="BX331" s="50"/>
      <c r="BY331" s="50"/>
      <c r="BZ331" s="50"/>
      <c r="CA331" s="50"/>
      <c r="CB331" s="50"/>
      <c r="CC331" s="50"/>
      <c r="CD331" s="52"/>
      <c r="CE331" s="50"/>
      <c r="CF331" s="50"/>
      <c r="CG331" s="50"/>
      <c r="CH331" s="50"/>
      <c r="CI331" s="50"/>
      <c r="CJ331" s="50"/>
      <c r="CK331" s="50"/>
      <c r="CL331" s="50"/>
      <c r="CM331" s="50"/>
      <c r="CN331" s="50"/>
      <c r="CO331" s="50"/>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row>
    <row r="332" spans="1:210" ht="15.75" customHeight="1">
      <c r="A332" s="50"/>
      <c r="B332" s="50"/>
      <c r="C332" s="50"/>
      <c r="D332" s="50"/>
      <c r="E332" s="50"/>
      <c r="F332" s="50"/>
      <c r="G332" s="51"/>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c r="AR332" s="50"/>
      <c r="AS332" s="50"/>
      <c r="AT332" s="50"/>
      <c r="AU332" s="50"/>
      <c r="AV332" s="50"/>
      <c r="AW332" s="50"/>
      <c r="AX332" s="50"/>
      <c r="AY332" s="50"/>
      <c r="AZ332" s="50"/>
      <c r="BA332" s="50"/>
      <c r="BB332" s="50"/>
      <c r="BC332" s="50"/>
      <c r="BD332" s="50"/>
      <c r="BE332" s="50"/>
      <c r="BF332" s="50"/>
      <c r="BG332" s="50"/>
      <c r="BH332" s="50"/>
      <c r="BI332" s="50"/>
      <c r="BJ332" s="50"/>
      <c r="BK332" s="50"/>
      <c r="BL332" s="50"/>
      <c r="BM332" s="50"/>
      <c r="BN332" s="50"/>
      <c r="BO332" s="50"/>
      <c r="BP332" s="50"/>
      <c r="BQ332" s="50"/>
      <c r="BR332" s="50"/>
      <c r="BS332" s="50"/>
      <c r="BT332" s="50"/>
      <c r="BU332" s="50"/>
      <c r="BV332" s="50"/>
      <c r="BW332" s="50"/>
      <c r="BX332" s="50"/>
      <c r="BY332" s="50"/>
      <c r="BZ332" s="50"/>
      <c r="CA332" s="50"/>
      <c r="CB332" s="50"/>
      <c r="CC332" s="50"/>
      <c r="CD332" s="52"/>
      <c r="CE332" s="50"/>
      <c r="CF332" s="50"/>
      <c r="CG332" s="50"/>
      <c r="CH332" s="50"/>
      <c r="CI332" s="50"/>
      <c r="CJ332" s="50"/>
      <c r="CK332" s="50"/>
      <c r="CL332" s="50"/>
      <c r="CM332" s="50"/>
      <c r="CN332" s="50"/>
      <c r="CO332" s="50"/>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c r="GP332" s="3"/>
      <c r="GQ332" s="3"/>
      <c r="GR332" s="3"/>
      <c r="GS332" s="3"/>
      <c r="GT332" s="3"/>
      <c r="GU332" s="3"/>
      <c r="GV332" s="3"/>
      <c r="GW332" s="3"/>
      <c r="GX332" s="3"/>
      <c r="GY332" s="3"/>
      <c r="GZ332" s="3"/>
      <c r="HA332" s="3"/>
      <c r="HB332" s="3"/>
    </row>
    <row r="333" spans="1:210" ht="15.75" customHeight="1">
      <c r="A333" s="50"/>
      <c r="B333" s="50"/>
      <c r="C333" s="50"/>
      <c r="D333" s="50"/>
      <c r="E333" s="50"/>
      <c r="F333" s="50"/>
      <c r="G333" s="51"/>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c r="AR333" s="50"/>
      <c r="AS333" s="50"/>
      <c r="AT333" s="50"/>
      <c r="AU333" s="50"/>
      <c r="AV333" s="50"/>
      <c r="AW333" s="50"/>
      <c r="AX333" s="50"/>
      <c r="AY333" s="50"/>
      <c r="AZ333" s="50"/>
      <c r="BA333" s="50"/>
      <c r="BB333" s="50"/>
      <c r="BC333" s="50"/>
      <c r="BD333" s="50"/>
      <c r="BE333" s="50"/>
      <c r="BF333" s="50"/>
      <c r="BG333" s="50"/>
      <c r="BH333" s="50"/>
      <c r="BI333" s="50"/>
      <c r="BJ333" s="50"/>
      <c r="BK333" s="50"/>
      <c r="BL333" s="50"/>
      <c r="BM333" s="50"/>
      <c r="BN333" s="50"/>
      <c r="BO333" s="50"/>
      <c r="BP333" s="50"/>
      <c r="BQ333" s="50"/>
      <c r="BR333" s="50"/>
      <c r="BS333" s="50"/>
      <c r="BT333" s="50"/>
      <c r="BU333" s="50"/>
      <c r="BV333" s="50"/>
      <c r="BW333" s="50"/>
      <c r="BX333" s="50"/>
      <c r="BY333" s="50"/>
      <c r="BZ333" s="50"/>
      <c r="CA333" s="50"/>
      <c r="CB333" s="50"/>
      <c r="CC333" s="50"/>
      <c r="CD333" s="52"/>
      <c r="CE333" s="50"/>
      <c r="CF333" s="50"/>
      <c r="CG333" s="50"/>
      <c r="CH333" s="50"/>
      <c r="CI333" s="50"/>
      <c r="CJ333" s="50"/>
      <c r="CK333" s="50"/>
      <c r="CL333" s="50"/>
      <c r="CM333" s="50"/>
      <c r="CN333" s="50"/>
      <c r="CO333" s="50"/>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c r="GP333" s="3"/>
      <c r="GQ333" s="3"/>
      <c r="GR333" s="3"/>
      <c r="GS333" s="3"/>
      <c r="GT333" s="3"/>
      <c r="GU333" s="3"/>
      <c r="GV333" s="3"/>
      <c r="GW333" s="3"/>
      <c r="GX333" s="3"/>
      <c r="GY333" s="3"/>
      <c r="GZ333" s="3"/>
      <c r="HA333" s="3"/>
      <c r="HB333" s="3"/>
    </row>
    <row r="334" spans="1:210" ht="15.75" customHeight="1">
      <c r="A334" s="50"/>
      <c r="B334" s="50"/>
      <c r="C334" s="50"/>
      <c r="D334" s="50"/>
      <c r="E334" s="50"/>
      <c r="F334" s="50"/>
      <c r="G334" s="51"/>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c r="AR334" s="50"/>
      <c r="AS334" s="50"/>
      <c r="AT334" s="50"/>
      <c r="AU334" s="50"/>
      <c r="AV334" s="50"/>
      <c r="AW334" s="50"/>
      <c r="AX334" s="50"/>
      <c r="AY334" s="50"/>
      <c r="AZ334" s="50"/>
      <c r="BA334" s="50"/>
      <c r="BB334" s="50"/>
      <c r="BC334" s="50"/>
      <c r="BD334" s="50"/>
      <c r="BE334" s="50"/>
      <c r="BF334" s="50"/>
      <c r="BG334" s="50"/>
      <c r="BH334" s="50"/>
      <c r="BI334" s="50"/>
      <c r="BJ334" s="50"/>
      <c r="BK334" s="50"/>
      <c r="BL334" s="50"/>
      <c r="BM334" s="50"/>
      <c r="BN334" s="50"/>
      <c r="BO334" s="50"/>
      <c r="BP334" s="50"/>
      <c r="BQ334" s="50"/>
      <c r="BR334" s="50"/>
      <c r="BS334" s="50"/>
      <c r="BT334" s="50"/>
      <c r="BU334" s="50"/>
      <c r="BV334" s="50"/>
      <c r="BW334" s="50"/>
      <c r="BX334" s="50"/>
      <c r="BY334" s="50"/>
      <c r="BZ334" s="50"/>
      <c r="CA334" s="50"/>
      <c r="CB334" s="50"/>
      <c r="CC334" s="50"/>
      <c r="CD334" s="52"/>
      <c r="CE334" s="50"/>
      <c r="CF334" s="50"/>
      <c r="CG334" s="50"/>
      <c r="CH334" s="50"/>
      <c r="CI334" s="50"/>
      <c r="CJ334" s="50"/>
      <c r="CK334" s="50"/>
      <c r="CL334" s="50"/>
      <c r="CM334" s="50"/>
      <c r="CN334" s="50"/>
      <c r="CO334" s="50"/>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c r="GP334" s="3"/>
      <c r="GQ334" s="3"/>
      <c r="GR334" s="3"/>
      <c r="GS334" s="3"/>
      <c r="GT334" s="3"/>
      <c r="GU334" s="3"/>
      <c r="GV334" s="3"/>
      <c r="GW334" s="3"/>
      <c r="GX334" s="3"/>
      <c r="GY334" s="3"/>
      <c r="GZ334" s="3"/>
      <c r="HA334" s="3"/>
      <c r="HB334" s="3"/>
    </row>
    <row r="335" spans="1:210" ht="15.75" customHeight="1">
      <c r="A335" s="50"/>
      <c r="B335" s="50"/>
      <c r="C335" s="50"/>
      <c r="D335" s="50"/>
      <c r="E335" s="50"/>
      <c r="F335" s="50"/>
      <c r="G335" s="51"/>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c r="AR335" s="50"/>
      <c r="AS335" s="50"/>
      <c r="AT335" s="50"/>
      <c r="AU335" s="50"/>
      <c r="AV335" s="50"/>
      <c r="AW335" s="50"/>
      <c r="AX335" s="50"/>
      <c r="AY335" s="50"/>
      <c r="AZ335" s="50"/>
      <c r="BA335" s="50"/>
      <c r="BB335" s="50"/>
      <c r="BC335" s="50"/>
      <c r="BD335" s="50"/>
      <c r="BE335" s="50"/>
      <c r="BF335" s="50"/>
      <c r="BG335" s="50"/>
      <c r="BH335" s="50"/>
      <c r="BI335" s="50"/>
      <c r="BJ335" s="50"/>
      <c r="BK335" s="50"/>
      <c r="BL335" s="50"/>
      <c r="BM335" s="50"/>
      <c r="BN335" s="50"/>
      <c r="BO335" s="50"/>
      <c r="BP335" s="50"/>
      <c r="BQ335" s="50"/>
      <c r="BR335" s="50"/>
      <c r="BS335" s="50"/>
      <c r="BT335" s="50"/>
      <c r="BU335" s="50"/>
      <c r="BV335" s="50"/>
      <c r="BW335" s="50"/>
      <c r="BX335" s="50"/>
      <c r="BY335" s="50"/>
      <c r="BZ335" s="50"/>
      <c r="CA335" s="50"/>
      <c r="CB335" s="50"/>
      <c r="CC335" s="50"/>
      <c r="CD335" s="52"/>
      <c r="CE335" s="50"/>
      <c r="CF335" s="50"/>
      <c r="CG335" s="50"/>
      <c r="CH335" s="50"/>
      <c r="CI335" s="50"/>
      <c r="CJ335" s="50"/>
      <c r="CK335" s="50"/>
      <c r="CL335" s="50"/>
      <c r="CM335" s="50"/>
      <c r="CN335" s="50"/>
      <c r="CO335" s="50"/>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c r="GP335" s="3"/>
      <c r="GQ335" s="3"/>
      <c r="GR335" s="3"/>
      <c r="GS335" s="3"/>
      <c r="GT335" s="3"/>
      <c r="GU335" s="3"/>
      <c r="GV335" s="3"/>
      <c r="GW335" s="3"/>
      <c r="GX335" s="3"/>
      <c r="GY335" s="3"/>
      <c r="GZ335" s="3"/>
      <c r="HA335" s="3"/>
      <c r="HB335" s="3"/>
    </row>
    <row r="336" spans="1:210" ht="15.75" customHeight="1">
      <c r="A336" s="50"/>
      <c r="B336" s="50"/>
      <c r="C336" s="50"/>
      <c r="D336" s="50"/>
      <c r="E336" s="50"/>
      <c r="F336" s="50"/>
      <c r="G336" s="51"/>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c r="AR336" s="50"/>
      <c r="AS336" s="50"/>
      <c r="AT336" s="50"/>
      <c r="AU336" s="50"/>
      <c r="AV336" s="50"/>
      <c r="AW336" s="50"/>
      <c r="AX336" s="50"/>
      <c r="AY336" s="50"/>
      <c r="AZ336" s="50"/>
      <c r="BA336" s="50"/>
      <c r="BB336" s="50"/>
      <c r="BC336" s="50"/>
      <c r="BD336" s="50"/>
      <c r="BE336" s="50"/>
      <c r="BF336" s="50"/>
      <c r="BG336" s="50"/>
      <c r="BH336" s="50"/>
      <c r="BI336" s="50"/>
      <c r="BJ336" s="50"/>
      <c r="BK336" s="50"/>
      <c r="BL336" s="50"/>
      <c r="BM336" s="50"/>
      <c r="BN336" s="50"/>
      <c r="BO336" s="50"/>
      <c r="BP336" s="50"/>
      <c r="BQ336" s="50"/>
      <c r="BR336" s="50"/>
      <c r="BS336" s="50"/>
      <c r="BT336" s="50"/>
      <c r="BU336" s="50"/>
      <c r="BV336" s="50"/>
      <c r="BW336" s="50"/>
      <c r="BX336" s="50"/>
      <c r="BY336" s="50"/>
      <c r="BZ336" s="50"/>
      <c r="CA336" s="50"/>
      <c r="CB336" s="50"/>
      <c r="CC336" s="50"/>
      <c r="CD336" s="52"/>
      <c r="CE336" s="50"/>
      <c r="CF336" s="50"/>
      <c r="CG336" s="50"/>
      <c r="CH336" s="50"/>
      <c r="CI336" s="50"/>
      <c r="CJ336" s="50"/>
      <c r="CK336" s="50"/>
      <c r="CL336" s="50"/>
      <c r="CM336" s="50"/>
      <c r="CN336" s="50"/>
      <c r="CO336" s="50"/>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c r="GP336" s="3"/>
      <c r="GQ336" s="3"/>
      <c r="GR336" s="3"/>
      <c r="GS336" s="3"/>
      <c r="GT336" s="3"/>
      <c r="GU336" s="3"/>
      <c r="GV336" s="3"/>
      <c r="GW336" s="3"/>
      <c r="GX336" s="3"/>
      <c r="GY336" s="3"/>
      <c r="GZ336" s="3"/>
      <c r="HA336" s="3"/>
      <c r="HB336" s="3"/>
    </row>
    <row r="337" spans="1:210" ht="15.75" customHeight="1">
      <c r="A337" s="50"/>
      <c r="B337" s="50"/>
      <c r="C337" s="50"/>
      <c r="D337" s="50"/>
      <c r="E337" s="50"/>
      <c r="F337" s="50"/>
      <c r="G337" s="51"/>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c r="AR337" s="50"/>
      <c r="AS337" s="50"/>
      <c r="AT337" s="50"/>
      <c r="AU337" s="50"/>
      <c r="AV337" s="50"/>
      <c r="AW337" s="50"/>
      <c r="AX337" s="50"/>
      <c r="AY337" s="50"/>
      <c r="AZ337" s="50"/>
      <c r="BA337" s="50"/>
      <c r="BB337" s="50"/>
      <c r="BC337" s="50"/>
      <c r="BD337" s="50"/>
      <c r="BE337" s="50"/>
      <c r="BF337" s="50"/>
      <c r="BG337" s="50"/>
      <c r="BH337" s="50"/>
      <c r="BI337" s="50"/>
      <c r="BJ337" s="50"/>
      <c r="BK337" s="50"/>
      <c r="BL337" s="50"/>
      <c r="BM337" s="50"/>
      <c r="BN337" s="50"/>
      <c r="BO337" s="50"/>
      <c r="BP337" s="50"/>
      <c r="BQ337" s="50"/>
      <c r="BR337" s="50"/>
      <c r="BS337" s="50"/>
      <c r="BT337" s="50"/>
      <c r="BU337" s="50"/>
      <c r="BV337" s="50"/>
      <c r="BW337" s="50"/>
      <c r="BX337" s="50"/>
      <c r="BY337" s="50"/>
      <c r="BZ337" s="50"/>
      <c r="CA337" s="50"/>
      <c r="CB337" s="50"/>
      <c r="CC337" s="50"/>
      <c r="CD337" s="52"/>
      <c r="CE337" s="50"/>
      <c r="CF337" s="50"/>
      <c r="CG337" s="50"/>
      <c r="CH337" s="50"/>
      <c r="CI337" s="50"/>
      <c r="CJ337" s="50"/>
      <c r="CK337" s="50"/>
      <c r="CL337" s="50"/>
      <c r="CM337" s="50"/>
      <c r="CN337" s="50"/>
      <c r="CO337" s="50"/>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row>
    <row r="338" spans="1:210" ht="15.75" customHeight="1">
      <c r="A338" s="50"/>
      <c r="B338" s="50"/>
      <c r="C338" s="50"/>
      <c r="D338" s="50"/>
      <c r="E338" s="50"/>
      <c r="F338" s="50"/>
      <c r="G338" s="51"/>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c r="AR338" s="50"/>
      <c r="AS338" s="50"/>
      <c r="AT338" s="50"/>
      <c r="AU338" s="50"/>
      <c r="AV338" s="50"/>
      <c r="AW338" s="50"/>
      <c r="AX338" s="50"/>
      <c r="AY338" s="50"/>
      <c r="AZ338" s="50"/>
      <c r="BA338" s="50"/>
      <c r="BB338" s="50"/>
      <c r="BC338" s="50"/>
      <c r="BD338" s="50"/>
      <c r="BE338" s="50"/>
      <c r="BF338" s="50"/>
      <c r="BG338" s="50"/>
      <c r="BH338" s="50"/>
      <c r="BI338" s="50"/>
      <c r="BJ338" s="50"/>
      <c r="BK338" s="50"/>
      <c r="BL338" s="50"/>
      <c r="BM338" s="50"/>
      <c r="BN338" s="50"/>
      <c r="BO338" s="50"/>
      <c r="BP338" s="50"/>
      <c r="BQ338" s="50"/>
      <c r="BR338" s="50"/>
      <c r="BS338" s="50"/>
      <c r="BT338" s="50"/>
      <c r="BU338" s="50"/>
      <c r="BV338" s="50"/>
      <c r="BW338" s="50"/>
      <c r="BX338" s="50"/>
      <c r="BY338" s="50"/>
      <c r="BZ338" s="50"/>
      <c r="CA338" s="50"/>
      <c r="CB338" s="50"/>
      <c r="CC338" s="50"/>
      <c r="CD338" s="52"/>
      <c r="CE338" s="50"/>
      <c r="CF338" s="50"/>
      <c r="CG338" s="50"/>
      <c r="CH338" s="50"/>
      <c r="CI338" s="50"/>
      <c r="CJ338" s="50"/>
      <c r="CK338" s="50"/>
      <c r="CL338" s="50"/>
      <c r="CM338" s="50"/>
      <c r="CN338" s="50"/>
      <c r="CO338" s="50"/>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row>
    <row r="339" spans="1:210" ht="15.75" customHeight="1">
      <c r="A339" s="50"/>
      <c r="B339" s="50"/>
      <c r="C339" s="50"/>
      <c r="D339" s="50"/>
      <c r="E339" s="50"/>
      <c r="F339" s="50"/>
      <c r="G339" s="51"/>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c r="AR339" s="50"/>
      <c r="AS339" s="50"/>
      <c r="AT339" s="50"/>
      <c r="AU339" s="50"/>
      <c r="AV339" s="50"/>
      <c r="AW339" s="50"/>
      <c r="AX339" s="50"/>
      <c r="AY339" s="50"/>
      <c r="AZ339" s="50"/>
      <c r="BA339" s="50"/>
      <c r="BB339" s="50"/>
      <c r="BC339" s="50"/>
      <c r="BD339" s="50"/>
      <c r="BE339" s="50"/>
      <c r="BF339" s="50"/>
      <c r="BG339" s="50"/>
      <c r="BH339" s="50"/>
      <c r="BI339" s="50"/>
      <c r="BJ339" s="50"/>
      <c r="BK339" s="50"/>
      <c r="BL339" s="50"/>
      <c r="BM339" s="50"/>
      <c r="BN339" s="50"/>
      <c r="BO339" s="50"/>
      <c r="BP339" s="50"/>
      <c r="BQ339" s="50"/>
      <c r="BR339" s="50"/>
      <c r="BS339" s="50"/>
      <c r="BT339" s="50"/>
      <c r="BU339" s="50"/>
      <c r="BV339" s="50"/>
      <c r="BW339" s="50"/>
      <c r="BX339" s="50"/>
      <c r="BY339" s="50"/>
      <c r="BZ339" s="50"/>
      <c r="CA339" s="50"/>
      <c r="CB339" s="50"/>
      <c r="CC339" s="50"/>
      <c r="CD339" s="52"/>
      <c r="CE339" s="50"/>
      <c r="CF339" s="50"/>
      <c r="CG339" s="50"/>
      <c r="CH339" s="50"/>
      <c r="CI339" s="50"/>
      <c r="CJ339" s="50"/>
      <c r="CK339" s="50"/>
      <c r="CL339" s="50"/>
      <c r="CM339" s="50"/>
      <c r="CN339" s="50"/>
      <c r="CO339" s="50"/>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row>
    <row r="340" spans="1:210" ht="15.75" customHeight="1">
      <c r="A340" s="50"/>
      <c r="B340" s="50"/>
      <c r="C340" s="50"/>
      <c r="D340" s="50"/>
      <c r="E340" s="50"/>
      <c r="F340" s="50"/>
      <c r="G340" s="51"/>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c r="AR340" s="50"/>
      <c r="AS340" s="50"/>
      <c r="AT340" s="50"/>
      <c r="AU340" s="50"/>
      <c r="AV340" s="50"/>
      <c r="AW340" s="50"/>
      <c r="AX340" s="50"/>
      <c r="AY340" s="50"/>
      <c r="AZ340" s="50"/>
      <c r="BA340" s="50"/>
      <c r="BB340" s="50"/>
      <c r="BC340" s="50"/>
      <c r="BD340" s="50"/>
      <c r="BE340" s="50"/>
      <c r="BF340" s="50"/>
      <c r="BG340" s="50"/>
      <c r="BH340" s="50"/>
      <c r="BI340" s="50"/>
      <c r="BJ340" s="50"/>
      <c r="BK340" s="50"/>
      <c r="BL340" s="50"/>
      <c r="BM340" s="50"/>
      <c r="BN340" s="50"/>
      <c r="BO340" s="50"/>
      <c r="BP340" s="50"/>
      <c r="BQ340" s="50"/>
      <c r="BR340" s="50"/>
      <c r="BS340" s="50"/>
      <c r="BT340" s="50"/>
      <c r="BU340" s="50"/>
      <c r="BV340" s="50"/>
      <c r="BW340" s="50"/>
      <c r="BX340" s="50"/>
      <c r="BY340" s="50"/>
      <c r="BZ340" s="50"/>
      <c r="CA340" s="50"/>
      <c r="CB340" s="50"/>
      <c r="CC340" s="50"/>
      <c r="CD340" s="52"/>
      <c r="CE340" s="50"/>
      <c r="CF340" s="50"/>
      <c r="CG340" s="50"/>
      <c r="CH340" s="50"/>
      <c r="CI340" s="50"/>
      <c r="CJ340" s="50"/>
      <c r="CK340" s="50"/>
      <c r="CL340" s="50"/>
      <c r="CM340" s="50"/>
      <c r="CN340" s="50"/>
      <c r="CO340" s="50"/>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row>
    <row r="341" spans="1:210" ht="15.75" customHeight="1">
      <c r="A341" s="50"/>
      <c r="B341" s="50"/>
      <c r="C341" s="50"/>
      <c r="D341" s="50"/>
      <c r="E341" s="50"/>
      <c r="F341" s="50"/>
      <c r="G341" s="51"/>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c r="AR341" s="50"/>
      <c r="AS341" s="50"/>
      <c r="AT341" s="50"/>
      <c r="AU341" s="50"/>
      <c r="AV341" s="50"/>
      <c r="AW341" s="50"/>
      <c r="AX341" s="50"/>
      <c r="AY341" s="50"/>
      <c r="AZ341" s="50"/>
      <c r="BA341" s="50"/>
      <c r="BB341" s="50"/>
      <c r="BC341" s="50"/>
      <c r="BD341" s="50"/>
      <c r="BE341" s="50"/>
      <c r="BF341" s="50"/>
      <c r="BG341" s="50"/>
      <c r="BH341" s="50"/>
      <c r="BI341" s="50"/>
      <c r="BJ341" s="50"/>
      <c r="BK341" s="50"/>
      <c r="BL341" s="50"/>
      <c r="BM341" s="50"/>
      <c r="BN341" s="50"/>
      <c r="BO341" s="50"/>
      <c r="BP341" s="50"/>
      <c r="BQ341" s="50"/>
      <c r="BR341" s="50"/>
      <c r="BS341" s="50"/>
      <c r="BT341" s="50"/>
      <c r="BU341" s="50"/>
      <c r="BV341" s="50"/>
      <c r="BW341" s="50"/>
      <c r="BX341" s="50"/>
      <c r="BY341" s="50"/>
      <c r="BZ341" s="50"/>
      <c r="CA341" s="50"/>
      <c r="CB341" s="50"/>
      <c r="CC341" s="50"/>
      <c r="CD341" s="52"/>
      <c r="CE341" s="50"/>
      <c r="CF341" s="50"/>
      <c r="CG341" s="50"/>
      <c r="CH341" s="50"/>
      <c r="CI341" s="50"/>
      <c r="CJ341" s="50"/>
      <c r="CK341" s="50"/>
      <c r="CL341" s="50"/>
      <c r="CM341" s="50"/>
      <c r="CN341" s="50"/>
      <c r="CO341" s="50"/>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row>
    <row r="342" spans="1:210" ht="15.75" customHeight="1">
      <c r="A342" s="50"/>
      <c r="B342" s="50"/>
      <c r="C342" s="50"/>
      <c r="D342" s="50"/>
      <c r="E342" s="50"/>
      <c r="F342" s="50"/>
      <c r="G342" s="51"/>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c r="AS342" s="50"/>
      <c r="AT342" s="50"/>
      <c r="AU342" s="50"/>
      <c r="AV342" s="50"/>
      <c r="AW342" s="50"/>
      <c r="AX342" s="50"/>
      <c r="AY342" s="50"/>
      <c r="AZ342" s="50"/>
      <c r="BA342" s="50"/>
      <c r="BB342" s="50"/>
      <c r="BC342" s="50"/>
      <c r="BD342" s="50"/>
      <c r="BE342" s="50"/>
      <c r="BF342" s="50"/>
      <c r="BG342" s="50"/>
      <c r="BH342" s="50"/>
      <c r="BI342" s="50"/>
      <c r="BJ342" s="50"/>
      <c r="BK342" s="50"/>
      <c r="BL342" s="50"/>
      <c r="BM342" s="50"/>
      <c r="BN342" s="50"/>
      <c r="BO342" s="50"/>
      <c r="BP342" s="50"/>
      <c r="BQ342" s="50"/>
      <c r="BR342" s="50"/>
      <c r="BS342" s="50"/>
      <c r="BT342" s="50"/>
      <c r="BU342" s="50"/>
      <c r="BV342" s="50"/>
      <c r="BW342" s="50"/>
      <c r="BX342" s="50"/>
      <c r="BY342" s="50"/>
      <c r="BZ342" s="50"/>
      <c r="CA342" s="50"/>
      <c r="CB342" s="50"/>
      <c r="CC342" s="50"/>
      <c r="CD342" s="52"/>
      <c r="CE342" s="50"/>
      <c r="CF342" s="50"/>
      <c r="CG342" s="50"/>
      <c r="CH342" s="50"/>
      <c r="CI342" s="50"/>
      <c r="CJ342" s="50"/>
      <c r="CK342" s="50"/>
      <c r="CL342" s="50"/>
      <c r="CM342" s="50"/>
      <c r="CN342" s="50"/>
      <c r="CO342" s="50"/>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c r="GE342" s="3"/>
      <c r="GF342" s="3"/>
      <c r="GG342" s="3"/>
      <c r="GH342" s="3"/>
      <c r="GI342" s="3"/>
      <c r="GJ342" s="3"/>
      <c r="GK342" s="3"/>
      <c r="GL342" s="3"/>
      <c r="GM342" s="3"/>
      <c r="GN342" s="3"/>
      <c r="GO342" s="3"/>
      <c r="GP342" s="3"/>
      <c r="GQ342" s="3"/>
      <c r="GR342" s="3"/>
      <c r="GS342" s="3"/>
      <c r="GT342" s="3"/>
      <c r="GU342" s="3"/>
      <c r="GV342" s="3"/>
      <c r="GW342" s="3"/>
      <c r="GX342" s="3"/>
      <c r="GY342" s="3"/>
      <c r="GZ342" s="3"/>
      <c r="HA342" s="3"/>
      <c r="HB342" s="3"/>
    </row>
    <row r="343" spans="1:210" ht="15.75" customHeight="1">
      <c r="A343" s="50"/>
      <c r="B343" s="50"/>
      <c r="C343" s="50"/>
      <c r="D343" s="50"/>
      <c r="E343" s="50"/>
      <c r="F343" s="50"/>
      <c r="G343" s="51"/>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c r="AR343" s="50"/>
      <c r="AS343" s="50"/>
      <c r="AT343" s="50"/>
      <c r="AU343" s="50"/>
      <c r="AV343" s="50"/>
      <c r="AW343" s="50"/>
      <c r="AX343" s="50"/>
      <c r="AY343" s="50"/>
      <c r="AZ343" s="50"/>
      <c r="BA343" s="50"/>
      <c r="BB343" s="50"/>
      <c r="BC343" s="50"/>
      <c r="BD343" s="50"/>
      <c r="BE343" s="50"/>
      <c r="BF343" s="50"/>
      <c r="BG343" s="50"/>
      <c r="BH343" s="50"/>
      <c r="BI343" s="50"/>
      <c r="BJ343" s="50"/>
      <c r="BK343" s="50"/>
      <c r="BL343" s="50"/>
      <c r="BM343" s="50"/>
      <c r="BN343" s="50"/>
      <c r="BO343" s="50"/>
      <c r="BP343" s="50"/>
      <c r="BQ343" s="50"/>
      <c r="BR343" s="50"/>
      <c r="BS343" s="50"/>
      <c r="BT343" s="50"/>
      <c r="BU343" s="50"/>
      <c r="BV343" s="50"/>
      <c r="BW343" s="50"/>
      <c r="BX343" s="50"/>
      <c r="BY343" s="50"/>
      <c r="BZ343" s="50"/>
      <c r="CA343" s="50"/>
      <c r="CB343" s="50"/>
      <c r="CC343" s="50"/>
      <c r="CD343" s="52"/>
      <c r="CE343" s="50"/>
      <c r="CF343" s="50"/>
      <c r="CG343" s="50"/>
      <c r="CH343" s="50"/>
      <c r="CI343" s="50"/>
      <c r="CJ343" s="50"/>
      <c r="CK343" s="50"/>
      <c r="CL343" s="50"/>
      <c r="CM343" s="50"/>
      <c r="CN343" s="50"/>
      <c r="CO343" s="50"/>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c r="FS343" s="3"/>
      <c r="FT343" s="3"/>
      <c r="FU343" s="3"/>
      <c r="FV343" s="3"/>
      <c r="FW343" s="3"/>
      <c r="FX343" s="3"/>
      <c r="FY343" s="3"/>
      <c r="FZ343" s="3"/>
      <c r="GA343" s="3"/>
      <c r="GB343" s="3"/>
      <c r="GC343" s="3"/>
      <c r="GD343" s="3"/>
      <c r="GE343" s="3"/>
      <c r="GF343" s="3"/>
      <c r="GG343" s="3"/>
      <c r="GH343" s="3"/>
      <c r="GI343" s="3"/>
      <c r="GJ343" s="3"/>
      <c r="GK343" s="3"/>
      <c r="GL343" s="3"/>
      <c r="GM343" s="3"/>
      <c r="GN343" s="3"/>
      <c r="GO343" s="3"/>
      <c r="GP343" s="3"/>
      <c r="GQ343" s="3"/>
      <c r="GR343" s="3"/>
      <c r="GS343" s="3"/>
      <c r="GT343" s="3"/>
      <c r="GU343" s="3"/>
      <c r="GV343" s="3"/>
      <c r="GW343" s="3"/>
      <c r="GX343" s="3"/>
      <c r="GY343" s="3"/>
      <c r="GZ343" s="3"/>
      <c r="HA343" s="3"/>
      <c r="HB343" s="3"/>
    </row>
    <row r="344" spans="1:210" ht="15.75" customHeight="1">
      <c r="A344" s="50"/>
      <c r="B344" s="50"/>
      <c r="C344" s="50"/>
      <c r="D344" s="50"/>
      <c r="E344" s="50"/>
      <c r="F344" s="50"/>
      <c r="G344" s="51"/>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c r="AR344" s="50"/>
      <c r="AS344" s="50"/>
      <c r="AT344" s="50"/>
      <c r="AU344" s="50"/>
      <c r="AV344" s="50"/>
      <c r="AW344" s="50"/>
      <c r="AX344" s="50"/>
      <c r="AY344" s="50"/>
      <c r="AZ344" s="50"/>
      <c r="BA344" s="50"/>
      <c r="BB344" s="50"/>
      <c r="BC344" s="50"/>
      <c r="BD344" s="50"/>
      <c r="BE344" s="50"/>
      <c r="BF344" s="50"/>
      <c r="BG344" s="50"/>
      <c r="BH344" s="50"/>
      <c r="BI344" s="50"/>
      <c r="BJ344" s="50"/>
      <c r="BK344" s="50"/>
      <c r="BL344" s="50"/>
      <c r="BM344" s="50"/>
      <c r="BN344" s="50"/>
      <c r="BO344" s="50"/>
      <c r="BP344" s="50"/>
      <c r="BQ344" s="50"/>
      <c r="BR344" s="50"/>
      <c r="BS344" s="50"/>
      <c r="BT344" s="50"/>
      <c r="BU344" s="50"/>
      <c r="BV344" s="50"/>
      <c r="BW344" s="50"/>
      <c r="BX344" s="50"/>
      <c r="BY344" s="50"/>
      <c r="BZ344" s="50"/>
      <c r="CA344" s="50"/>
      <c r="CB344" s="50"/>
      <c r="CC344" s="50"/>
      <c r="CD344" s="52"/>
      <c r="CE344" s="50"/>
      <c r="CF344" s="50"/>
      <c r="CG344" s="50"/>
      <c r="CH344" s="50"/>
      <c r="CI344" s="50"/>
      <c r="CJ344" s="50"/>
      <c r="CK344" s="50"/>
      <c r="CL344" s="50"/>
      <c r="CM344" s="50"/>
      <c r="CN344" s="50"/>
      <c r="CO344" s="50"/>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c r="FS344" s="3"/>
      <c r="FT344" s="3"/>
      <c r="FU344" s="3"/>
      <c r="FV344" s="3"/>
      <c r="FW344" s="3"/>
      <c r="FX344" s="3"/>
      <c r="FY344" s="3"/>
      <c r="FZ344" s="3"/>
      <c r="GA344" s="3"/>
      <c r="GB344" s="3"/>
      <c r="GC344" s="3"/>
      <c r="GD344" s="3"/>
      <c r="GE344" s="3"/>
      <c r="GF344" s="3"/>
      <c r="GG344" s="3"/>
      <c r="GH344" s="3"/>
      <c r="GI344" s="3"/>
      <c r="GJ344" s="3"/>
      <c r="GK344" s="3"/>
      <c r="GL344" s="3"/>
      <c r="GM344" s="3"/>
      <c r="GN344" s="3"/>
      <c r="GO344" s="3"/>
      <c r="GP344" s="3"/>
      <c r="GQ344" s="3"/>
      <c r="GR344" s="3"/>
      <c r="GS344" s="3"/>
      <c r="GT344" s="3"/>
      <c r="GU344" s="3"/>
      <c r="GV344" s="3"/>
      <c r="GW344" s="3"/>
      <c r="GX344" s="3"/>
      <c r="GY344" s="3"/>
      <c r="GZ344" s="3"/>
      <c r="HA344" s="3"/>
      <c r="HB344" s="3"/>
    </row>
    <row r="345" spans="1:210" ht="15.75" customHeight="1">
      <c r="A345" s="50"/>
      <c r="B345" s="50"/>
      <c r="C345" s="50"/>
      <c r="D345" s="50"/>
      <c r="E345" s="50"/>
      <c r="F345" s="50"/>
      <c r="G345" s="51"/>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c r="AR345" s="50"/>
      <c r="AS345" s="50"/>
      <c r="AT345" s="50"/>
      <c r="AU345" s="50"/>
      <c r="AV345" s="50"/>
      <c r="AW345" s="50"/>
      <c r="AX345" s="50"/>
      <c r="AY345" s="50"/>
      <c r="AZ345" s="50"/>
      <c r="BA345" s="50"/>
      <c r="BB345" s="50"/>
      <c r="BC345" s="50"/>
      <c r="BD345" s="50"/>
      <c r="BE345" s="50"/>
      <c r="BF345" s="50"/>
      <c r="BG345" s="50"/>
      <c r="BH345" s="50"/>
      <c r="BI345" s="50"/>
      <c r="BJ345" s="50"/>
      <c r="BK345" s="50"/>
      <c r="BL345" s="50"/>
      <c r="BM345" s="50"/>
      <c r="BN345" s="50"/>
      <c r="BO345" s="50"/>
      <c r="BP345" s="50"/>
      <c r="BQ345" s="50"/>
      <c r="BR345" s="50"/>
      <c r="BS345" s="50"/>
      <c r="BT345" s="50"/>
      <c r="BU345" s="50"/>
      <c r="BV345" s="50"/>
      <c r="BW345" s="50"/>
      <c r="BX345" s="50"/>
      <c r="BY345" s="50"/>
      <c r="BZ345" s="50"/>
      <c r="CA345" s="50"/>
      <c r="CB345" s="50"/>
      <c r="CC345" s="50"/>
      <c r="CD345" s="52"/>
      <c r="CE345" s="50"/>
      <c r="CF345" s="50"/>
      <c r="CG345" s="50"/>
      <c r="CH345" s="50"/>
      <c r="CI345" s="50"/>
      <c r="CJ345" s="50"/>
      <c r="CK345" s="50"/>
      <c r="CL345" s="50"/>
      <c r="CM345" s="50"/>
      <c r="CN345" s="50"/>
      <c r="CO345" s="50"/>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c r="FS345" s="3"/>
      <c r="FT345" s="3"/>
      <c r="FU345" s="3"/>
      <c r="FV345" s="3"/>
      <c r="FW345" s="3"/>
      <c r="FX345" s="3"/>
      <c r="FY345" s="3"/>
      <c r="FZ345" s="3"/>
      <c r="GA345" s="3"/>
      <c r="GB345" s="3"/>
      <c r="GC345" s="3"/>
      <c r="GD345" s="3"/>
      <c r="GE345" s="3"/>
      <c r="GF345" s="3"/>
      <c r="GG345" s="3"/>
      <c r="GH345" s="3"/>
      <c r="GI345" s="3"/>
      <c r="GJ345" s="3"/>
      <c r="GK345" s="3"/>
      <c r="GL345" s="3"/>
      <c r="GM345" s="3"/>
      <c r="GN345" s="3"/>
      <c r="GO345" s="3"/>
      <c r="GP345" s="3"/>
      <c r="GQ345" s="3"/>
      <c r="GR345" s="3"/>
      <c r="GS345" s="3"/>
      <c r="GT345" s="3"/>
      <c r="GU345" s="3"/>
      <c r="GV345" s="3"/>
      <c r="GW345" s="3"/>
      <c r="GX345" s="3"/>
      <c r="GY345" s="3"/>
      <c r="GZ345" s="3"/>
      <c r="HA345" s="3"/>
      <c r="HB345" s="3"/>
    </row>
    <row r="346" spans="1:210" ht="15.75" customHeight="1">
      <c r="A346" s="50"/>
      <c r="B346" s="50"/>
      <c r="C346" s="50"/>
      <c r="D346" s="50"/>
      <c r="E346" s="50"/>
      <c r="F346" s="50"/>
      <c r="G346" s="51"/>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c r="AR346" s="50"/>
      <c r="AS346" s="50"/>
      <c r="AT346" s="50"/>
      <c r="AU346" s="50"/>
      <c r="AV346" s="50"/>
      <c r="AW346" s="50"/>
      <c r="AX346" s="50"/>
      <c r="AY346" s="50"/>
      <c r="AZ346" s="50"/>
      <c r="BA346" s="50"/>
      <c r="BB346" s="50"/>
      <c r="BC346" s="50"/>
      <c r="BD346" s="50"/>
      <c r="BE346" s="50"/>
      <c r="BF346" s="50"/>
      <c r="BG346" s="50"/>
      <c r="BH346" s="50"/>
      <c r="BI346" s="50"/>
      <c r="BJ346" s="50"/>
      <c r="BK346" s="50"/>
      <c r="BL346" s="50"/>
      <c r="BM346" s="50"/>
      <c r="BN346" s="50"/>
      <c r="BO346" s="50"/>
      <c r="BP346" s="50"/>
      <c r="BQ346" s="50"/>
      <c r="BR346" s="50"/>
      <c r="BS346" s="50"/>
      <c r="BT346" s="50"/>
      <c r="BU346" s="50"/>
      <c r="BV346" s="50"/>
      <c r="BW346" s="50"/>
      <c r="BX346" s="50"/>
      <c r="BY346" s="50"/>
      <c r="BZ346" s="50"/>
      <c r="CA346" s="50"/>
      <c r="CB346" s="50"/>
      <c r="CC346" s="50"/>
      <c r="CD346" s="52"/>
      <c r="CE346" s="50"/>
      <c r="CF346" s="50"/>
      <c r="CG346" s="50"/>
      <c r="CH346" s="50"/>
      <c r="CI346" s="50"/>
      <c r="CJ346" s="50"/>
      <c r="CK346" s="50"/>
      <c r="CL346" s="50"/>
      <c r="CM346" s="50"/>
      <c r="CN346" s="50"/>
      <c r="CO346" s="50"/>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c r="FS346" s="3"/>
      <c r="FT346" s="3"/>
      <c r="FU346" s="3"/>
      <c r="FV346" s="3"/>
      <c r="FW346" s="3"/>
      <c r="FX346" s="3"/>
      <c r="FY346" s="3"/>
      <c r="FZ346" s="3"/>
      <c r="GA346" s="3"/>
      <c r="GB346" s="3"/>
      <c r="GC346" s="3"/>
      <c r="GD346" s="3"/>
      <c r="GE346" s="3"/>
      <c r="GF346" s="3"/>
      <c r="GG346" s="3"/>
      <c r="GH346" s="3"/>
      <c r="GI346" s="3"/>
      <c r="GJ346" s="3"/>
      <c r="GK346" s="3"/>
      <c r="GL346" s="3"/>
      <c r="GM346" s="3"/>
      <c r="GN346" s="3"/>
      <c r="GO346" s="3"/>
      <c r="GP346" s="3"/>
      <c r="GQ346" s="3"/>
      <c r="GR346" s="3"/>
      <c r="GS346" s="3"/>
      <c r="GT346" s="3"/>
      <c r="GU346" s="3"/>
      <c r="GV346" s="3"/>
      <c r="GW346" s="3"/>
      <c r="GX346" s="3"/>
      <c r="GY346" s="3"/>
      <c r="GZ346" s="3"/>
      <c r="HA346" s="3"/>
      <c r="HB346" s="3"/>
    </row>
    <row r="347" spans="1:210" ht="15.75" customHeight="1">
      <c r="A347" s="50"/>
      <c r="B347" s="50"/>
      <c r="C347" s="50"/>
      <c r="D347" s="50"/>
      <c r="E347" s="50"/>
      <c r="F347" s="50"/>
      <c r="G347" s="51"/>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c r="AR347" s="50"/>
      <c r="AS347" s="50"/>
      <c r="AT347" s="50"/>
      <c r="AU347" s="50"/>
      <c r="AV347" s="50"/>
      <c r="AW347" s="50"/>
      <c r="AX347" s="50"/>
      <c r="AY347" s="50"/>
      <c r="AZ347" s="50"/>
      <c r="BA347" s="50"/>
      <c r="BB347" s="50"/>
      <c r="BC347" s="50"/>
      <c r="BD347" s="50"/>
      <c r="BE347" s="50"/>
      <c r="BF347" s="50"/>
      <c r="BG347" s="50"/>
      <c r="BH347" s="50"/>
      <c r="BI347" s="50"/>
      <c r="BJ347" s="50"/>
      <c r="BK347" s="50"/>
      <c r="BL347" s="50"/>
      <c r="BM347" s="50"/>
      <c r="BN347" s="50"/>
      <c r="BO347" s="50"/>
      <c r="BP347" s="50"/>
      <c r="BQ347" s="50"/>
      <c r="BR347" s="50"/>
      <c r="BS347" s="50"/>
      <c r="BT347" s="50"/>
      <c r="BU347" s="50"/>
      <c r="BV347" s="50"/>
      <c r="BW347" s="50"/>
      <c r="BX347" s="50"/>
      <c r="BY347" s="50"/>
      <c r="BZ347" s="50"/>
      <c r="CA347" s="50"/>
      <c r="CB347" s="50"/>
      <c r="CC347" s="50"/>
      <c r="CD347" s="52"/>
      <c r="CE347" s="50"/>
      <c r="CF347" s="50"/>
      <c r="CG347" s="50"/>
      <c r="CH347" s="50"/>
      <c r="CI347" s="50"/>
      <c r="CJ347" s="50"/>
      <c r="CK347" s="50"/>
      <c r="CL347" s="50"/>
      <c r="CM347" s="50"/>
      <c r="CN347" s="50"/>
      <c r="CO347" s="50"/>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c r="GE347" s="3"/>
      <c r="GF347" s="3"/>
      <c r="GG347" s="3"/>
      <c r="GH347" s="3"/>
      <c r="GI347" s="3"/>
      <c r="GJ347" s="3"/>
      <c r="GK347" s="3"/>
      <c r="GL347" s="3"/>
      <c r="GM347" s="3"/>
      <c r="GN347" s="3"/>
      <c r="GO347" s="3"/>
      <c r="GP347" s="3"/>
      <c r="GQ347" s="3"/>
      <c r="GR347" s="3"/>
      <c r="GS347" s="3"/>
      <c r="GT347" s="3"/>
      <c r="GU347" s="3"/>
      <c r="GV347" s="3"/>
      <c r="GW347" s="3"/>
      <c r="GX347" s="3"/>
      <c r="GY347" s="3"/>
      <c r="GZ347" s="3"/>
      <c r="HA347" s="3"/>
      <c r="HB347" s="3"/>
    </row>
    <row r="348" spans="1:210" ht="15.75" customHeight="1">
      <c r="A348" s="50"/>
      <c r="B348" s="50"/>
      <c r="C348" s="50"/>
      <c r="D348" s="50"/>
      <c r="E348" s="50"/>
      <c r="F348" s="50"/>
      <c r="G348" s="51"/>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c r="AR348" s="50"/>
      <c r="AS348" s="50"/>
      <c r="AT348" s="50"/>
      <c r="AU348" s="50"/>
      <c r="AV348" s="50"/>
      <c r="AW348" s="50"/>
      <c r="AX348" s="50"/>
      <c r="AY348" s="50"/>
      <c r="AZ348" s="50"/>
      <c r="BA348" s="50"/>
      <c r="BB348" s="50"/>
      <c r="BC348" s="50"/>
      <c r="BD348" s="50"/>
      <c r="BE348" s="50"/>
      <c r="BF348" s="50"/>
      <c r="BG348" s="50"/>
      <c r="BH348" s="50"/>
      <c r="BI348" s="50"/>
      <c r="BJ348" s="50"/>
      <c r="BK348" s="50"/>
      <c r="BL348" s="50"/>
      <c r="BM348" s="50"/>
      <c r="BN348" s="50"/>
      <c r="BO348" s="50"/>
      <c r="BP348" s="50"/>
      <c r="BQ348" s="50"/>
      <c r="BR348" s="50"/>
      <c r="BS348" s="50"/>
      <c r="BT348" s="50"/>
      <c r="BU348" s="50"/>
      <c r="BV348" s="50"/>
      <c r="BW348" s="50"/>
      <c r="BX348" s="50"/>
      <c r="BY348" s="50"/>
      <c r="BZ348" s="50"/>
      <c r="CA348" s="50"/>
      <c r="CB348" s="50"/>
      <c r="CC348" s="50"/>
      <c r="CD348" s="52"/>
      <c r="CE348" s="50"/>
      <c r="CF348" s="50"/>
      <c r="CG348" s="50"/>
      <c r="CH348" s="50"/>
      <c r="CI348" s="50"/>
      <c r="CJ348" s="50"/>
      <c r="CK348" s="50"/>
      <c r="CL348" s="50"/>
      <c r="CM348" s="50"/>
      <c r="CN348" s="50"/>
      <c r="CO348" s="50"/>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c r="GE348" s="3"/>
      <c r="GF348" s="3"/>
      <c r="GG348" s="3"/>
      <c r="GH348" s="3"/>
      <c r="GI348" s="3"/>
      <c r="GJ348" s="3"/>
      <c r="GK348" s="3"/>
      <c r="GL348" s="3"/>
      <c r="GM348" s="3"/>
      <c r="GN348" s="3"/>
      <c r="GO348" s="3"/>
      <c r="GP348" s="3"/>
      <c r="GQ348" s="3"/>
      <c r="GR348" s="3"/>
      <c r="GS348" s="3"/>
      <c r="GT348" s="3"/>
      <c r="GU348" s="3"/>
      <c r="GV348" s="3"/>
      <c r="GW348" s="3"/>
      <c r="GX348" s="3"/>
      <c r="GY348" s="3"/>
      <c r="GZ348" s="3"/>
      <c r="HA348" s="3"/>
      <c r="HB348" s="3"/>
    </row>
    <row r="349" spans="1:210" ht="15.75" customHeight="1">
      <c r="A349" s="50"/>
      <c r="B349" s="50"/>
      <c r="C349" s="50"/>
      <c r="D349" s="50"/>
      <c r="E349" s="50"/>
      <c r="F349" s="50"/>
      <c r="G349" s="51"/>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c r="AR349" s="50"/>
      <c r="AS349" s="50"/>
      <c r="AT349" s="50"/>
      <c r="AU349" s="50"/>
      <c r="AV349" s="50"/>
      <c r="AW349" s="50"/>
      <c r="AX349" s="50"/>
      <c r="AY349" s="50"/>
      <c r="AZ349" s="50"/>
      <c r="BA349" s="50"/>
      <c r="BB349" s="50"/>
      <c r="BC349" s="50"/>
      <c r="BD349" s="50"/>
      <c r="BE349" s="50"/>
      <c r="BF349" s="50"/>
      <c r="BG349" s="50"/>
      <c r="BH349" s="50"/>
      <c r="BI349" s="50"/>
      <c r="BJ349" s="50"/>
      <c r="BK349" s="50"/>
      <c r="BL349" s="50"/>
      <c r="BM349" s="50"/>
      <c r="BN349" s="50"/>
      <c r="BO349" s="50"/>
      <c r="BP349" s="50"/>
      <c r="BQ349" s="50"/>
      <c r="BR349" s="50"/>
      <c r="BS349" s="50"/>
      <c r="BT349" s="50"/>
      <c r="BU349" s="50"/>
      <c r="BV349" s="50"/>
      <c r="BW349" s="50"/>
      <c r="BX349" s="50"/>
      <c r="BY349" s="50"/>
      <c r="BZ349" s="50"/>
      <c r="CA349" s="50"/>
      <c r="CB349" s="50"/>
      <c r="CC349" s="50"/>
      <c r="CD349" s="52"/>
      <c r="CE349" s="50"/>
      <c r="CF349" s="50"/>
      <c r="CG349" s="50"/>
      <c r="CH349" s="50"/>
      <c r="CI349" s="50"/>
      <c r="CJ349" s="50"/>
      <c r="CK349" s="50"/>
      <c r="CL349" s="50"/>
      <c r="CM349" s="50"/>
      <c r="CN349" s="50"/>
      <c r="CO349" s="50"/>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c r="GE349" s="3"/>
      <c r="GF349" s="3"/>
      <c r="GG349" s="3"/>
      <c r="GH349" s="3"/>
      <c r="GI349" s="3"/>
      <c r="GJ349" s="3"/>
      <c r="GK349" s="3"/>
      <c r="GL349" s="3"/>
      <c r="GM349" s="3"/>
      <c r="GN349" s="3"/>
      <c r="GO349" s="3"/>
      <c r="GP349" s="3"/>
      <c r="GQ349" s="3"/>
      <c r="GR349" s="3"/>
      <c r="GS349" s="3"/>
      <c r="GT349" s="3"/>
      <c r="GU349" s="3"/>
      <c r="GV349" s="3"/>
      <c r="GW349" s="3"/>
      <c r="GX349" s="3"/>
      <c r="GY349" s="3"/>
      <c r="GZ349" s="3"/>
      <c r="HA349" s="3"/>
      <c r="HB349" s="3"/>
    </row>
    <row r="350" spans="1:210" ht="15.75" customHeight="1">
      <c r="A350" s="50"/>
      <c r="B350" s="50"/>
      <c r="C350" s="50"/>
      <c r="D350" s="50"/>
      <c r="E350" s="50"/>
      <c r="F350" s="50"/>
      <c r="G350" s="51"/>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c r="AR350" s="50"/>
      <c r="AS350" s="50"/>
      <c r="AT350" s="50"/>
      <c r="AU350" s="50"/>
      <c r="AV350" s="50"/>
      <c r="AW350" s="50"/>
      <c r="AX350" s="50"/>
      <c r="AY350" s="50"/>
      <c r="AZ350" s="50"/>
      <c r="BA350" s="50"/>
      <c r="BB350" s="50"/>
      <c r="BC350" s="50"/>
      <c r="BD350" s="50"/>
      <c r="BE350" s="50"/>
      <c r="BF350" s="50"/>
      <c r="BG350" s="50"/>
      <c r="BH350" s="50"/>
      <c r="BI350" s="50"/>
      <c r="BJ350" s="50"/>
      <c r="BK350" s="50"/>
      <c r="BL350" s="50"/>
      <c r="BM350" s="50"/>
      <c r="BN350" s="50"/>
      <c r="BO350" s="50"/>
      <c r="BP350" s="50"/>
      <c r="BQ350" s="50"/>
      <c r="BR350" s="50"/>
      <c r="BS350" s="50"/>
      <c r="BT350" s="50"/>
      <c r="BU350" s="50"/>
      <c r="BV350" s="50"/>
      <c r="BW350" s="50"/>
      <c r="BX350" s="50"/>
      <c r="BY350" s="50"/>
      <c r="BZ350" s="50"/>
      <c r="CA350" s="50"/>
      <c r="CB350" s="50"/>
      <c r="CC350" s="50"/>
      <c r="CD350" s="52"/>
      <c r="CE350" s="50"/>
      <c r="CF350" s="50"/>
      <c r="CG350" s="50"/>
      <c r="CH350" s="50"/>
      <c r="CI350" s="50"/>
      <c r="CJ350" s="50"/>
      <c r="CK350" s="50"/>
      <c r="CL350" s="50"/>
      <c r="CM350" s="50"/>
      <c r="CN350" s="50"/>
      <c r="CO350" s="50"/>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c r="GE350" s="3"/>
      <c r="GF350" s="3"/>
      <c r="GG350" s="3"/>
      <c r="GH350" s="3"/>
      <c r="GI350" s="3"/>
      <c r="GJ350" s="3"/>
      <c r="GK350" s="3"/>
      <c r="GL350" s="3"/>
      <c r="GM350" s="3"/>
      <c r="GN350" s="3"/>
      <c r="GO350" s="3"/>
      <c r="GP350" s="3"/>
      <c r="GQ350" s="3"/>
      <c r="GR350" s="3"/>
      <c r="GS350" s="3"/>
      <c r="GT350" s="3"/>
      <c r="GU350" s="3"/>
      <c r="GV350" s="3"/>
      <c r="GW350" s="3"/>
      <c r="GX350" s="3"/>
      <c r="GY350" s="3"/>
      <c r="GZ350" s="3"/>
      <c r="HA350" s="3"/>
      <c r="HB350" s="3"/>
    </row>
    <row r="351" spans="1:210" ht="15.75" customHeight="1">
      <c r="A351" s="50"/>
      <c r="B351" s="50"/>
      <c r="C351" s="50"/>
      <c r="D351" s="50"/>
      <c r="E351" s="50"/>
      <c r="F351" s="50"/>
      <c r="G351" s="51"/>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c r="AR351" s="50"/>
      <c r="AS351" s="50"/>
      <c r="AT351" s="50"/>
      <c r="AU351" s="50"/>
      <c r="AV351" s="50"/>
      <c r="AW351" s="50"/>
      <c r="AX351" s="50"/>
      <c r="AY351" s="50"/>
      <c r="AZ351" s="50"/>
      <c r="BA351" s="50"/>
      <c r="BB351" s="50"/>
      <c r="BC351" s="50"/>
      <c r="BD351" s="50"/>
      <c r="BE351" s="50"/>
      <c r="BF351" s="50"/>
      <c r="BG351" s="50"/>
      <c r="BH351" s="50"/>
      <c r="BI351" s="50"/>
      <c r="BJ351" s="50"/>
      <c r="BK351" s="50"/>
      <c r="BL351" s="50"/>
      <c r="BM351" s="50"/>
      <c r="BN351" s="50"/>
      <c r="BO351" s="50"/>
      <c r="BP351" s="50"/>
      <c r="BQ351" s="50"/>
      <c r="BR351" s="50"/>
      <c r="BS351" s="50"/>
      <c r="BT351" s="50"/>
      <c r="BU351" s="50"/>
      <c r="BV351" s="50"/>
      <c r="BW351" s="50"/>
      <c r="BX351" s="50"/>
      <c r="BY351" s="50"/>
      <c r="BZ351" s="50"/>
      <c r="CA351" s="50"/>
      <c r="CB351" s="50"/>
      <c r="CC351" s="50"/>
      <c r="CD351" s="52"/>
      <c r="CE351" s="50"/>
      <c r="CF351" s="50"/>
      <c r="CG351" s="50"/>
      <c r="CH351" s="50"/>
      <c r="CI351" s="50"/>
      <c r="CJ351" s="50"/>
      <c r="CK351" s="50"/>
      <c r="CL351" s="50"/>
      <c r="CM351" s="50"/>
      <c r="CN351" s="50"/>
      <c r="CO351" s="50"/>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c r="GE351" s="3"/>
      <c r="GF351" s="3"/>
      <c r="GG351" s="3"/>
      <c r="GH351" s="3"/>
      <c r="GI351" s="3"/>
      <c r="GJ351" s="3"/>
      <c r="GK351" s="3"/>
      <c r="GL351" s="3"/>
      <c r="GM351" s="3"/>
      <c r="GN351" s="3"/>
      <c r="GO351" s="3"/>
      <c r="GP351" s="3"/>
      <c r="GQ351" s="3"/>
      <c r="GR351" s="3"/>
      <c r="GS351" s="3"/>
      <c r="GT351" s="3"/>
      <c r="GU351" s="3"/>
      <c r="GV351" s="3"/>
      <c r="GW351" s="3"/>
      <c r="GX351" s="3"/>
      <c r="GY351" s="3"/>
      <c r="GZ351" s="3"/>
      <c r="HA351" s="3"/>
      <c r="HB351" s="3"/>
    </row>
    <row r="352" spans="1:210" ht="15.75" customHeight="1">
      <c r="A352" s="50"/>
      <c r="B352" s="50"/>
      <c r="C352" s="50"/>
      <c r="D352" s="50"/>
      <c r="E352" s="50"/>
      <c r="F352" s="50"/>
      <c r="G352" s="51"/>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c r="AR352" s="50"/>
      <c r="AS352" s="50"/>
      <c r="AT352" s="50"/>
      <c r="AU352" s="50"/>
      <c r="AV352" s="50"/>
      <c r="AW352" s="50"/>
      <c r="AX352" s="50"/>
      <c r="AY352" s="50"/>
      <c r="AZ352" s="50"/>
      <c r="BA352" s="50"/>
      <c r="BB352" s="50"/>
      <c r="BC352" s="50"/>
      <c r="BD352" s="50"/>
      <c r="BE352" s="50"/>
      <c r="BF352" s="50"/>
      <c r="BG352" s="50"/>
      <c r="BH352" s="50"/>
      <c r="BI352" s="50"/>
      <c r="BJ352" s="50"/>
      <c r="BK352" s="50"/>
      <c r="BL352" s="50"/>
      <c r="BM352" s="50"/>
      <c r="BN352" s="50"/>
      <c r="BO352" s="50"/>
      <c r="BP352" s="50"/>
      <c r="BQ352" s="50"/>
      <c r="BR352" s="50"/>
      <c r="BS352" s="50"/>
      <c r="BT352" s="50"/>
      <c r="BU352" s="50"/>
      <c r="BV352" s="50"/>
      <c r="BW352" s="50"/>
      <c r="BX352" s="50"/>
      <c r="BY352" s="50"/>
      <c r="BZ352" s="50"/>
      <c r="CA352" s="50"/>
      <c r="CB352" s="50"/>
      <c r="CC352" s="50"/>
      <c r="CD352" s="52"/>
      <c r="CE352" s="50"/>
      <c r="CF352" s="50"/>
      <c r="CG352" s="50"/>
      <c r="CH352" s="50"/>
      <c r="CI352" s="50"/>
      <c r="CJ352" s="50"/>
      <c r="CK352" s="50"/>
      <c r="CL352" s="50"/>
      <c r="CM352" s="50"/>
      <c r="CN352" s="50"/>
      <c r="CO352" s="50"/>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c r="GE352" s="3"/>
      <c r="GF352" s="3"/>
      <c r="GG352" s="3"/>
      <c r="GH352" s="3"/>
      <c r="GI352" s="3"/>
      <c r="GJ352" s="3"/>
      <c r="GK352" s="3"/>
      <c r="GL352" s="3"/>
      <c r="GM352" s="3"/>
      <c r="GN352" s="3"/>
      <c r="GO352" s="3"/>
      <c r="GP352" s="3"/>
      <c r="GQ352" s="3"/>
      <c r="GR352" s="3"/>
      <c r="GS352" s="3"/>
      <c r="GT352" s="3"/>
      <c r="GU352" s="3"/>
      <c r="GV352" s="3"/>
      <c r="GW352" s="3"/>
      <c r="GX352" s="3"/>
      <c r="GY352" s="3"/>
      <c r="GZ352" s="3"/>
      <c r="HA352" s="3"/>
      <c r="HB352" s="3"/>
    </row>
    <row r="353" spans="1:210" ht="15.75" customHeight="1">
      <c r="A353" s="50"/>
      <c r="B353" s="50"/>
      <c r="C353" s="50"/>
      <c r="D353" s="50"/>
      <c r="E353" s="50"/>
      <c r="F353" s="50"/>
      <c r="G353" s="51"/>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c r="AR353" s="50"/>
      <c r="AS353" s="50"/>
      <c r="AT353" s="50"/>
      <c r="AU353" s="50"/>
      <c r="AV353" s="50"/>
      <c r="AW353" s="50"/>
      <c r="AX353" s="50"/>
      <c r="AY353" s="50"/>
      <c r="AZ353" s="50"/>
      <c r="BA353" s="50"/>
      <c r="BB353" s="50"/>
      <c r="BC353" s="50"/>
      <c r="BD353" s="50"/>
      <c r="BE353" s="50"/>
      <c r="BF353" s="50"/>
      <c r="BG353" s="50"/>
      <c r="BH353" s="50"/>
      <c r="BI353" s="50"/>
      <c r="BJ353" s="50"/>
      <c r="BK353" s="50"/>
      <c r="BL353" s="50"/>
      <c r="BM353" s="50"/>
      <c r="BN353" s="50"/>
      <c r="BO353" s="50"/>
      <c r="BP353" s="50"/>
      <c r="BQ353" s="50"/>
      <c r="BR353" s="50"/>
      <c r="BS353" s="50"/>
      <c r="BT353" s="50"/>
      <c r="BU353" s="50"/>
      <c r="BV353" s="50"/>
      <c r="BW353" s="50"/>
      <c r="BX353" s="50"/>
      <c r="BY353" s="50"/>
      <c r="BZ353" s="50"/>
      <c r="CA353" s="50"/>
      <c r="CB353" s="50"/>
      <c r="CC353" s="50"/>
      <c r="CD353" s="52"/>
      <c r="CE353" s="50"/>
      <c r="CF353" s="50"/>
      <c r="CG353" s="50"/>
      <c r="CH353" s="50"/>
      <c r="CI353" s="50"/>
      <c r="CJ353" s="50"/>
      <c r="CK353" s="50"/>
      <c r="CL353" s="50"/>
      <c r="CM353" s="50"/>
      <c r="CN353" s="50"/>
      <c r="CO353" s="50"/>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c r="GE353" s="3"/>
      <c r="GF353" s="3"/>
      <c r="GG353" s="3"/>
      <c r="GH353" s="3"/>
      <c r="GI353" s="3"/>
      <c r="GJ353" s="3"/>
      <c r="GK353" s="3"/>
      <c r="GL353" s="3"/>
      <c r="GM353" s="3"/>
      <c r="GN353" s="3"/>
      <c r="GO353" s="3"/>
      <c r="GP353" s="3"/>
      <c r="GQ353" s="3"/>
      <c r="GR353" s="3"/>
      <c r="GS353" s="3"/>
      <c r="GT353" s="3"/>
      <c r="GU353" s="3"/>
      <c r="GV353" s="3"/>
      <c r="GW353" s="3"/>
      <c r="GX353" s="3"/>
      <c r="GY353" s="3"/>
      <c r="GZ353" s="3"/>
      <c r="HA353" s="3"/>
      <c r="HB353" s="3"/>
    </row>
    <row r="354" spans="1:210" ht="15.75" customHeight="1">
      <c r="A354" s="50"/>
      <c r="B354" s="50"/>
      <c r="C354" s="50"/>
      <c r="D354" s="50"/>
      <c r="E354" s="50"/>
      <c r="F354" s="50"/>
      <c r="G354" s="51"/>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c r="AR354" s="50"/>
      <c r="AS354" s="50"/>
      <c r="AT354" s="50"/>
      <c r="AU354" s="50"/>
      <c r="AV354" s="50"/>
      <c r="AW354" s="50"/>
      <c r="AX354" s="50"/>
      <c r="AY354" s="50"/>
      <c r="AZ354" s="50"/>
      <c r="BA354" s="50"/>
      <c r="BB354" s="50"/>
      <c r="BC354" s="50"/>
      <c r="BD354" s="50"/>
      <c r="BE354" s="50"/>
      <c r="BF354" s="50"/>
      <c r="BG354" s="50"/>
      <c r="BH354" s="50"/>
      <c r="BI354" s="50"/>
      <c r="BJ354" s="50"/>
      <c r="BK354" s="50"/>
      <c r="BL354" s="50"/>
      <c r="BM354" s="50"/>
      <c r="BN354" s="50"/>
      <c r="BO354" s="50"/>
      <c r="BP354" s="50"/>
      <c r="BQ354" s="50"/>
      <c r="BR354" s="50"/>
      <c r="BS354" s="50"/>
      <c r="BT354" s="50"/>
      <c r="BU354" s="50"/>
      <c r="BV354" s="50"/>
      <c r="BW354" s="50"/>
      <c r="BX354" s="50"/>
      <c r="BY354" s="50"/>
      <c r="BZ354" s="50"/>
      <c r="CA354" s="50"/>
      <c r="CB354" s="50"/>
      <c r="CC354" s="50"/>
      <c r="CD354" s="52"/>
      <c r="CE354" s="50"/>
      <c r="CF354" s="50"/>
      <c r="CG354" s="50"/>
      <c r="CH354" s="50"/>
      <c r="CI354" s="50"/>
      <c r="CJ354" s="50"/>
      <c r="CK354" s="50"/>
      <c r="CL354" s="50"/>
      <c r="CM354" s="50"/>
      <c r="CN354" s="50"/>
      <c r="CO354" s="50"/>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c r="GE354" s="3"/>
      <c r="GF354" s="3"/>
      <c r="GG354" s="3"/>
      <c r="GH354" s="3"/>
      <c r="GI354" s="3"/>
      <c r="GJ354" s="3"/>
      <c r="GK354" s="3"/>
      <c r="GL354" s="3"/>
      <c r="GM354" s="3"/>
      <c r="GN354" s="3"/>
      <c r="GO354" s="3"/>
      <c r="GP354" s="3"/>
      <c r="GQ354" s="3"/>
      <c r="GR354" s="3"/>
      <c r="GS354" s="3"/>
      <c r="GT354" s="3"/>
      <c r="GU354" s="3"/>
      <c r="GV354" s="3"/>
      <c r="GW354" s="3"/>
      <c r="GX354" s="3"/>
      <c r="GY354" s="3"/>
      <c r="GZ354" s="3"/>
      <c r="HA354" s="3"/>
      <c r="HB354" s="3"/>
    </row>
    <row r="355" spans="1:210" ht="15.75" customHeight="1">
      <c r="A355" s="50"/>
      <c r="B355" s="50"/>
      <c r="C355" s="50"/>
      <c r="D355" s="50"/>
      <c r="E355" s="50"/>
      <c r="F355" s="50"/>
      <c r="G355" s="51"/>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c r="AR355" s="50"/>
      <c r="AS355" s="50"/>
      <c r="AT355" s="50"/>
      <c r="AU355" s="50"/>
      <c r="AV355" s="50"/>
      <c r="AW355" s="50"/>
      <c r="AX355" s="50"/>
      <c r="AY355" s="50"/>
      <c r="AZ355" s="50"/>
      <c r="BA355" s="50"/>
      <c r="BB355" s="50"/>
      <c r="BC355" s="50"/>
      <c r="BD355" s="50"/>
      <c r="BE355" s="50"/>
      <c r="BF355" s="50"/>
      <c r="BG355" s="50"/>
      <c r="BH355" s="50"/>
      <c r="BI355" s="50"/>
      <c r="BJ355" s="50"/>
      <c r="BK355" s="50"/>
      <c r="BL355" s="50"/>
      <c r="BM355" s="50"/>
      <c r="BN355" s="50"/>
      <c r="BO355" s="50"/>
      <c r="BP355" s="50"/>
      <c r="BQ355" s="50"/>
      <c r="BR355" s="50"/>
      <c r="BS355" s="50"/>
      <c r="BT355" s="50"/>
      <c r="BU355" s="50"/>
      <c r="BV355" s="50"/>
      <c r="BW355" s="50"/>
      <c r="BX355" s="50"/>
      <c r="BY355" s="50"/>
      <c r="BZ355" s="50"/>
      <c r="CA355" s="50"/>
      <c r="CB355" s="50"/>
      <c r="CC355" s="50"/>
      <c r="CD355" s="52"/>
      <c r="CE355" s="50"/>
      <c r="CF355" s="50"/>
      <c r="CG355" s="50"/>
      <c r="CH355" s="50"/>
      <c r="CI355" s="50"/>
      <c r="CJ355" s="50"/>
      <c r="CK355" s="50"/>
      <c r="CL355" s="50"/>
      <c r="CM355" s="50"/>
      <c r="CN355" s="50"/>
      <c r="CO355" s="50"/>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c r="GE355" s="3"/>
      <c r="GF355" s="3"/>
      <c r="GG355" s="3"/>
      <c r="GH355" s="3"/>
      <c r="GI355" s="3"/>
      <c r="GJ355" s="3"/>
      <c r="GK355" s="3"/>
      <c r="GL355" s="3"/>
      <c r="GM355" s="3"/>
      <c r="GN355" s="3"/>
      <c r="GO355" s="3"/>
      <c r="GP355" s="3"/>
      <c r="GQ355" s="3"/>
      <c r="GR355" s="3"/>
      <c r="GS355" s="3"/>
      <c r="GT355" s="3"/>
      <c r="GU355" s="3"/>
      <c r="GV355" s="3"/>
      <c r="GW355" s="3"/>
      <c r="GX355" s="3"/>
      <c r="GY355" s="3"/>
      <c r="GZ355" s="3"/>
      <c r="HA355" s="3"/>
      <c r="HB355" s="3"/>
    </row>
    <row r="356" spans="1:210" ht="15.75" customHeight="1">
      <c r="A356" s="50"/>
      <c r="B356" s="50"/>
      <c r="C356" s="50"/>
      <c r="D356" s="50"/>
      <c r="E356" s="50"/>
      <c r="F356" s="50"/>
      <c r="G356" s="51"/>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c r="AR356" s="50"/>
      <c r="AS356" s="50"/>
      <c r="AT356" s="50"/>
      <c r="AU356" s="50"/>
      <c r="AV356" s="50"/>
      <c r="AW356" s="50"/>
      <c r="AX356" s="50"/>
      <c r="AY356" s="50"/>
      <c r="AZ356" s="50"/>
      <c r="BA356" s="50"/>
      <c r="BB356" s="50"/>
      <c r="BC356" s="50"/>
      <c r="BD356" s="50"/>
      <c r="BE356" s="50"/>
      <c r="BF356" s="50"/>
      <c r="BG356" s="50"/>
      <c r="BH356" s="50"/>
      <c r="BI356" s="50"/>
      <c r="BJ356" s="50"/>
      <c r="BK356" s="50"/>
      <c r="BL356" s="50"/>
      <c r="BM356" s="50"/>
      <c r="BN356" s="50"/>
      <c r="BO356" s="50"/>
      <c r="BP356" s="50"/>
      <c r="BQ356" s="50"/>
      <c r="BR356" s="50"/>
      <c r="BS356" s="50"/>
      <c r="BT356" s="50"/>
      <c r="BU356" s="50"/>
      <c r="BV356" s="50"/>
      <c r="BW356" s="50"/>
      <c r="BX356" s="50"/>
      <c r="BY356" s="50"/>
      <c r="BZ356" s="50"/>
      <c r="CA356" s="50"/>
      <c r="CB356" s="50"/>
      <c r="CC356" s="50"/>
      <c r="CD356" s="52"/>
      <c r="CE356" s="50"/>
      <c r="CF356" s="50"/>
      <c r="CG356" s="50"/>
      <c r="CH356" s="50"/>
      <c r="CI356" s="50"/>
      <c r="CJ356" s="50"/>
      <c r="CK356" s="50"/>
      <c r="CL356" s="50"/>
      <c r="CM356" s="50"/>
      <c r="CN356" s="50"/>
      <c r="CO356" s="50"/>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c r="FS356" s="3"/>
      <c r="FT356" s="3"/>
      <c r="FU356" s="3"/>
      <c r="FV356" s="3"/>
      <c r="FW356" s="3"/>
      <c r="FX356" s="3"/>
      <c r="FY356" s="3"/>
      <c r="FZ356" s="3"/>
      <c r="GA356" s="3"/>
      <c r="GB356" s="3"/>
      <c r="GC356" s="3"/>
      <c r="GD356" s="3"/>
      <c r="GE356" s="3"/>
      <c r="GF356" s="3"/>
      <c r="GG356" s="3"/>
      <c r="GH356" s="3"/>
      <c r="GI356" s="3"/>
      <c r="GJ356" s="3"/>
      <c r="GK356" s="3"/>
      <c r="GL356" s="3"/>
      <c r="GM356" s="3"/>
      <c r="GN356" s="3"/>
      <c r="GO356" s="3"/>
      <c r="GP356" s="3"/>
      <c r="GQ356" s="3"/>
      <c r="GR356" s="3"/>
      <c r="GS356" s="3"/>
      <c r="GT356" s="3"/>
      <c r="GU356" s="3"/>
      <c r="GV356" s="3"/>
      <c r="GW356" s="3"/>
      <c r="GX356" s="3"/>
      <c r="GY356" s="3"/>
      <c r="GZ356" s="3"/>
      <c r="HA356" s="3"/>
      <c r="HB356" s="3"/>
    </row>
    <row r="357" spans="1:210" ht="15.75" customHeight="1">
      <c r="A357" s="50"/>
      <c r="B357" s="50"/>
      <c r="C357" s="50"/>
      <c r="D357" s="50"/>
      <c r="E357" s="50"/>
      <c r="F357" s="50"/>
      <c r="G357" s="51"/>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c r="AR357" s="50"/>
      <c r="AS357" s="50"/>
      <c r="AT357" s="50"/>
      <c r="AU357" s="50"/>
      <c r="AV357" s="50"/>
      <c r="AW357" s="50"/>
      <c r="AX357" s="50"/>
      <c r="AY357" s="50"/>
      <c r="AZ357" s="50"/>
      <c r="BA357" s="50"/>
      <c r="BB357" s="50"/>
      <c r="BC357" s="50"/>
      <c r="BD357" s="50"/>
      <c r="BE357" s="50"/>
      <c r="BF357" s="50"/>
      <c r="BG357" s="50"/>
      <c r="BH357" s="50"/>
      <c r="BI357" s="50"/>
      <c r="BJ357" s="50"/>
      <c r="BK357" s="50"/>
      <c r="BL357" s="50"/>
      <c r="BM357" s="50"/>
      <c r="BN357" s="50"/>
      <c r="BO357" s="50"/>
      <c r="BP357" s="50"/>
      <c r="BQ357" s="50"/>
      <c r="BR357" s="50"/>
      <c r="BS357" s="50"/>
      <c r="BT357" s="50"/>
      <c r="BU357" s="50"/>
      <c r="BV357" s="50"/>
      <c r="BW357" s="50"/>
      <c r="BX357" s="50"/>
      <c r="BY357" s="50"/>
      <c r="BZ357" s="50"/>
      <c r="CA357" s="50"/>
      <c r="CB357" s="50"/>
      <c r="CC357" s="50"/>
      <c r="CD357" s="52"/>
      <c r="CE357" s="50"/>
      <c r="CF357" s="50"/>
      <c r="CG357" s="50"/>
      <c r="CH357" s="50"/>
      <c r="CI357" s="50"/>
      <c r="CJ357" s="50"/>
      <c r="CK357" s="50"/>
      <c r="CL357" s="50"/>
      <c r="CM357" s="50"/>
      <c r="CN357" s="50"/>
      <c r="CO357" s="50"/>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c r="FS357" s="3"/>
      <c r="FT357" s="3"/>
      <c r="FU357" s="3"/>
      <c r="FV357" s="3"/>
      <c r="FW357" s="3"/>
      <c r="FX357" s="3"/>
      <c r="FY357" s="3"/>
      <c r="FZ357" s="3"/>
      <c r="GA357" s="3"/>
      <c r="GB357" s="3"/>
      <c r="GC357" s="3"/>
      <c r="GD357" s="3"/>
      <c r="GE357" s="3"/>
      <c r="GF357" s="3"/>
      <c r="GG357" s="3"/>
      <c r="GH357" s="3"/>
      <c r="GI357" s="3"/>
      <c r="GJ357" s="3"/>
      <c r="GK357" s="3"/>
      <c r="GL357" s="3"/>
      <c r="GM357" s="3"/>
      <c r="GN357" s="3"/>
      <c r="GO357" s="3"/>
      <c r="GP357" s="3"/>
      <c r="GQ357" s="3"/>
      <c r="GR357" s="3"/>
      <c r="GS357" s="3"/>
      <c r="GT357" s="3"/>
      <c r="GU357" s="3"/>
      <c r="GV357" s="3"/>
      <c r="GW357" s="3"/>
      <c r="GX357" s="3"/>
      <c r="GY357" s="3"/>
      <c r="GZ357" s="3"/>
      <c r="HA357" s="3"/>
      <c r="HB357" s="3"/>
    </row>
    <row r="358" spans="1:210" ht="15.75" customHeight="1">
      <c r="A358" s="50"/>
      <c r="B358" s="50"/>
      <c r="C358" s="50"/>
      <c r="D358" s="50"/>
      <c r="E358" s="50"/>
      <c r="F358" s="50"/>
      <c r="G358" s="51"/>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c r="AR358" s="50"/>
      <c r="AS358" s="50"/>
      <c r="AT358" s="50"/>
      <c r="AU358" s="50"/>
      <c r="AV358" s="50"/>
      <c r="AW358" s="50"/>
      <c r="AX358" s="50"/>
      <c r="AY358" s="50"/>
      <c r="AZ358" s="50"/>
      <c r="BA358" s="50"/>
      <c r="BB358" s="50"/>
      <c r="BC358" s="50"/>
      <c r="BD358" s="50"/>
      <c r="BE358" s="50"/>
      <c r="BF358" s="50"/>
      <c r="BG358" s="50"/>
      <c r="BH358" s="50"/>
      <c r="BI358" s="50"/>
      <c r="BJ358" s="50"/>
      <c r="BK358" s="50"/>
      <c r="BL358" s="50"/>
      <c r="BM358" s="50"/>
      <c r="BN358" s="50"/>
      <c r="BO358" s="50"/>
      <c r="BP358" s="50"/>
      <c r="BQ358" s="50"/>
      <c r="BR358" s="50"/>
      <c r="BS358" s="50"/>
      <c r="BT358" s="50"/>
      <c r="BU358" s="50"/>
      <c r="BV358" s="50"/>
      <c r="BW358" s="50"/>
      <c r="BX358" s="50"/>
      <c r="BY358" s="50"/>
      <c r="BZ358" s="50"/>
      <c r="CA358" s="50"/>
      <c r="CB358" s="50"/>
      <c r="CC358" s="50"/>
      <c r="CD358" s="52"/>
      <c r="CE358" s="50"/>
      <c r="CF358" s="50"/>
      <c r="CG358" s="50"/>
      <c r="CH358" s="50"/>
      <c r="CI358" s="50"/>
      <c r="CJ358" s="50"/>
      <c r="CK358" s="50"/>
      <c r="CL358" s="50"/>
      <c r="CM358" s="50"/>
      <c r="CN358" s="50"/>
      <c r="CO358" s="50"/>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c r="FS358" s="3"/>
      <c r="FT358" s="3"/>
      <c r="FU358" s="3"/>
      <c r="FV358" s="3"/>
      <c r="FW358" s="3"/>
      <c r="FX358" s="3"/>
      <c r="FY358" s="3"/>
      <c r="FZ358" s="3"/>
      <c r="GA358" s="3"/>
      <c r="GB358" s="3"/>
      <c r="GC358" s="3"/>
      <c r="GD358" s="3"/>
      <c r="GE358" s="3"/>
      <c r="GF358" s="3"/>
      <c r="GG358" s="3"/>
      <c r="GH358" s="3"/>
      <c r="GI358" s="3"/>
      <c r="GJ358" s="3"/>
      <c r="GK358" s="3"/>
      <c r="GL358" s="3"/>
      <c r="GM358" s="3"/>
      <c r="GN358" s="3"/>
      <c r="GO358" s="3"/>
      <c r="GP358" s="3"/>
      <c r="GQ358" s="3"/>
      <c r="GR358" s="3"/>
      <c r="GS358" s="3"/>
      <c r="GT358" s="3"/>
      <c r="GU358" s="3"/>
      <c r="GV358" s="3"/>
      <c r="GW358" s="3"/>
      <c r="GX358" s="3"/>
      <c r="GY358" s="3"/>
      <c r="GZ358" s="3"/>
      <c r="HA358" s="3"/>
      <c r="HB358" s="3"/>
    </row>
    <row r="359" spans="1:210" ht="15.75" customHeight="1">
      <c r="A359" s="50"/>
      <c r="B359" s="50"/>
      <c r="C359" s="50"/>
      <c r="D359" s="50"/>
      <c r="E359" s="50"/>
      <c r="F359" s="50"/>
      <c r="G359" s="51"/>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c r="AR359" s="50"/>
      <c r="AS359" s="50"/>
      <c r="AT359" s="50"/>
      <c r="AU359" s="50"/>
      <c r="AV359" s="50"/>
      <c r="AW359" s="50"/>
      <c r="AX359" s="50"/>
      <c r="AY359" s="50"/>
      <c r="AZ359" s="50"/>
      <c r="BA359" s="50"/>
      <c r="BB359" s="50"/>
      <c r="BC359" s="50"/>
      <c r="BD359" s="50"/>
      <c r="BE359" s="50"/>
      <c r="BF359" s="50"/>
      <c r="BG359" s="50"/>
      <c r="BH359" s="50"/>
      <c r="BI359" s="50"/>
      <c r="BJ359" s="50"/>
      <c r="BK359" s="50"/>
      <c r="BL359" s="50"/>
      <c r="BM359" s="50"/>
      <c r="BN359" s="50"/>
      <c r="BO359" s="50"/>
      <c r="BP359" s="50"/>
      <c r="BQ359" s="50"/>
      <c r="BR359" s="50"/>
      <c r="BS359" s="50"/>
      <c r="BT359" s="50"/>
      <c r="BU359" s="50"/>
      <c r="BV359" s="50"/>
      <c r="BW359" s="50"/>
      <c r="BX359" s="50"/>
      <c r="BY359" s="50"/>
      <c r="BZ359" s="50"/>
      <c r="CA359" s="50"/>
      <c r="CB359" s="50"/>
      <c r="CC359" s="50"/>
      <c r="CD359" s="52"/>
      <c r="CE359" s="50"/>
      <c r="CF359" s="50"/>
      <c r="CG359" s="50"/>
      <c r="CH359" s="50"/>
      <c r="CI359" s="50"/>
      <c r="CJ359" s="50"/>
      <c r="CK359" s="50"/>
      <c r="CL359" s="50"/>
      <c r="CM359" s="50"/>
      <c r="CN359" s="50"/>
      <c r="CO359" s="50"/>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c r="FS359" s="3"/>
      <c r="FT359" s="3"/>
      <c r="FU359" s="3"/>
      <c r="FV359" s="3"/>
      <c r="FW359" s="3"/>
      <c r="FX359" s="3"/>
      <c r="FY359" s="3"/>
      <c r="FZ359" s="3"/>
      <c r="GA359" s="3"/>
      <c r="GB359" s="3"/>
      <c r="GC359" s="3"/>
      <c r="GD359" s="3"/>
      <c r="GE359" s="3"/>
      <c r="GF359" s="3"/>
      <c r="GG359" s="3"/>
      <c r="GH359" s="3"/>
      <c r="GI359" s="3"/>
      <c r="GJ359" s="3"/>
      <c r="GK359" s="3"/>
      <c r="GL359" s="3"/>
      <c r="GM359" s="3"/>
      <c r="GN359" s="3"/>
      <c r="GO359" s="3"/>
      <c r="GP359" s="3"/>
      <c r="GQ359" s="3"/>
      <c r="GR359" s="3"/>
      <c r="GS359" s="3"/>
      <c r="GT359" s="3"/>
      <c r="GU359" s="3"/>
      <c r="GV359" s="3"/>
      <c r="GW359" s="3"/>
      <c r="GX359" s="3"/>
      <c r="GY359" s="3"/>
      <c r="GZ359" s="3"/>
      <c r="HA359" s="3"/>
      <c r="HB359" s="3"/>
    </row>
    <row r="360" spans="1:210" ht="15.75" customHeight="1">
      <c r="A360" s="50"/>
      <c r="B360" s="50"/>
      <c r="C360" s="50"/>
      <c r="D360" s="50"/>
      <c r="E360" s="50"/>
      <c r="F360" s="50"/>
      <c r="G360" s="51"/>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c r="AR360" s="50"/>
      <c r="AS360" s="50"/>
      <c r="AT360" s="50"/>
      <c r="AU360" s="50"/>
      <c r="AV360" s="50"/>
      <c r="AW360" s="50"/>
      <c r="AX360" s="50"/>
      <c r="AY360" s="50"/>
      <c r="AZ360" s="50"/>
      <c r="BA360" s="50"/>
      <c r="BB360" s="50"/>
      <c r="BC360" s="50"/>
      <c r="BD360" s="50"/>
      <c r="BE360" s="50"/>
      <c r="BF360" s="50"/>
      <c r="BG360" s="50"/>
      <c r="BH360" s="50"/>
      <c r="BI360" s="50"/>
      <c r="BJ360" s="50"/>
      <c r="BK360" s="50"/>
      <c r="BL360" s="50"/>
      <c r="BM360" s="50"/>
      <c r="BN360" s="50"/>
      <c r="BO360" s="50"/>
      <c r="BP360" s="50"/>
      <c r="BQ360" s="50"/>
      <c r="BR360" s="50"/>
      <c r="BS360" s="50"/>
      <c r="BT360" s="50"/>
      <c r="BU360" s="50"/>
      <c r="BV360" s="50"/>
      <c r="BW360" s="50"/>
      <c r="BX360" s="50"/>
      <c r="BY360" s="50"/>
      <c r="BZ360" s="50"/>
      <c r="CA360" s="50"/>
      <c r="CB360" s="50"/>
      <c r="CC360" s="50"/>
      <c r="CD360" s="52"/>
      <c r="CE360" s="50"/>
      <c r="CF360" s="50"/>
      <c r="CG360" s="50"/>
      <c r="CH360" s="50"/>
      <c r="CI360" s="50"/>
      <c r="CJ360" s="50"/>
      <c r="CK360" s="50"/>
      <c r="CL360" s="50"/>
      <c r="CM360" s="50"/>
      <c r="CN360" s="50"/>
      <c r="CO360" s="50"/>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3"/>
      <c r="GA360" s="3"/>
      <c r="GB360" s="3"/>
      <c r="GC360" s="3"/>
      <c r="GD360" s="3"/>
      <c r="GE360" s="3"/>
      <c r="GF360" s="3"/>
      <c r="GG360" s="3"/>
      <c r="GH360" s="3"/>
      <c r="GI360" s="3"/>
      <c r="GJ360" s="3"/>
      <c r="GK360" s="3"/>
      <c r="GL360" s="3"/>
      <c r="GM360" s="3"/>
      <c r="GN360" s="3"/>
      <c r="GO360" s="3"/>
      <c r="GP360" s="3"/>
      <c r="GQ360" s="3"/>
      <c r="GR360" s="3"/>
      <c r="GS360" s="3"/>
      <c r="GT360" s="3"/>
      <c r="GU360" s="3"/>
      <c r="GV360" s="3"/>
      <c r="GW360" s="3"/>
      <c r="GX360" s="3"/>
      <c r="GY360" s="3"/>
      <c r="GZ360" s="3"/>
      <c r="HA360" s="3"/>
      <c r="HB360" s="3"/>
    </row>
    <row r="361" spans="1:210" ht="15.75" customHeight="1">
      <c r="A361" s="50"/>
      <c r="B361" s="50"/>
      <c r="C361" s="50"/>
      <c r="D361" s="50"/>
      <c r="E361" s="50"/>
      <c r="F361" s="50"/>
      <c r="G361" s="51"/>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c r="AR361" s="50"/>
      <c r="AS361" s="50"/>
      <c r="AT361" s="50"/>
      <c r="AU361" s="50"/>
      <c r="AV361" s="50"/>
      <c r="AW361" s="50"/>
      <c r="AX361" s="50"/>
      <c r="AY361" s="50"/>
      <c r="AZ361" s="50"/>
      <c r="BA361" s="50"/>
      <c r="BB361" s="50"/>
      <c r="BC361" s="50"/>
      <c r="BD361" s="50"/>
      <c r="BE361" s="50"/>
      <c r="BF361" s="50"/>
      <c r="BG361" s="50"/>
      <c r="BH361" s="50"/>
      <c r="BI361" s="50"/>
      <c r="BJ361" s="50"/>
      <c r="BK361" s="50"/>
      <c r="BL361" s="50"/>
      <c r="BM361" s="50"/>
      <c r="BN361" s="50"/>
      <c r="BO361" s="50"/>
      <c r="BP361" s="50"/>
      <c r="BQ361" s="50"/>
      <c r="BR361" s="50"/>
      <c r="BS361" s="50"/>
      <c r="BT361" s="50"/>
      <c r="BU361" s="50"/>
      <c r="BV361" s="50"/>
      <c r="BW361" s="50"/>
      <c r="BX361" s="50"/>
      <c r="BY361" s="50"/>
      <c r="BZ361" s="50"/>
      <c r="CA361" s="50"/>
      <c r="CB361" s="50"/>
      <c r="CC361" s="50"/>
      <c r="CD361" s="52"/>
      <c r="CE361" s="50"/>
      <c r="CF361" s="50"/>
      <c r="CG361" s="50"/>
      <c r="CH361" s="50"/>
      <c r="CI361" s="50"/>
      <c r="CJ361" s="50"/>
      <c r="CK361" s="50"/>
      <c r="CL361" s="50"/>
      <c r="CM361" s="50"/>
      <c r="CN361" s="50"/>
      <c r="CO361" s="50"/>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c r="GE361" s="3"/>
      <c r="GF361" s="3"/>
      <c r="GG361" s="3"/>
      <c r="GH361" s="3"/>
      <c r="GI361" s="3"/>
      <c r="GJ361" s="3"/>
      <c r="GK361" s="3"/>
      <c r="GL361" s="3"/>
      <c r="GM361" s="3"/>
      <c r="GN361" s="3"/>
      <c r="GO361" s="3"/>
      <c r="GP361" s="3"/>
      <c r="GQ361" s="3"/>
      <c r="GR361" s="3"/>
      <c r="GS361" s="3"/>
      <c r="GT361" s="3"/>
      <c r="GU361" s="3"/>
      <c r="GV361" s="3"/>
      <c r="GW361" s="3"/>
      <c r="GX361" s="3"/>
      <c r="GY361" s="3"/>
      <c r="GZ361" s="3"/>
      <c r="HA361" s="3"/>
      <c r="HB361" s="3"/>
    </row>
    <row r="362" spans="1:210" ht="15.75" customHeight="1">
      <c r="A362" s="50"/>
      <c r="B362" s="50"/>
      <c r="C362" s="50"/>
      <c r="D362" s="50"/>
      <c r="E362" s="50"/>
      <c r="F362" s="50"/>
      <c r="G362" s="51"/>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c r="AS362" s="50"/>
      <c r="AT362" s="50"/>
      <c r="AU362" s="50"/>
      <c r="AV362" s="50"/>
      <c r="AW362" s="50"/>
      <c r="AX362" s="50"/>
      <c r="AY362" s="50"/>
      <c r="AZ362" s="50"/>
      <c r="BA362" s="50"/>
      <c r="BB362" s="50"/>
      <c r="BC362" s="50"/>
      <c r="BD362" s="50"/>
      <c r="BE362" s="50"/>
      <c r="BF362" s="50"/>
      <c r="BG362" s="50"/>
      <c r="BH362" s="50"/>
      <c r="BI362" s="50"/>
      <c r="BJ362" s="50"/>
      <c r="BK362" s="50"/>
      <c r="BL362" s="50"/>
      <c r="BM362" s="50"/>
      <c r="BN362" s="50"/>
      <c r="BO362" s="50"/>
      <c r="BP362" s="50"/>
      <c r="BQ362" s="50"/>
      <c r="BR362" s="50"/>
      <c r="BS362" s="50"/>
      <c r="BT362" s="50"/>
      <c r="BU362" s="50"/>
      <c r="BV362" s="50"/>
      <c r="BW362" s="50"/>
      <c r="BX362" s="50"/>
      <c r="BY362" s="50"/>
      <c r="BZ362" s="50"/>
      <c r="CA362" s="50"/>
      <c r="CB362" s="50"/>
      <c r="CC362" s="50"/>
      <c r="CD362" s="52"/>
      <c r="CE362" s="50"/>
      <c r="CF362" s="50"/>
      <c r="CG362" s="50"/>
      <c r="CH362" s="50"/>
      <c r="CI362" s="50"/>
      <c r="CJ362" s="50"/>
      <c r="CK362" s="50"/>
      <c r="CL362" s="50"/>
      <c r="CM362" s="50"/>
      <c r="CN362" s="50"/>
      <c r="CO362" s="50"/>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c r="FS362" s="3"/>
      <c r="FT362" s="3"/>
      <c r="FU362" s="3"/>
      <c r="FV362" s="3"/>
      <c r="FW362" s="3"/>
      <c r="FX362" s="3"/>
      <c r="FY362" s="3"/>
      <c r="FZ362" s="3"/>
      <c r="GA362" s="3"/>
      <c r="GB362" s="3"/>
      <c r="GC362" s="3"/>
      <c r="GD362" s="3"/>
      <c r="GE362" s="3"/>
      <c r="GF362" s="3"/>
      <c r="GG362" s="3"/>
      <c r="GH362" s="3"/>
      <c r="GI362" s="3"/>
      <c r="GJ362" s="3"/>
      <c r="GK362" s="3"/>
      <c r="GL362" s="3"/>
      <c r="GM362" s="3"/>
      <c r="GN362" s="3"/>
      <c r="GO362" s="3"/>
      <c r="GP362" s="3"/>
      <c r="GQ362" s="3"/>
      <c r="GR362" s="3"/>
      <c r="GS362" s="3"/>
      <c r="GT362" s="3"/>
      <c r="GU362" s="3"/>
      <c r="GV362" s="3"/>
      <c r="GW362" s="3"/>
      <c r="GX362" s="3"/>
      <c r="GY362" s="3"/>
      <c r="GZ362" s="3"/>
      <c r="HA362" s="3"/>
      <c r="HB362" s="3"/>
    </row>
    <row r="363" spans="1:210" ht="15.75" customHeight="1">
      <c r="A363" s="50"/>
      <c r="B363" s="50"/>
      <c r="C363" s="50"/>
      <c r="D363" s="50"/>
      <c r="E363" s="50"/>
      <c r="F363" s="50"/>
      <c r="G363" s="51"/>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c r="AR363" s="50"/>
      <c r="AS363" s="50"/>
      <c r="AT363" s="50"/>
      <c r="AU363" s="50"/>
      <c r="AV363" s="50"/>
      <c r="AW363" s="50"/>
      <c r="AX363" s="50"/>
      <c r="AY363" s="50"/>
      <c r="AZ363" s="50"/>
      <c r="BA363" s="50"/>
      <c r="BB363" s="50"/>
      <c r="BC363" s="50"/>
      <c r="BD363" s="50"/>
      <c r="BE363" s="50"/>
      <c r="BF363" s="50"/>
      <c r="BG363" s="50"/>
      <c r="BH363" s="50"/>
      <c r="BI363" s="50"/>
      <c r="BJ363" s="50"/>
      <c r="BK363" s="50"/>
      <c r="BL363" s="50"/>
      <c r="BM363" s="50"/>
      <c r="BN363" s="50"/>
      <c r="BO363" s="50"/>
      <c r="BP363" s="50"/>
      <c r="BQ363" s="50"/>
      <c r="BR363" s="50"/>
      <c r="BS363" s="50"/>
      <c r="BT363" s="50"/>
      <c r="BU363" s="50"/>
      <c r="BV363" s="50"/>
      <c r="BW363" s="50"/>
      <c r="BX363" s="50"/>
      <c r="BY363" s="50"/>
      <c r="BZ363" s="50"/>
      <c r="CA363" s="50"/>
      <c r="CB363" s="50"/>
      <c r="CC363" s="50"/>
      <c r="CD363" s="52"/>
      <c r="CE363" s="50"/>
      <c r="CF363" s="50"/>
      <c r="CG363" s="50"/>
      <c r="CH363" s="50"/>
      <c r="CI363" s="50"/>
      <c r="CJ363" s="50"/>
      <c r="CK363" s="50"/>
      <c r="CL363" s="50"/>
      <c r="CM363" s="50"/>
      <c r="CN363" s="50"/>
      <c r="CO363" s="50"/>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c r="GE363" s="3"/>
      <c r="GF363" s="3"/>
      <c r="GG363" s="3"/>
      <c r="GH363" s="3"/>
      <c r="GI363" s="3"/>
      <c r="GJ363" s="3"/>
      <c r="GK363" s="3"/>
      <c r="GL363" s="3"/>
      <c r="GM363" s="3"/>
      <c r="GN363" s="3"/>
      <c r="GO363" s="3"/>
      <c r="GP363" s="3"/>
      <c r="GQ363" s="3"/>
      <c r="GR363" s="3"/>
      <c r="GS363" s="3"/>
      <c r="GT363" s="3"/>
      <c r="GU363" s="3"/>
      <c r="GV363" s="3"/>
      <c r="GW363" s="3"/>
      <c r="GX363" s="3"/>
      <c r="GY363" s="3"/>
      <c r="GZ363" s="3"/>
      <c r="HA363" s="3"/>
      <c r="HB363" s="3"/>
    </row>
    <row r="364" spans="1:210" ht="15.75" customHeight="1">
      <c r="A364" s="50"/>
      <c r="B364" s="50"/>
      <c r="C364" s="50"/>
      <c r="D364" s="50"/>
      <c r="E364" s="50"/>
      <c r="F364" s="50"/>
      <c r="G364" s="51"/>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c r="AS364" s="50"/>
      <c r="AT364" s="50"/>
      <c r="AU364" s="50"/>
      <c r="AV364" s="50"/>
      <c r="AW364" s="50"/>
      <c r="AX364" s="50"/>
      <c r="AY364" s="50"/>
      <c r="AZ364" s="50"/>
      <c r="BA364" s="50"/>
      <c r="BB364" s="50"/>
      <c r="BC364" s="50"/>
      <c r="BD364" s="50"/>
      <c r="BE364" s="50"/>
      <c r="BF364" s="50"/>
      <c r="BG364" s="50"/>
      <c r="BH364" s="50"/>
      <c r="BI364" s="50"/>
      <c r="BJ364" s="50"/>
      <c r="BK364" s="50"/>
      <c r="BL364" s="50"/>
      <c r="BM364" s="50"/>
      <c r="BN364" s="50"/>
      <c r="BO364" s="50"/>
      <c r="BP364" s="50"/>
      <c r="BQ364" s="50"/>
      <c r="BR364" s="50"/>
      <c r="BS364" s="50"/>
      <c r="BT364" s="50"/>
      <c r="BU364" s="50"/>
      <c r="BV364" s="50"/>
      <c r="BW364" s="50"/>
      <c r="BX364" s="50"/>
      <c r="BY364" s="50"/>
      <c r="BZ364" s="50"/>
      <c r="CA364" s="50"/>
      <c r="CB364" s="50"/>
      <c r="CC364" s="50"/>
      <c r="CD364" s="52"/>
      <c r="CE364" s="50"/>
      <c r="CF364" s="50"/>
      <c r="CG364" s="50"/>
      <c r="CH364" s="50"/>
      <c r="CI364" s="50"/>
      <c r="CJ364" s="50"/>
      <c r="CK364" s="50"/>
      <c r="CL364" s="50"/>
      <c r="CM364" s="50"/>
      <c r="CN364" s="50"/>
      <c r="CO364" s="50"/>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row>
    <row r="365" spans="1:210" ht="15.75" customHeight="1">
      <c r="A365" s="50"/>
      <c r="B365" s="50"/>
      <c r="C365" s="50"/>
      <c r="D365" s="50"/>
      <c r="E365" s="50"/>
      <c r="F365" s="50"/>
      <c r="G365" s="51"/>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0"/>
      <c r="BN365" s="50"/>
      <c r="BO365" s="50"/>
      <c r="BP365" s="50"/>
      <c r="BQ365" s="50"/>
      <c r="BR365" s="50"/>
      <c r="BS365" s="50"/>
      <c r="BT365" s="50"/>
      <c r="BU365" s="50"/>
      <c r="BV365" s="50"/>
      <c r="BW365" s="50"/>
      <c r="BX365" s="50"/>
      <c r="BY365" s="50"/>
      <c r="BZ365" s="50"/>
      <c r="CA365" s="50"/>
      <c r="CB365" s="50"/>
      <c r="CC365" s="50"/>
      <c r="CD365" s="52"/>
      <c r="CE365" s="50"/>
      <c r="CF365" s="50"/>
      <c r="CG365" s="50"/>
      <c r="CH365" s="50"/>
      <c r="CI365" s="50"/>
      <c r="CJ365" s="50"/>
      <c r="CK365" s="50"/>
      <c r="CL365" s="50"/>
      <c r="CM365" s="50"/>
      <c r="CN365" s="50"/>
      <c r="CO365" s="50"/>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c r="GE365" s="3"/>
      <c r="GF365" s="3"/>
      <c r="GG365" s="3"/>
      <c r="GH365" s="3"/>
      <c r="GI365" s="3"/>
      <c r="GJ365" s="3"/>
      <c r="GK365" s="3"/>
      <c r="GL365" s="3"/>
      <c r="GM365" s="3"/>
      <c r="GN365" s="3"/>
      <c r="GO365" s="3"/>
      <c r="GP365" s="3"/>
      <c r="GQ365" s="3"/>
      <c r="GR365" s="3"/>
      <c r="GS365" s="3"/>
      <c r="GT365" s="3"/>
      <c r="GU365" s="3"/>
      <c r="GV365" s="3"/>
      <c r="GW365" s="3"/>
      <c r="GX365" s="3"/>
      <c r="GY365" s="3"/>
      <c r="GZ365" s="3"/>
      <c r="HA365" s="3"/>
      <c r="HB365" s="3"/>
    </row>
    <row r="366" spans="1:210" ht="15.75" customHeight="1">
      <c r="A366" s="50"/>
      <c r="B366" s="50"/>
      <c r="C366" s="50"/>
      <c r="D366" s="50"/>
      <c r="E366" s="50"/>
      <c r="F366" s="50"/>
      <c r="G366" s="51"/>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c r="BS366" s="50"/>
      <c r="BT366" s="50"/>
      <c r="BU366" s="50"/>
      <c r="BV366" s="50"/>
      <c r="BW366" s="50"/>
      <c r="BX366" s="50"/>
      <c r="BY366" s="50"/>
      <c r="BZ366" s="50"/>
      <c r="CA366" s="50"/>
      <c r="CB366" s="50"/>
      <c r="CC366" s="50"/>
      <c r="CD366" s="52"/>
      <c r="CE366" s="50"/>
      <c r="CF366" s="50"/>
      <c r="CG366" s="50"/>
      <c r="CH366" s="50"/>
      <c r="CI366" s="50"/>
      <c r="CJ366" s="50"/>
      <c r="CK366" s="50"/>
      <c r="CL366" s="50"/>
      <c r="CM366" s="50"/>
      <c r="CN366" s="50"/>
      <c r="CO366" s="50"/>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c r="GE366" s="3"/>
      <c r="GF366" s="3"/>
      <c r="GG366" s="3"/>
      <c r="GH366" s="3"/>
      <c r="GI366" s="3"/>
      <c r="GJ366" s="3"/>
      <c r="GK366" s="3"/>
      <c r="GL366" s="3"/>
      <c r="GM366" s="3"/>
      <c r="GN366" s="3"/>
      <c r="GO366" s="3"/>
      <c r="GP366" s="3"/>
      <c r="GQ366" s="3"/>
      <c r="GR366" s="3"/>
      <c r="GS366" s="3"/>
      <c r="GT366" s="3"/>
      <c r="GU366" s="3"/>
      <c r="GV366" s="3"/>
      <c r="GW366" s="3"/>
      <c r="GX366" s="3"/>
      <c r="GY366" s="3"/>
      <c r="GZ366" s="3"/>
      <c r="HA366" s="3"/>
      <c r="HB366" s="3"/>
    </row>
    <row r="367" spans="1:210" ht="15.75" customHeight="1">
      <c r="A367" s="50"/>
      <c r="B367" s="50"/>
      <c r="C367" s="50"/>
      <c r="D367" s="50"/>
      <c r="E367" s="50"/>
      <c r="F367" s="50"/>
      <c r="G367" s="51"/>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c r="AS367" s="50"/>
      <c r="AT367" s="50"/>
      <c r="AU367" s="50"/>
      <c r="AV367" s="50"/>
      <c r="AW367" s="50"/>
      <c r="AX367" s="50"/>
      <c r="AY367" s="50"/>
      <c r="AZ367" s="50"/>
      <c r="BA367" s="50"/>
      <c r="BB367" s="50"/>
      <c r="BC367" s="50"/>
      <c r="BD367" s="50"/>
      <c r="BE367" s="50"/>
      <c r="BF367" s="50"/>
      <c r="BG367" s="50"/>
      <c r="BH367" s="50"/>
      <c r="BI367" s="50"/>
      <c r="BJ367" s="50"/>
      <c r="BK367" s="50"/>
      <c r="BL367" s="50"/>
      <c r="BM367" s="50"/>
      <c r="BN367" s="50"/>
      <c r="BO367" s="50"/>
      <c r="BP367" s="50"/>
      <c r="BQ367" s="50"/>
      <c r="BR367" s="50"/>
      <c r="BS367" s="50"/>
      <c r="BT367" s="50"/>
      <c r="BU367" s="50"/>
      <c r="BV367" s="50"/>
      <c r="BW367" s="50"/>
      <c r="BX367" s="50"/>
      <c r="BY367" s="50"/>
      <c r="BZ367" s="50"/>
      <c r="CA367" s="50"/>
      <c r="CB367" s="50"/>
      <c r="CC367" s="50"/>
      <c r="CD367" s="52"/>
      <c r="CE367" s="50"/>
      <c r="CF367" s="50"/>
      <c r="CG367" s="50"/>
      <c r="CH367" s="50"/>
      <c r="CI367" s="50"/>
      <c r="CJ367" s="50"/>
      <c r="CK367" s="50"/>
      <c r="CL367" s="50"/>
      <c r="CM367" s="50"/>
      <c r="CN367" s="50"/>
      <c r="CO367" s="50"/>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c r="GE367" s="3"/>
      <c r="GF367" s="3"/>
      <c r="GG367" s="3"/>
      <c r="GH367" s="3"/>
      <c r="GI367" s="3"/>
      <c r="GJ367" s="3"/>
      <c r="GK367" s="3"/>
      <c r="GL367" s="3"/>
      <c r="GM367" s="3"/>
      <c r="GN367" s="3"/>
      <c r="GO367" s="3"/>
      <c r="GP367" s="3"/>
      <c r="GQ367" s="3"/>
      <c r="GR367" s="3"/>
      <c r="GS367" s="3"/>
      <c r="GT367" s="3"/>
      <c r="GU367" s="3"/>
      <c r="GV367" s="3"/>
      <c r="GW367" s="3"/>
      <c r="GX367" s="3"/>
      <c r="GY367" s="3"/>
      <c r="GZ367" s="3"/>
      <c r="HA367" s="3"/>
      <c r="HB367" s="3"/>
    </row>
    <row r="368" spans="1:210" ht="15.75" customHeight="1">
      <c r="A368" s="50"/>
      <c r="B368" s="50"/>
      <c r="C368" s="50"/>
      <c r="D368" s="50"/>
      <c r="E368" s="50"/>
      <c r="F368" s="50"/>
      <c r="G368" s="51"/>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c r="AR368" s="50"/>
      <c r="AS368" s="50"/>
      <c r="AT368" s="50"/>
      <c r="AU368" s="50"/>
      <c r="AV368" s="50"/>
      <c r="AW368" s="50"/>
      <c r="AX368" s="50"/>
      <c r="AY368" s="50"/>
      <c r="AZ368" s="50"/>
      <c r="BA368" s="50"/>
      <c r="BB368" s="50"/>
      <c r="BC368" s="50"/>
      <c r="BD368" s="50"/>
      <c r="BE368" s="50"/>
      <c r="BF368" s="50"/>
      <c r="BG368" s="50"/>
      <c r="BH368" s="50"/>
      <c r="BI368" s="50"/>
      <c r="BJ368" s="50"/>
      <c r="BK368" s="50"/>
      <c r="BL368" s="50"/>
      <c r="BM368" s="50"/>
      <c r="BN368" s="50"/>
      <c r="BO368" s="50"/>
      <c r="BP368" s="50"/>
      <c r="BQ368" s="50"/>
      <c r="BR368" s="50"/>
      <c r="BS368" s="50"/>
      <c r="BT368" s="50"/>
      <c r="BU368" s="50"/>
      <c r="BV368" s="50"/>
      <c r="BW368" s="50"/>
      <c r="BX368" s="50"/>
      <c r="BY368" s="50"/>
      <c r="BZ368" s="50"/>
      <c r="CA368" s="50"/>
      <c r="CB368" s="50"/>
      <c r="CC368" s="50"/>
      <c r="CD368" s="52"/>
      <c r="CE368" s="50"/>
      <c r="CF368" s="50"/>
      <c r="CG368" s="50"/>
      <c r="CH368" s="50"/>
      <c r="CI368" s="50"/>
      <c r="CJ368" s="50"/>
      <c r="CK368" s="50"/>
      <c r="CL368" s="50"/>
      <c r="CM368" s="50"/>
      <c r="CN368" s="50"/>
      <c r="CO368" s="50"/>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c r="GE368" s="3"/>
      <c r="GF368" s="3"/>
      <c r="GG368" s="3"/>
      <c r="GH368" s="3"/>
      <c r="GI368" s="3"/>
      <c r="GJ368" s="3"/>
      <c r="GK368" s="3"/>
      <c r="GL368" s="3"/>
      <c r="GM368" s="3"/>
      <c r="GN368" s="3"/>
      <c r="GO368" s="3"/>
      <c r="GP368" s="3"/>
      <c r="GQ368" s="3"/>
      <c r="GR368" s="3"/>
      <c r="GS368" s="3"/>
      <c r="GT368" s="3"/>
      <c r="GU368" s="3"/>
      <c r="GV368" s="3"/>
      <c r="GW368" s="3"/>
      <c r="GX368" s="3"/>
      <c r="GY368" s="3"/>
      <c r="GZ368" s="3"/>
      <c r="HA368" s="3"/>
      <c r="HB368" s="3"/>
    </row>
    <row r="369" spans="1:210" ht="15.75" customHeight="1">
      <c r="A369" s="50"/>
      <c r="B369" s="50"/>
      <c r="C369" s="50"/>
      <c r="D369" s="50"/>
      <c r="E369" s="50"/>
      <c r="F369" s="50"/>
      <c r="G369" s="51"/>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c r="AS369" s="50"/>
      <c r="AT369" s="50"/>
      <c r="AU369" s="50"/>
      <c r="AV369" s="50"/>
      <c r="AW369" s="50"/>
      <c r="AX369" s="50"/>
      <c r="AY369" s="50"/>
      <c r="AZ369" s="50"/>
      <c r="BA369" s="50"/>
      <c r="BB369" s="50"/>
      <c r="BC369" s="50"/>
      <c r="BD369" s="50"/>
      <c r="BE369" s="50"/>
      <c r="BF369" s="50"/>
      <c r="BG369" s="50"/>
      <c r="BH369" s="50"/>
      <c r="BI369" s="50"/>
      <c r="BJ369" s="50"/>
      <c r="BK369" s="50"/>
      <c r="BL369" s="50"/>
      <c r="BM369" s="50"/>
      <c r="BN369" s="50"/>
      <c r="BO369" s="50"/>
      <c r="BP369" s="50"/>
      <c r="BQ369" s="50"/>
      <c r="BR369" s="50"/>
      <c r="BS369" s="50"/>
      <c r="BT369" s="50"/>
      <c r="BU369" s="50"/>
      <c r="BV369" s="50"/>
      <c r="BW369" s="50"/>
      <c r="BX369" s="50"/>
      <c r="BY369" s="50"/>
      <c r="BZ369" s="50"/>
      <c r="CA369" s="50"/>
      <c r="CB369" s="50"/>
      <c r="CC369" s="50"/>
      <c r="CD369" s="52"/>
      <c r="CE369" s="50"/>
      <c r="CF369" s="50"/>
      <c r="CG369" s="50"/>
      <c r="CH369" s="50"/>
      <c r="CI369" s="50"/>
      <c r="CJ369" s="50"/>
      <c r="CK369" s="50"/>
      <c r="CL369" s="50"/>
      <c r="CM369" s="50"/>
      <c r="CN369" s="50"/>
      <c r="CO369" s="50"/>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c r="GE369" s="3"/>
      <c r="GF369" s="3"/>
      <c r="GG369" s="3"/>
      <c r="GH369" s="3"/>
      <c r="GI369" s="3"/>
      <c r="GJ369" s="3"/>
      <c r="GK369" s="3"/>
      <c r="GL369" s="3"/>
      <c r="GM369" s="3"/>
      <c r="GN369" s="3"/>
      <c r="GO369" s="3"/>
      <c r="GP369" s="3"/>
      <c r="GQ369" s="3"/>
      <c r="GR369" s="3"/>
      <c r="GS369" s="3"/>
      <c r="GT369" s="3"/>
      <c r="GU369" s="3"/>
      <c r="GV369" s="3"/>
      <c r="GW369" s="3"/>
      <c r="GX369" s="3"/>
      <c r="GY369" s="3"/>
      <c r="GZ369" s="3"/>
      <c r="HA369" s="3"/>
      <c r="HB369" s="3"/>
    </row>
    <row r="370" spans="1:210" ht="15.75" customHeight="1">
      <c r="A370" s="50"/>
      <c r="B370" s="50"/>
      <c r="C370" s="50"/>
      <c r="D370" s="50"/>
      <c r="E370" s="50"/>
      <c r="F370" s="50"/>
      <c r="G370" s="51"/>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c r="AR370" s="50"/>
      <c r="AS370" s="50"/>
      <c r="AT370" s="50"/>
      <c r="AU370" s="50"/>
      <c r="AV370" s="50"/>
      <c r="AW370" s="50"/>
      <c r="AX370" s="50"/>
      <c r="AY370" s="50"/>
      <c r="AZ370" s="50"/>
      <c r="BA370" s="50"/>
      <c r="BB370" s="50"/>
      <c r="BC370" s="50"/>
      <c r="BD370" s="50"/>
      <c r="BE370" s="50"/>
      <c r="BF370" s="50"/>
      <c r="BG370" s="50"/>
      <c r="BH370" s="50"/>
      <c r="BI370" s="50"/>
      <c r="BJ370" s="50"/>
      <c r="BK370" s="50"/>
      <c r="BL370" s="50"/>
      <c r="BM370" s="50"/>
      <c r="BN370" s="50"/>
      <c r="BO370" s="50"/>
      <c r="BP370" s="50"/>
      <c r="BQ370" s="50"/>
      <c r="BR370" s="50"/>
      <c r="BS370" s="50"/>
      <c r="BT370" s="50"/>
      <c r="BU370" s="50"/>
      <c r="BV370" s="50"/>
      <c r="BW370" s="50"/>
      <c r="BX370" s="50"/>
      <c r="BY370" s="50"/>
      <c r="BZ370" s="50"/>
      <c r="CA370" s="50"/>
      <c r="CB370" s="50"/>
      <c r="CC370" s="50"/>
      <c r="CD370" s="52"/>
      <c r="CE370" s="50"/>
      <c r="CF370" s="50"/>
      <c r="CG370" s="50"/>
      <c r="CH370" s="50"/>
      <c r="CI370" s="50"/>
      <c r="CJ370" s="50"/>
      <c r="CK370" s="50"/>
      <c r="CL370" s="50"/>
      <c r="CM370" s="50"/>
      <c r="CN370" s="50"/>
      <c r="CO370" s="50"/>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c r="GE370" s="3"/>
      <c r="GF370" s="3"/>
      <c r="GG370" s="3"/>
      <c r="GH370" s="3"/>
      <c r="GI370" s="3"/>
      <c r="GJ370" s="3"/>
      <c r="GK370" s="3"/>
      <c r="GL370" s="3"/>
      <c r="GM370" s="3"/>
      <c r="GN370" s="3"/>
      <c r="GO370" s="3"/>
      <c r="GP370" s="3"/>
      <c r="GQ370" s="3"/>
      <c r="GR370" s="3"/>
      <c r="GS370" s="3"/>
      <c r="GT370" s="3"/>
      <c r="GU370" s="3"/>
      <c r="GV370" s="3"/>
      <c r="GW370" s="3"/>
      <c r="GX370" s="3"/>
      <c r="GY370" s="3"/>
      <c r="GZ370" s="3"/>
      <c r="HA370" s="3"/>
      <c r="HB370" s="3"/>
    </row>
    <row r="371" spans="1:210" ht="15.75" customHeight="1">
      <c r="A371" s="50"/>
      <c r="B371" s="50"/>
      <c r="C371" s="50"/>
      <c r="D371" s="50"/>
      <c r="E371" s="50"/>
      <c r="F371" s="50"/>
      <c r="G371" s="51"/>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c r="AR371" s="50"/>
      <c r="AS371" s="50"/>
      <c r="AT371" s="50"/>
      <c r="AU371" s="50"/>
      <c r="AV371" s="50"/>
      <c r="AW371" s="50"/>
      <c r="AX371" s="50"/>
      <c r="AY371" s="50"/>
      <c r="AZ371" s="50"/>
      <c r="BA371" s="50"/>
      <c r="BB371" s="50"/>
      <c r="BC371" s="50"/>
      <c r="BD371" s="50"/>
      <c r="BE371" s="50"/>
      <c r="BF371" s="50"/>
      <c r="BG371" s="50"/>
      <c r="BH371" s="50"/>
      <c r="BI371" s="50"/>
      <c r="BJ371" s="50"/>
      <c r="BK371" s="50"/>
      <c r="BL371" s="50"/>
      <c r="BM371" s="50"/>
      <c r="BN371" s="50"/>
      <c r="BO371" s="50"/>
      <c r="BP371" s="50"/>
      <c r="BQ371" s="50"/>
      <c r="BR371" s="50"/>
      <c r="BS371" s="50"/>
      <c r="BT371" s="50"/>
      <c r="BU371" s="50"/>
      <c r="BV371" s="50"/>
      <c r="BW371" s="50"/>
      <c r="BX371" s="50"/>
      <c r="BY371" s="50"/>
      <c r="BZ371" s="50"/>
      <c r="CA371" s="50"/>
      <c r="CB371" s="50"/>
      <c r="CC371" s="50"/>
      <c r="CD371" s="52"/>
      <c r="CE371" s="50"/>
      <c r="CF371" s="50"/>
      <c r="CG371" s="50"/>
      <c r="CH371" s="50"/>
      <c r="CI371" s="50"/>
      <c r="CJ371" s="50"/>
      <c r="CK371" s="50"/>
      <c r="CL371" s="50"/>
      <c r="CM371" s="50"/>
      <c r="CN371" s="50"/>
      <c r="CO371" s="50"/>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c r="FS371" s="3"/>
      <c r="FT371" s="3"/>
      <c r="FU371" s="3"/>
      <c r="FV371" s="3"/>
      <c r="FW371" s="3"/>
      <c r="FX371" s="3"/>
      <c r="FY371" s="3"/>
      <c r="FZ371" s="3"/>
      <c r="GA371" s="3"/>
      <c r="GB371" s="3"/>
      <c r="GC371" s="3"/>
      <c r="GD371" s="3"/>
      <c r="GE371" s="3"/>
      <c r="GF371" s="3"/>
      <c r="GG371" s="3"/>
      <c r="GH371" s="3"/>
      <c r="GI371" s="3"/>
      <c r="GJ371" s="3"/>
      <c r="GK371" s="3"/>
      <c r="GL371" s="3"/>
      <c r="GM371" s="3"/>
      <c r="GN371" s="3"/>
      <c r="GO371" s="3"/>
      <c r="GP371" s="3"/>
      <c r="GQ371" s="3"/>
      <c r="GR371" s="3"/>
      <c r="GS371" s="3"/>
      <c r="GT371" s="3"/>
      <c r="GU371" s="3"/>
      <c r="GV371" s="3"/>
      <c r="GW371" s="3"/>
      <c r="GX371" s="3"/>
      <c r="GY371" s="3"/>
      <c r="GZ371" s="3"/>
      <c r="HA371" s="3"/>
      <c r="HB371" s="3"/>
    </row>
    <row r="372" spans="1:210" ht="15.75" customHeight="1">
      <c r="A372" s="50"/>
      <c r="B372" s="50"/>
      <c r="C372" s="50"/>
      <c r="D372" s="50"/>
      <c r="E372" s="50"/>
      <c r="F372" s="50"/>
      <c r="G372" s="51"/>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c r="AR372" s="50"/>
      <c r="AS372" s="50"/>
      <c r="AT372" s="50"/>
      <c r="AU372" s="50"/>
      <c r="AV372" s="50"/>
      <c r="AW372" s="50"/>
      <c r="AX372" s="50"/>
      <c r="AY372" s="50"/>
      <c r="AZ372" s="50"/>
      <c r="BA372" s="50"/>
      <c r="BB372" s="50"/>
      <c r="BC372" s="50"/>
      <c r="BD372" s="50"/>
      <c r="BE372" s="50"/>
      <c r="BF372" s="50"/>
      <c r="BG372" s="50"/>
      <c r="BH372" s="50"/>
      <c r="BI372" s="50"/>
      <c r="BJ372" s="50"/>
      <c r="BK372" s="50"/>
      <c r="BL372" s="50"/>
      <c r="BM372" s="50"/>
      <c r="BN372" s="50"/>
      <c r="BO372" s="50"/>
      <c r="BP372" s="50"/>
      <c r="BQ372" s="50"/>
      <c r="BR372" s="50"/>
      <c r="BS372" s="50"/>
      <c r="BT372" s="50"/>
      <c r="BU372" s="50"/>
      <c r="BV372" s="50"/>
      <c r="BW372" s="50"/>
      <c r="BX372" s="50"/>
      <c r="BY372" s="50"/>
      <c r="BZ372" s="50"/>
      <c r="CA372" s="50"/>
      <c r="CB372" s="50"/>
      <c r="CC372" s="50"/>
      <c r="CD372" s="52"/>
      <c r="CE372" s="50"/>
      <c r="CF372" s="50"/>
      <c r="CG372" s="50"/>
      <c r="CH372" s="50"/>
      <c r="CI372" s="50"/>
      <c r="CJ372" s="50"/>
      <c r="CK372" s="50"/>
      <c r="CL372" s="50"/>
      <c r="CM372" s="50"/>
      <c r="CN372" s="50"/>
      <c r="CO372" s="50"/>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c r="GE372" s="3"/>
      <c r="GF372" s="3"/>
      <c r="GG372" s="3"/>
      <c r="GH372" s="3"/>
      <c r="GI372" s="3"/>
      <c r="GJ372" s="3"/>
      <c r="GK372" s="3"/>
      <c r="GL372" s="3"/>
      <c r="GM372" s="3"/>
      <c r="GN372" s="3"/>
      <c r="GO372" s="3"/>
      <c r="GP372" s="3"/>
      <c r="GQ372" s="3"/>
      <c r="GR372" s="3"/>
      <c r="GS372" s="3"/>
      <c r="GT372" s="3"/>
      <c r="GU372" s="3"/>
      <c r="GV372" s="3"/>
      <c r="GW372" s="3"/>
      <c r="GX372" s="3"/>
      <c r="GY372" s="3"/>
      <c r="GZ372" s="3"/>
      <c r="HA372" s="3"/>
      <c r="HB372" s="3"/>
    </row>
    <row r="373" spans="1:210" ht="15.75" customHeight="1">
      <c r="A373" s="50"/>
      <c r="B373" s="50"/>
      <c r="C373" s="50"/>
      <c r="D373" s="50"/>
      <c r="E373" s="50"/>
      <c r="F373" s="50"/>
      <c r="G373" s="51"/>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c r="AR373" s="50"/>
      <c r="AS373" s="50"/>
      <c r="AT373" s="50"/>
      <c r="AU373" s="50"/>
      <c r="AV373" s="50"/>
      <c r="AW373" s="50"/>
      <c r="AX373" s="50"/>
      <c r="AY373" s="50"/>
      <c r="AZ373" s="50"/>
      <c r="BA373" s="50"/>
      <c r="BB373" s="50"/>
      <c r="BC373" s="50"/>
      <c r="BD373" s="50"/>
      <c r="BE373" s="50"/>
      <c r="BF373" s="50"/>
      <c r="BG373" s="50"/>
      <c r="BH373" s="50"/>
      <c r="BI373" s="50"/>
      <c r="BJ373" s="50"/>
      <c r="BK373" s="50"/>
      <c r="BL373" s="50"/>
      <c r="BM373" s="50"/>
      <c r="BN373" s="50"/>
      <c r="BO373" s="50"/>
      <c r="BP373" s="50"/>
      <c r="BQ373" s="50"/>
      <c r="BR373" s="50"/>
      <c r="BS373" s="50"/>
      <c r="BT373" s="50"/>
      <c r="BU373" s="50"/>
      <c r="BV373" s="50"/>
      <c r="BW373" s="50"/>
      <c r="BX373" s="50"/>
      <c r="BY373" s="50"/>
      <c r="BZ373" s="50"/>
      <c r="CA373" s="50"/>
      <c r="CB373" s="50"/>
      <c r="CC373" s="50"/>
      <c r="CD373" s="52"/>
      <c r="CE373" s="50"/>
      <c r="CF373" s="50"/>
      <c r="CG373" s="50"/>
      <c r="CH373" s="50"/>
      <c r="CI373" s="50"/>
      <c r="CJ373" s="50"/>
      <c r="CK373" s="50"/>
      <c r="CL373" s="50"/>
      <c r="CM373" s="50"/>
      <c r="CN373" s="50"/>
      <c r="CO373" s="50"/>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c r="FS373" s="3"/>
      <c r="FT373" s="3"/>
      <c r="FU373" s="3"/>
      <c r="FV373" s="3"/>
      <c r="FW373" s="3"/>
      <c r="FX373" s="3"/>
      <c r="FY373" s="3"/>
      <c r="FZ373" s="3"/>
      <c r="GA373" s="3"/>
      <c r="GB373" s="3"/>
      <c r="GC373" s="3"/>
      <c r="GD373" s="3"/>
      <c r="GE373" s="3"/>
      <c r="GF373" s="3"/>
      <c r="GG373" s="3"/>
      <c r="GH373" s="3"/>
      <c r="GI373" s="3"/>
      <c r="GJ373" s="3"/>
      <c r="GK373" s="3"/>
      <c r="GL373" s="3"/>
      <c r="GM373" s="3"/>
      <c r="GN373" s="3"/>
      <c r="GO373" s="3"/>
      <c r="GP373" s="3"/>
      <c r="GQ373" s="3"/>
      <c r="GR373" s="3"/>
      <c r="GS373" s="3"/>
      <c r="GT373" s="3"/>
      <c r="GU373" s="3"/>
      <c r="GV373" s="3"/>
      <c r="GW373" s="3"/>
      <c r="GX373" s="3"/>
      <c r="GY373" s="3"/>
      <c r="GZ373" s="3"/>
      <c r="HA373" s="3"/>
      <c r="HB373" s="3"/>
    </row>
    <row r="374" spans="1:210" ht="15.75" customHeight="1">
      <c r="A374" s="50"/>
      <c r="B374" s="50"/>
      <c r="C374" s="50"/>
      <c r="D374" s="50"/>
      <c r="E374" s="50"/>
      <c r="F374" s="50"/>
      <c r="G374" s="51"/>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c r="AR374" s="50"/>
      <c r="AS374" s="50"/>
      <c r="AT374" s="50"/>
      <c r="AU374" s="50"/>
      <c r="AV374" s="50"/>
      <c r="AW374" s="50"/>
      <c r="AX374" s="50"/>
      <c r="AY374" s="50"/>
      <c r="AZ374" s="50"/>
      <c r="BA374" s="50"/>
      <c r="BB374" s="50"/>
      <c r="BC374" s="50"/>
      <c r="BD374" s="50"/>
      <c r="BE374" s="50"/>
      <c r="BF374" s="50"/>
      <c r="BG374" s="50"/>
      <c r="BH374" s="50"/>
      <c r="BI374" s="50"/>
      <c r="BJ374" s="50"/>
      <c r="BK374" s="50"/>
      <c r="BL374" s="50"/>
      <c r="BM374" s="50"/>
      <c r="BN374" s="50"/>
      <c r="BO374" s="50"/>
      <c r="BP374" s="50"/>
      <c r="BQ374" s="50"/>
      <c r="BR374" s="50"/>
      <c r="BS374" s="50"/>
      <c r="BT374" s="50"/>
      <c r="BU374" s="50"/>
      <c r="BV374" s="50"/>
      <c r="BW374" s="50"/>
      <c r="BX374" s="50"/>
      <c r="BY374" s="50"/>
      <c r="BZ374" s="50"/>
      <c r="CA374" s="50"/>
      <c r="CB374" s="50"/>
      <c r="CC374" s="50"/>
      <c r="CD374" s="52"/>
      <c r="CE374" s="50"/>
      <c r="CF374" s="50"/>
      <c r="CG374" s="50"/>
      <c r="CH374" s="50"/>
      <c r="CI374" s="50"/>
      <c r="CJ374" s="50"/>
      <c r="CK374" s="50"/>
      <c r="CL374" s="50"/>
      <c r="CM374" s="50"/>
      <c r="CN374" s="50"/>
      <c r="CO374" s="50"/>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c r="GE374" s="3"/>
      <c r="GF374" s="3"/>
      <c r="GG374" s="3"/>
      <c r="GH374" s="3"/>
      <c r="GI374" s="3"/>
      <c r="GJ374" s="3"/>
      <c r="GK374" s="3"/>
      <c r="GL374" s="3"/>
      <c r="GM374" s="3"/>
      <c r="GN374" s="3"/>
      <c r="GO374" s="3"/>
      <c r="GP374" s="3"/>
      <c r="GQ374" s="3"/>
      <c r="GR374" s="3"/>
      <c r="GS374" s="3"/>
      <c r="GT374" s="3"/>
      <c r="GU374" s="3"/>
      <c r="GV374" s="3"/>
      <c r="GW374" s="3"/>
      <c r="GX374" s="3"/>
      <c r="GY374" s="3"/>
      <c r="GZ374" s="3"/>
      <c r="HA374" s="3"/>
      <c r="HB374" s="3"/>
    </row>
    <row r="375" spans="1:210" ht="15.75" customHeight="1">
      <c r="A375" s="50"/>
      <c r="B375" s="50"/>
      <c r="C375" s="50"/>
      <c r="D375" s="50"/>
      <c r="E375" s="50"/>
      <c r="F375" s="50"/>
      <c r="G375" s="51"/>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c r="AR375" s="50"/>
      <c r="AS375" s="50"/>
      <c r="AT375" s="50"/>
      <c r="AU375" s="50"/>
      <c r="AV375" s="50"/>
      <c r="AW375" s="50"/>
      <c r="AX375" s="50"/>
      <c r="AY375" s="50"/>
      <c r="AZ375" s="50"/>
      <c r="BA375" s="50"/>
      <c r="BB375" s="50"/>
      <c r="BC375" s="50"/>
      <c r="BD375" s="50"/>
      <c r="BE375" s="50"/>
      <c r="BF375" s="50"/>
      <c r="BG375" s="50"/>
      <c r="BH375" s="50"/>
      <c r="BI375" s="50"/>
      <c r="BJ375" s="50"/>
      <c r="BK375" s="50"/>
      <c r="BL375" s="50"/>
      <c r="BM375" s="50"/>
      <c r="BN375" s="50"/>
      <c r="BO375" s="50"/>
      <c r="BP375" s="50"/>
      <c r="BQ375" s="50"/>
      <c r="BR375" s="50"/>
      <c r="BS375" s="50"/>
      <c r="BT375" s="50"/>
      <c r="BU375" s="50"/>
      <c r="BV375" s="50"/>
      <c r="BW375" s="50"/>
      <c r="BX375" s="50"/>
      <c r="BY375" s="50"/>
      <c r="BZ375" s="50"/>
      <c r="CA375" s="50"/>
      <c r="CB375" s="50"/>
      <c r="CC375" s="50"/>
      <c r="CD375" s="52"/>
      <c r="CE375" s="50"/>
      <c r="CF375" s="50"/>
      <c r="CG375" s="50"/>
      <c r="CH375" s="50"/>
      <c r="CI375" s="50"/>
      <c r="CJ375" s="50"/>
      <c r="CK375" s="50"/>
      <c r="CL375" s="50"/>
      <c r="CM375" s="50"/>
      <c r="CN375" s="50"/>
      <c r="CO375" s="50"/>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c r="GE375" s="3"/>
      <c r="GF375" s="3"/>
      <c r="GG375" s="3"/>
      <c r="GH375" s="3"/>
      <c r="GI375" s="3"/>
      <c r="GJ375" s="3"/>
      <c r="GK375" s="3"/>
      <c r="GL375" s="3"/>
      <c r="GM375" s="3"/>
      <c r="GN375" s="3"/>
      <c r="GO375" s="3"/>
      <c r="GP375" s="3"/>
      <c r="GQ375" s="3"/>
      <c r="GR375" s="3"/>
      <c r="GS375" s="3"/>
      <c r="GT375" s="3"/>
      <c r="GU375" s="3"/>
      <c r="GV375" s="3"/>
      <c r="GW375" s="3"/>
      <c r="GX375" s="3"/>
      <c r="GY375" s="3"/>
      <c r="GZ375" s="3"/>
      <c r="HA375" s="3"/>
      <c r="HB375" s="3"/>
    </row>
    <row r="376" spans="1:210" ht="15.75" customHeight="1">
      <c r="A376" s="50"/>
      <c r="B376" s="50"/>
      <c r="C376" s="50"/>
      <c r="D376" s="50"/>
      <c r="E376" s="50"/>
      <c r="F376" s="50"/>
      <c r="G376" s="51"/>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c r="AR376" s="50"/>
      <c r="AS376" s="50"/>
      <c r="AT376" s="50"/>
      <c r="AU376" s="50"/>
      <c r="AV376" s="50"/>
      <c r="AW376" s="50"/>
      <c r="AX376" s="50"/>
      <c r="AY376" s="50"/>
      <c r="AZ376" s="50"/>
      <c r="BA376" s="50"/>
      <c r="BB376" s="50"/>
      <c r="BC376" s="50"/>
      <c r="BD376" s="50"/>
      <c r="BE376" s="50"/>
      <c r="BF376" s="50"/>
      <c r="BG376" s="50"/>
      <c r="BH376" s="50"/>
      <c r="BI376" s="50"/>
      <c r="BJ376" s="50"/>
      <c r="BK376" s="50"/>
      <c r="BL376" s="50"/>
      <c r="BM376" s="50"/>
      <c r="BN376" s="50"/>
      <c r="BO376" s="50"/>
      <c r="BP376" s="50"/>
      <c r="BQ376" s="50"/>
      <c r="BR376" s="50"/>
      <c r="BS376" s="50"/>
      <c r="BT376" s="50"/>
      <c r="BU376" s="50"/>
      <c r="BV376" s="50"/>
      <c r="BW376" s="50"/>
      <c r="BX376" s="50"/>
      <c r="BY376" s="50"/>
      <c r="BZ376" s="50"/>
      <c r="CA376" s="50"/>
      <c r="CB376" s="50"/>
      <c r="CC376" s="50"/>
      <c r="CD376" s="52"/>
      <c r="CE376" s="50"/>
      <c r="CF376" s="50"/>
      <c r="CG376" s="50"/>
      <c r="CH376" s="50"/>
      <c r="CI376" s="50"/>
      <c r="CJ376" s="50"/>
      <c r="CK376" s="50"/>
      <c r="CL376" s="50"/>
      <c r="CM376" s="50"/>
      <c r="CN376" s="50"/>
      <c r="CO376" s="50"/>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c r="GE376" s="3"/>
      <c r="GF376" s="3"/>
      <c r="GG376" s="3"/>
      <c r="GH376" s="3"/>
      <c r="GI376" s="3"/>
      <c r="GJ376" s="3"/>
      <c r="GK376" s="3"/>
      <c r="GL376" s="3"/>
      <c r="GM376" s="3"/>
      <c r="GN376" s="3"/>
      <c r="GO376" s="3"/>
      <c r="GP376" s="3"/>
      <c r="GQ376" s="3"/>
      <c r="GR376" s="3"/>
      <c r="GS376" s="3"/>
      <c r="GT376" s="3"/>
      <c r="GU376" s="3"/>
      <c r="GV376" s="3"/>
      <c r="GW376" s="3"/>
      <c r="GX376" s="3"/>
      <c r="GY376" s="3"/>
      <c r="GZ376" s="3"/>
      <c r="HA376" s="3"/>
      <c r="HB376" s="3"/>
    </row>
    <row r="377" spans="1:210" ht="15.75" customHeight="1">
      <c r="A377" s="50"/>
      <c r="B377" s="50"/>
      <c r="C377" s="50"/>
      <c r="D377" s="50"/>
      <c r="E377" s="50"/>
      <c r="F377" s="50"/>
      <c r="G377" s="51"/>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c r="AR377" s="50"/>
      <c r="AS377" s="50"/>
      <c r="AT377" s="50"/>
      <c r="AU377" s="50"/>
      <c r="AV377" s="50"/>
      <c r="AW377" s="50"/>
      <c r="AX377" s="50"/>
      <c r="AY377" s="50"/>
      <c r="AZ377" s="50"/>
      <c r="BA377" s="50"/>
      <c r="BB377" s="50"/>
      <c r="BC377" s="50"/>
      <c r="BD377" s="50"/>
      <c r="BE377" s="50"/>
      <c r="BF377" s="50"/>
      <c r="BG377" s="50"/>
      <c r="BH377" s="50"/>
      <c r="BI377" s="50"/>
      <c r="BJ377" s="50"/>
      <c r="BK377" s="50"/>
      <c r="BL377" s="50"/>
      <c r="BM377" s="50"/>
      <c r="BN377" s="50"/>
      <c r="BO377" s="50"/>
      <c r="BP377" s="50"/>
      <c r="BQ377" s="50"/>
      <c r="BR377" s="50"/>
      <c r="BS377" s="50"/>
      <c r="BT377" s="50"/>
      <c r="BU377" s="50"/>
      <c r="BV377" s="50"/>
      <c r="BW377" s="50"/>
      <c r="BX377" s="50"/>
      <c r="BY377" s="50"/>
      <c r="BZ377" s="50"/>
      <c r="CA377" s="50"/>
      <c r="CB377" s="50"/>
      <c r="CC377" s="50"/>
      <c r="CD377" s="52"/>
      <c r="CE377" s="50"/>
      <c r="CF377" s="50"/>
      <c r="CG377" s="50"/>
      <c r="CH377" s="50"/>
      <c r="CI377" s="50"/>
      <c r="CJ377" s="50"/>
      <c r="CK377" s="50"/>
      <c r="CL377" s="50"/>
      <c r="CM377" s="50"/>
      <c r="CN377" s="50"/>
      <c r="CO377" s="50"/>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c r="FS377" s="3"/>
      <c r="FT377" s="3"/>
      <c r="FU377" s="3"/>
      <c r="FV377" s="3"/>
      <c r="FW377" s="3"/>
      <c r="FX377" s="3"/>
      <c r="FY377" s="3"/>
      <c r="FZ377" s="3"/>
      <c r="GA377" s="3"/>
      <c r="GB377" s="3"/>
      <c r="GC377" s="3"/>
      <c r="GD377" s="3"/>
      <c r="GE377" s="3"/>
      <c r="GF377" s="3"/>
      <c r="GG377" s="3"/>
      <c r="GH377" s="3"/>
      <c r="GI377" s="3"/>
      <c r="GJ377" s="3"/>
      <c r="GK377" s="3"/>
      <c r="GL377" s="3"/>
      <c r="GM377" s="3"/>
      <c r="GN377" s="3"/>
      <c r="GO377" s="3"/>
      <c r="GP377" s="3"/>
      <c r="GQ377" s="3"/>
      <c r="GR377" s="3"/>
      <c r="GS377" s="3"/>
      <c r="GT377" s="3"/>
      <c r="GU377" s="3"/>
      <c r="GV377" s="3"/>
      <c r="GW377" s="3"/>
      <c r="GX377" s="3"/>
      <c r="GY377" s="3"/>
      <c r="GZ377" s="3"/>
      <c r="HA377" s="3"/>
      <c r="HB377" s="3"/>
    </row>
    <row r="378" spans="1:210" ht="15.75" customHeight="1">
      <c r="A378" s="50"/>
      <c r="B378" s="50"/>
      <c r="C378" s="50"/>
      <c r="D378" s="50"/>
      <c r="E378" s="50"/>
      <c r="F378" s="50"/>
      <c r="G378" s="51"/>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c r="AR378" s="50"/>
      <c r="AS378" s="50"/>
      <c r="AT378" s="50"/>
      <c r="AU378" s="50"/>
      <c r="AV378" s="50"/>
      <c r="AW378" s="50"/>
      <c r="AX378" s="50"/>
      <c r="AY378" s="50"/>
      <c r="AZ378" s="50"/>
      <c r="BA378" s="50"/>
      <c r="BB378" s="50"/>
      <c r="BC378" s="50"/>
      <c r="BD378" s="50"/>
      <c r="BE378" s="50"/>
      <c r="BF378" s="50"/>
      <c r="BG378" s="50"/>
      <c r="BH378" s="50"/>
      <c r="BI378" s="50"/>
      <c r="BJ378" s="50"/>
      <c r="BK378" s="50"/>
      <c r="BL378" s="50"/>
      <c r="BM378" s="50"/>
      <c r="BN378" s="50"/>
      <c r="BO378" s="50"/>
      <c r="BP378" s="50"/>
      <c r="BQ378" s="50"/>
      <c r="BR378" s="50"/>
      <c r="BS378" s="50"/>
      <c r="BT378" s="50"/>
      <c r="BU378" s="50"/>
      <c r="BV378" s="50"/>
      <c r="BW378" s="50"/>
      <c r="BX378" s="50"/>
      <c r="BY378" s="50"/>
      <c r="BZ378" s="50"/>
      <c r="CA378" s="50"/>
      <c r="CB378" s="50"/>
      <c r="CC378" s="50"/>
      <c r="CD378" s="52"/>
      <c r="CE378" s="50"/>
      <c r="CF378" s="50"/>
      <c r="CG378" s="50"/>
      <c r="CH378" s="50"/>
      <c r="CI378" s="50"/>
      <c r="CJ378" s="50"/>
      <c r="CK378" s="50"/>
      <c r="CL378" s="50"/>
      <c r="CM378" s="50"/>
      <c r="CN378" s="50"/>
      <c r="CO378" s="50"/>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c r="GE378" s="3"/>
      <c r="GF378" s="3"/>
      <c r="GG378" s="3"/>
      <c r="GH378" s="3"/>
      <c r="GI378" s="3"/>
      <c r="GJ378" s="3"/>
      <c r="GK378" s="3"/>
      <c r="GL378" s="3"/>
      <c r="GM378" s="3"/>
      <c r="GN378" s="3"/>
      <c r="GO378" s="3"/>
      <c r="GP378" s="3"/>
      <c r="GQ378" s="3"/>
      <c r="GR378" s="3"/>
      <c r="GS378" s="3"/>
      <c r="GT378" s="3"/>
      <c r="GU378" s="3"/>
      <c r="GV378" s="3"/>
      <c r="GW378" s="3"/>
      <c r="GX378" s="3"/>
      <c r="GY378" s="3"/>
      <c r="GZ378" s="3"/>
      <c r="HA378" s="3"/>
      <c r="HB378" s="3"/>
    </row>
    <row r="379" spans="1:210" ht="15.75" customHeight="1">
      <c r="A379" s="50"/>
      <c r="B379" s="50"/>
      <c r="C379" s="50"/>
      <c r="D379" s="50"/>
      <c r="E379" s="50"/>
      <c r="F379" s="50"/>
      <c r="G379" s="51"/>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c r="AR379" s="50"/>
      <c r="AS379" s="50"/>
      <c r="AT379" s="50"/>
      <c r="AU379" s="50"/>
      <c r="AV379" s="50"/>
      <c r="AW379" s="50"/>
      <c r="AX379" s="50"/>
      <c r="AY379" s="50"/>
      <c r="AZ379" s="50"/>
      <c r="BA379" s="50"/>
      <c r="BB379" s="50"/>
      <c r="BC379" s="50"/>
      <c r="BD379" s="50"/>
      <c r="BE379" s="50"/>
      <c r="BF379" s="50"/>
      <c r="BG379" s="50"/>
      <c r="BH379" s="50"/>
      <c r="BI379" s="50"/>
      <c r="BJ379" s="50"/>
      <c r="BK379" s="50"/>
      <c r="BL379" s="50"/>
      <c r="BM379" s="50"/>
      <c r="BN379" s="50"/>
      <c r="BO379" s="50"/>
      <c r="BP379" s="50"/>
      <c r="BQ379" s="50"/>
      <c r="BR379" s="50"/>
      <c r="BS379" s="50"/>
      <c r="BT379" s="50"/>
      <c r="BU379" s="50"/>
      <c r="BV379" s="50"/>
      <c r="BW379" s="50"/>
      <c r="BX379" s="50"/>
      <c r="BY379" s="50"/>
      <c r="BZ379" s="50"/>
      <c r="CA379" s="50"/>
      <c r="CB379" s="50"/>
      <c r="CC379" s="50"/>
      <c r="CD379" s="52"/>
      <c r="CE379" s="50"/>
      <c r="CF379" s="50"/>
      <c r="CG379" s="50"/>
      <c r="CH379" s="50"/>
      <c r="CI379" s="50"/>
      <c r="CJ379" s="50"/>
      <c r="CK379" s="50"/>
      <c r="CL379" s="50"/>
      <c r="CM379" s="50"/>
      <c r="CN379" s="50"/>
      <c r="CO379" s="50"/>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c r="FS379" s="3"/>
      <c r="FT379" s="3"/>
      <c r="FU379" s="3"/>
      <c r="FV379" s="3"/>
      <c r="FW379" s="3"/>
      <c r="FX379" s="3"/>
      <c r="FY379" s="3"/>
      <c r="FZ379" s="3"/>
      <c r="GA379" s="3"/>
      <c r="GB379" s="3"/>
      <c r="GC379" s="3"/>
      <c r="GD379" s="3"/>
      <c r="GE379" s="3"/>
      <c r="GF379" s="3"/>
      <c r="GG379" s="3"/>
      <c r="GH379" s="3"/>
      <c r="GI379" s="3"/>
      <c r="GJ379" s="3"/>
      <c r="GK379" s="3"/>
      <c r="GL379" s="3"/>
      <c r="GM379" s="3"/>
      <c r="GN379" s="3"/>
      <c r="GO379" s="3"/>
      <c r="GP379" s="3"/>
      <c r="GQ379" s="3"/>
      <c r="GR379" s="3"/>
      <c r="GS379" s="3"/>
      <c r="GT379" s="3"/>
      <c r="GU379" s="3"/>
      <c r="GV379" s="3"/>
      <c r="GW379" s="3"/>
      <c r="GX379" s="3"/>
      <c r="GY379" s="3"/>
      <c r="GZ379" s="3"/>
      <c r="HA379" s="3"/>
      <c r="HB379" s="3"/>
    </row>
    <row r="380" spans="1:210" ht="15.75" customHeight="1">
      <c r="A380" s="50"/>
      <c r="B380" s="50"/>
      <c r="C380" s="50"/>
      <c r="D380" s="50"/>
      <c r="E380" s="50"/>
      <c r="F380" s="50"/>
      <c r="G380" s="51"/>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c r="AR380" s="50"/>
      <c r="AS380" s="50"/>
      <c r="AT380" s="50"/>
      <c r="AU380" s="50"/>
      <c r="AV380" s="50"/>
      <c r="AW380" s="50"/>
      <c r="AX380" s="50"/>
      <c r="AY380" s="50"/>
      <c r="AZ380" s="50"/>
      <c r="BA380" s="50"/>
      <c r="BB380" s="50"/>
      <c r="BC380" s="50"/>
      <c r="BD380" s="50"/>
      <c r="BE380" s="50"/>
      <c r="BF380" s="50"/>
      <c r="BG380" s="50"/>
      <c r="BH380" s="50"/>
      <c r="BI380" s="50"/>
      <c r="BJ380" s="50"/>
      <c r="BK380" s="50"/>
      <c r="BL380" s="50"/>
      <c r="BM380" s="50"/>
      <c r="BN380" s="50"/>
      <c r="BO380" s="50"/>
      <c r="BP380" s="50"/>
      <c r="BQ380" s="50"/>
      <c r="BR380" s="50"/>
      <c r="BS380" s="50"/>
      <c r="BT380" s="50"/>
      <c r="BU380" s="50"/>
      <c r="BV380" s="50"/>
      <c r="BW380" s="50"/>
      <c r="BX380" s="50"/>
      <c r="BY380" s="50"/>
      <c r="BZ380" s="50"/>
      <c r="CA380" s="50"/>
      <c r="CB380" s="50"/>
      <c r="CC380" s="50"/>
      <c r="CD380" s="52"/>
      <c r="CE380" s="50"/>
      <c r="CF380" s="50"/>
      <c r="CG380" s="50"/>
      <c r="CH380" s="50"/>
      <c r="CI380" s="50"/>
      <c r="CJ380" s="50"/>
      <c r="CK380" s="50"/>
      <c r="CL380" s="50"/>
      <c r="CM380" s="50"/>
      <c r="CN380" s="50"/>
      <c r="CO380" s="50"/>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c r="FS380" s="3"/>
      <c r="FT380" s="3"/>
      <c r="FU380" s="3"/>
      <c r="FV380" s="3"/>
      <c r="FW380" s="3"/>
      <c r="FX380" s="3"/>
      <c r="FY380" s="3"/>
      <c r="FZ380" s="3"/>
      <c r="GA380" s="3"/>
      <c r="GB380" s="3"/>
      <c r="GC380" s="3"/>
      <c r="GD380" s="3"/>
      <c r="GE380" s="3"/>
      <c r="GF380" s="3"/>
      <c r="GG380" s="3"/>
      <c r="GH380" s="3"/>
      <c r="GI380" s="3"/>
      <c r="GJ380" s="3"/>
      <c r="GK380" s="3"/>
      <c r="GL380" s="3"/>
      <c r="GM380" s="3"/>
      <c r="GN380" s="3"/>
      <c r="GO380" s="3"/>
      <c r="GP380" s="3"/>
      <c r="GQ380" s="3"/>
      <c r="GR380" s="3"/>
      <c r="GS380" s="3"/>
      <c r="GT380" s="3"/>
      <c r="GU380" s="3"/>
      <c r="GV380" s="3"/>
      <c r="GW380" s="3"/>
      <c r="GX380" s="3"/>
      <c r="GY380" s="3"/>
      <c r="GZ380" s="3"/>
      <c r="HA380" s="3"/>
      <c r="HB380" s="3"/>
    </row>
    <row r="381" spans="1:210" ht="15.75" customHeight="1">
      <c r="A381" s="50"/>
      <c r="B381" s="50"/>
      <c r="C381" s="50"/>
      <c r="D381" s="50"/>
      <c r="E381" s="50"/>
      <c r="F381" s="50"/>
      <c r="G381" s="51"/>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c r="AS381" s="50"/>
      <c r="AT381" s="50"/>
      <c r="AU381" s="50"/>
      <c r="AV381" s="50"/>
      <c r="AW381" s="50"/>
      <c r="AX381" s="50"/>
      <c r="AY381" s="50"/>
      <c r="AZ381" s="50"/>
      <c r="BA381" s="50"/>
      <c r="BB381" s="50"/>
      <c r="BC381" s="50"/>
      <c r="BD381" s="50"/>
      <c r="BE381" s="50"/>
      <c r="BF381" s="50"/>
      <c r="BG381" s="50"/>
      <c r="BH381" s="50"/>
      <c r="BI381" s="50"/>
      <c r="BJ381" s="50"/>
      <c r="BK381" s="50"/>
      <c r="BL381" s="50"/>
      <c r="BM381" s="50"/>
      <c r="BN381" s="50"/>
      <c r="BO381" s="50"/>
      <c r="BP381" s="50"/>
      <c r="BQ381" s="50"/>
      <c r="BR381" s="50"/>
      <c r="BS381" s="50"/>
      <c r="BT381" s="50"/>
      <c r="BU381" s="50"/>
      <c r="BV381" s="50"/>
      <c r="BW381" s="50"/>
      <c r="BX381" s="50"/>
      <c r="BY381" s="50"/>
      <c r="BZ381" s="50"/>
      <c r="CA381" s="50"/>
      <c r="CB381" s="50"/>
      <c r="CC381" s="50"/>
      <c r="CD381" s="52"/>
      <c r="CE381" s="50"/>
      <c r="CF381" s="50"/>
      <c r="CG381" s="50"/>
      <c r="CH381" s="50"/>
      <c r="CI381" s="50"/>
      <c r="CJ381" s="50"/>
      <c r="CK381" s="50"/>
      <c r="CL381" s="50"/>
      <c r="CM381" s="50"/>
      <c r="CN381" s="50"/>
      <c r="CO381" s="50"/>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c r="GE381" s="3"/>
      <c r="GF381" s="3"/>
      <c r="GG381" s="3"/>
      <c r="GH381" s="3"/>
      <c r="GI381" s="3"/>
      <c r="GJ381" s="3"/>
      <c r="GK381" s="3"/>
      <c r="GL381" s="3"/>
      <c r="GM381" s="3"/>
      <c r="GN381" s="3"/>
      <c r="GO381" s="3"/>
      <c r="GP381" s="3"/>
      <c r="GQ381" s="3"/>
      <c r="GR381" s="3"/>
      <c r="GS381" s="3"/>
      <c r="GT381" s="3"/>
      <c r="GU381" s="3"/>
      <c r="GV381" s="3"/>
      <c r="GW381" s="3"/>
      <c r="GX381" s="3"/>
      <c r="GY381" s="3"/>
      <c r="GZ381" s="3"/>
      <c r="HA381" s="3"/>
      <c r="HB381" s="3"/>
    </row>
    <row r="382" spans="1:210" ht="15.75" customHeight="1">
      <c r="A382" s="50"/>
      <c r="B382" s="50"/>
      <c r="C382" s="50"/>
      <c r="D382" s="50"/>
      <c r="E382" s="50"/>
      <c r="F382" s="50"/>
      <c r="G382" s="51"/>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c r="AR382" s="50"/>
      <c r="AS382" s="50"/>
      <c r="AT382" s="50"/>
      <c r="AU382" s="50"/>
      <c r="AV382" s="50"/>
      <c r="AW382" s="50"/>
      <c r="AX382" s="50"/>
      <c r="AY382" s="50"/>
      <c r="AZ382" s="50"/>
      <c r="BA382" s="50"/>
      <c r="BB382" s="50"/>
      <c r="BC382" s="50"/>
      <c r="BD382" s="50"/>
      <c r="BE382" s="50"/>
      <c r="BF382" s="50"/>
      <c r="BG382" s="50"/>
      <c r="BH382" s="50"/>
      <c r="BI382" s="50"/>
      <c r="BJ382" s="50"/>
      <c r="BK382" s="50"/>
      <c r="BL382" s="50"/>
      <c r="BM382" s="50"/>
      <c r="BN382" s="50"/>
      <c r="BO382" s="50"/>
      <c r="BP382" s="50"/>
      <c r="BQ382" s="50"/>
      <c r="BR382" s="50"/>
      <c r="BS382" s="50"/>
      <c r="BT382" s="50"/>
      <c r="BU382" s="50"/>
      <c r="BV382" s="50"/>
      <c r="BW382" s="50"/>
      <c r="BX382" s="50"/>
      <c r="BY382" s="50"/>
      <c r="BZ382" s="50"/>
      <c r="CA382" s="50"/>
      <c r="CB382" s="50"/>
      <c r="CC382" s="50"/>
      <c r="CD382" s="52"/>
      <c r="CE382" s="50"/>
      <c r="CF382" s="50"/>
      <c r="CG382" s="50"/>
      <c r="CH382" s="50"/>
      <c r="CI382" s="50"/>
      <c r="CJ382" s="50"/>
      <c r="CK382" s="50"/>
      <c r="CL382" s="50"/>
      <c r="CM382" s="50"/>
      <c r="CN382" s="50"/>
      <c r="CO382" s="50"/>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c r="GE382" s="3"/>
      <c r="GF382" s="3"/>
      <c r="GG382" s="3"/>
      <c r="GH382" s="3"/>
      <c r="GI382" s="3"/>
      <c r="GJ382" s="3"/>
      <c r="GK382" s="3"/>
      <c r="GL382" s="3"/>
      <c r="GM382" s="3"/>
      <c r="GN382" s="3"/>
      <c r="GO382" s="3"/>
      <c r="GP382" s="3"/>
      <c r="GQ382" s="3"/>
      <c r="GR382" s="3"/>
      <c r="GS382" s="3"/>
      <c r="GT382" s="3"/>
      <c r="GU382" s="3"/>
      <c r="GV382" s="3"/>
      <c r="GW382" s="3"/>
      <c r="GX382" s="3"/>
      <c r="GY382" s="3"/>
      <c r="GZ382" s="3"/>
      <c r="HA382" s="3"/>
      <c r="HB382" s="3"/>
    </row>
    <row r="383" spans="1:210" ht="15.75" customHeight="1">
      <c r="A383" s="50"/>
      <c r="B383" s="50"/>
      <c r="C383" s="50"/>
      <c r="D383" s="50"/>
      <c r="E383" s="50"/>
      <c r="F383" s="50"/>
      <c r="G383" s="51"/>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c r="AR383" s="50"/>
      <c r="AS383" s="50"/>
      <c r="AT383" s="50"/>
      <c r="AU383" s="50"/>
      <c r="AV383" s="50"/>
      <c r="AW383" s="50"/>
      <c r="AX383" s="50"/>
      <c r="AY383" s="50"/>
      <c r="AZ383" s="50"/>
      <c r="BA383" s="50"/>
      <c r="BB383" s="50"/>
      <c r="BC383" s="50"/>
      <c r="BD383" s="50"/>
      <c r="BE383" s="50"/>
      <c r="BF383" s="50"/>
      <c r="BG383" s="50"/>
      <c r="BH383" s="50"/>
      <c r="BI383" s="50"/>
      <c r="BJ383" s="50"/>
      <c r="BK383" s="50"/>
      <c r="BL383" s="50"/>
      <c r="BM383" s="50"/>
      <c r="BN383" s="50"/>
      <c r="BO383" s="50"/>
      <c r="BP383" s="50"/>
      <c r="BQ383" s="50"/>
      <c r="BR383" s="50"/>
      <c r="BS383" s="50"/>
      <c r="BT383" s="50"/>
      <c r="BU383" s="50"/>
      <c r="BV383" s="50"/>
      <c r="BW383" s="50"/>
      <c r="BX383" s="50"/>
      <c r="BY383" s="50"/>
      <c r="BZ383" s="50"/>
      <c r="CA383" s="50"/>
      <c r="CB383" s="50"/>
      <c r="CC383" s="50"/>
      <c r="CD383" s="52"/>
      <c r="CE383" s="50"/>
      <c r="CF383" s="50"/>
      <c r="CG383" s="50"/>
      <c r="CH383" s="50"/>
      <c r="CI383" s="50"/>
      <c r="CJ383" s="50"/>
      <c r="CK383" s="50"/>
      <c r="CL383" s="50"/>
      <c r="CM383" s="50"/>
      <c r="CN383" s="50"/>
      <c r="CO383" s="50"/>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c r="GE383" s="3"/>
      <c r="GF383" s="3"/>
      <c r="GG383" s="3"/>
      <c r="GH383" s="3"/>
      <c r="GI383" s="3"/>
      <c r="GJ383" s="3"/>
      <c r="GK383" s="3"/>
      <c r="GL383" s="3"/>
      <c r="GM383" s="3"/>
      <c r="GN383" s="3"/>
      <c r="GO383" s="3"/>
      <c r="GP383" s="3"/>
      <c r="GQ383" s="3"/>
      <c r="GR383" s="3"/>
      <c r="GS383" s="3"/>
      <c r="GT383" s="3"/>
      <c r="GU383" s="3"/>
      <c r="GV383" s="3"/>
      <c r="GW383" s="3"/>
      <c r="GX383" s="3"/>
      <c r="GY383" s="3"/>
      <c r="GZ383" s="3"/>
      <c r="HA383" s="3"/>
      <c r="HB383" s="3"/>
    </row>
    <row r="384" spans="1:210" ht="15.75" customHeight="1">
      <c r="A384" s="50"/>
      <c r="B384" s="50"/>
      <c r="C384" s="50"/>
      <c r="D384" s="50"/>
      <c r="E384" s="50"/>
      <c r="F384" s="50"/>
      <c r="G384" s="51"/>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c r="AR384" s="50"/>
      <c r="AS384" s="50"/>
      <c r="AT384" s="50"/>
      <c r="AU384" s="50"/>
      <c r="AV384" s="50"/>
      <c r="AW384" s="50"/>
      <c r="AX384" s="50"/>
      <c r="AY384" s="50"/>
      <c r="AZ384" s="50"/>
      <c r="BA384" s="50"/>
      <c r="BB384" s="50"/>
      <c r="BC384" s="50"/>
      <c r="BD384" s="50"/>
      <c r="BE384" s="50"/>
      <c r="BF384" s="50"/>
      <c r="BG384" s="50"/>
      <c r="BH384" s="50"/>
      <c r="BI384" s="50"/>
      <c r="BJ384" s="50"/>
      <c r="BK384" s="50"/>
      <c r="BL384" s="50"/>
      <c r="BM384" s="50"/>
      <c r="BN384" s="50"/>
      <c r="BO384" s="50"/>
      <c r="BP384" s="50"/>
      <c r="BQ384" s="50"/>
      <c r="BR384" s="50"/>
      <c r="BS384" s="50"/>
      <c r="BT384" s="50"/>
      <c r="BU384" s="50"/>
      <c r="BV384" s="50"/>
      <c r="BW384" s="50"/>
      <c r="BX384" s="50"/>
      <c r="BY384" s="50"/>
      <c r="BZ384" s="50"/>
      <c r="CA384" s="50"/>
      <c r="CB384" s="50"/>
      <c r="CC384" s="50"/>
      <c r="CD384" s="52"/>
      <c r="CE384" s="50"/>
      <c r="CF384" s="50"/>
      <c r="CG384" s="50"/>
      <c r="CH384" s="50"/>
      <c r="CI384" s="50"/>
      <c r="CJ384" s="50"/>
      <c r="CK384" s="50"/>
      <c r="CL384" s="50"/>
      <c r="CM384" s="50"/>
      <c r="CN384" s="50"/>
      <c r="CO384" s="50"/>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c r="GE384" s="3"/>
      <c r="GF384" s="3"/>
      <c r="GG384" s="3"/>
      <c r="GH384" s="3"/>
      <c r="GI384" s="3"/>
      <c r="GJ384" s="3"/>
      <c r="GK384" s="3"/>
      <c r="GL384" s="3"/>
      <c r="GM384" s="3"/>
      <c r="GN384" s="3"/>
      <c r="GO384" s="3"/>
      <c r="GP384" s="3"/>
      <c r="GQ384" s="3"/>
      <c r="GR384" s="3"/>
      <c r="GS384" s="3"/>
      <c r="GT384" s="3"/>
      <c r="GU384" s="3"/>
      <c r="GV384" s="3"/>
      <c r="GW384" s="3"/>
      <c r="GX384" s="3"/>
      <c r="GY384" s="3"/>
      <c r="GZ384" s="3"/>
      <c r="HA384" s="3"/>
      <c r="HB384" s="3"/>
    </row>
    <row r="385" spans="1:210" ht="15.75" customHeight="1">
      <c r="A385" s="50"/>
      <c r="B385" s="50"/>
      <c r="C385" s="50"/>
      <c r="D385" s="50"/>
      <c r="E385" s="50"/>
      <c r="F385" s="50"/>
      <c r="G385" s="51"/>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c r="AR385" s="50"/>
      <c r="AS385" s="50"/>
      <c r="AT385" s="50"/>
      <c r="AU385" s="50"/>
      <c r="AV385" s="50"/>
      <c r="AW385" s="50"/>
      <c r="AX385" s="50"/>
      <c r="AY385" s="50"/>
      <c r="AZ385" s="50"/>
      <c r="BA385" s="50"/>
      <c r="BB385" s="50"/>
      <c r="BC385" s="50"/>
      <c r="BD385" s="50"/>
      <c r="BE385" s="50"/>
      <c r="BF385" s="50"/>
      <c r="BG385" s="50"/>
      <c r="BH385" s="50"/>
      <c r="BI385" s="50"/>
      <c r="BJ385" s="50"/>
      <c r="BK385" s="50"/>
      <c r="BL385" s="50"/>
      <c r="BM385" s="50"/>
      <c r="BN385" s="50"/>
      <c r="BO385" s="50"/>
      <c r="BP385" s="50"/>
      <c r="BQ385" s="50"/>
      <c r="BR385" s="50"/>
      <c r="BS385" s="50"/>
      <c r="BT385" s="50"/>
      <c r="BU385" s="50"/>
      <c r="BV385" s="50"/>
      <c r="BW385" s="50"/>
      <c r="BX385" s="50"/>
      <c r="BY385" s="50"/>
      <c r="BZ385" s="50"/>
      <c r="CA385" s="50"/>
      <c r="CB385" s="50"/>
      <c r="CC385" s="50"/>
      <c r="CD385" s="52"/>
      <c r="CE385" s="50"/>
      <c r="CF385" s="50"/>
      <c r="CG385" s="50"/>
      <c r="CH385" s="50"/>
      <c r="CI385" s="50"/>
      <c r="CJ385" s="50"/>
      <c r="CK385" s="50"/>
      <c r="CL385" s="50"/>
      <c r="CM385" s="50"/>
      <c r="CN385" s="50"/>
      <c r="CO385" s="50"/>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row>
    <row r="386" spans="1:210" ht="15.75" customHeight="1">
      <c r="A386" s="50"/>
      <c r="B386" s="50"/>
      <c r="C386" s="50"/>
      <c r="D386" s="50"/>
      <c r="E386" s="50"/>
      <c r="F386" s="50"/>
      <c r="G386" s="51"/>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c r="AR386" s="50"/>
      <c r="AS386" s="50"/>
      <c r="AT386" s="50"/>
      <c r="AU386" s="50"/>
      <c r="AV386" s="50"/>
      <c r="AW386" s="50"/>
      <c r="AX386" s="50"/>
      <c r="AY386" s="50"/>
      <c r="AZ386" s="50"/>
      <c r="BA386" s="50"/>
      <c r="BB386" s="50"/>
      <c r="BC386" s="50"/>
      <c r="BD386" s="50"/>
      <c r="BE386" s="50"/>
      <c r="BF386" s="50"/>
      <c r="BG386" s="50"/>
      <c r="BH386" s="50"/>
      <c r="BI386" s="50"/>
      <c r="BJ386" s="50"/>
      <c r="BK386" s="50"/>
      <c r="BL386" s="50"/>
      <c r="BM386" s="50"/>
      <c r="BN386" s="50"/>
      <c r="BO386" s="50"/>
      <c r="BP386" s="50"/>
      <c r="BQ386" s="50"/>
      <c r="BR386" s="50"/>
      <c r="BS386" s="50"/>
      <c r="BT386" s="50"/>
      <c r="BU386" s="50"/>
      <c r="BV386" s="50"/>
      <c r="BW386" s="50"/>
      <c r="BX386" s="50"/>
      <c r="BY386" s="50"/>
      <c r="BZ386" s="50"/>
      <c r="CA386" s="50"/>
      <c r="CB386" s="50"/>
      <c r="CC386" s="50"/>
      <c r="CD386" s="52"/>
      <c r="CE386" s="50"/>
      <c r="CF386" s="50"/>
      <c r="CG386" s="50"/>
      <c r="CH386" s="50"/>
      <c r="CI386" s="50"/>
      <c r="CJ386" s="50"/>
      <c r="CK386" s="50"/>
      <c r="CL386" s="50"/>
      <c r="CM386" s="50"/>
      <c r="CN386" s="50"/>
      <c r="CO386" s="50"/>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row>
    <row r="387" spans="1:210" ht="15.75" customHeight="1">
      <c r="A387" s="50"/>
      <c r="B387" s="50"/>
      <c r="C387" s="50"/>
      <c r="D387" s="50"/>
      <c r="E387" s="50"/>
      <c r="F387" s="50"/>
      <c r="G387" s="51"/>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c r="AR387" s="50"/>
      <c r="AS387" s="50"/>
      <c r="AT387" s="50"/>
      <c r="AU387" s="50"/>
      <c r="AV387" s="50"/>
      <c r="AW387" s="50"/>
      <c r="AX387" s="50"/>
      <c r="AY387" s="50"/>
      <c r="AZ387" s="50"/>
      <c r="BA387" s="50"/>
      <c r="BB387" s="50"/>
      <c r="BC387" s="50"/>
      <c r="BD387" s="50"/>
      <c r="BE387" s="50"/>
      <c r="BF387" s="50"/>
      <c r="BG387" s="50"/>
      <c r="BH387" s="50"/>
      <c r="BI387" s="50"/>
      <c r="BJ387" s="50"/>
      <c r="BK387" s="50"/>
      <c r="BL387" s="50"/>
      <c r="BM387" s="50"/>
      <c r="BN387" s="50"/>
      <c r="BO387" s="50"/>
      <c r="BP387" s="50"/>
      <c r="BQ387" s="50"/>
      <c r="BR387" s="50"/>
      <c r="BS387" s="50"/>
      <c r="BT387" s="50"/>
      <c r="BU387" s="50"/>
      <c r="BV387" s="50"/>
      <c r="BW387" s="50"/>
      <c r="BX387" s="50"/>
      <c r="BY387" s="50"/>
      <c r="BZ387" s="50"/>
      <c r="CA387" s="50"/>
      <c r="CB387" s="50"/>
      <c r="CC387" s="50"/>
      <c r="CD387" s="52"/>
      <c r="CE387" s="50"/>
      <c r="CF387" s="50"/>
      <c r="CG387" s="50"/>
      <c r="CH387" s="50"/>
      <c r="CI387" s="50"/>
      <c r="CJ387" s="50"/>
      <c r="CK387" s="50"/>
      <c r="CL387" s="50"/>
      <c r="CM387" s="50"/>
      <c r="CN387" s="50"/>
      <c r="CO387" s="50"/>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row>
    <row r="388" spans="1:210" ht="15.75" customHeight="1">
      <c r="A388" s="50"/>
      <c r="B388" s="50"/>
      <c r="C388" s="50"/>
      <c r="D388" s="50"/>
      <c r="E388" s="50"/>
      <c r="F388" s="50"/>
      <c r="G388" s="51"/>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c r="AR388" s="50"/>
      <c r="AS388" s="50"/>
      <c r="AT388" s="50"/>
      <c r="AU388" s="50"/>
      <c r="AV388" s="50"/>
      <c r="AW388" s="50"/>
      <c r="AX388" s="50"/>
      <c r="AY388" s="50"/>
      <c r="AZ388" s="50"/>
      <c r="BA388" s="50"/>
      <c r="BB388" s="50"/>
      <c r="BC388" s="50"/>
      <c r="BD388" s="50"/>
      <c r="BE388" s="50"/>
      <c r="BF388" s="50"/>
      <c r="BG388" s="50"/>
      <c r="BH388" s="50"/>
      <c r="BI388" s="50"/>
      <c r="BJ388" s="50"/>
      <c r="BK388" s="50"/>
      <c r="BL388" s="50"/>
      <c r="BM388" s="50"/>
      <c r="BN388" s="50"/>
      <c r="BO388" s="50"/>
      <c r="BP388" s="50"/>
      <c r="BQ388" s="50"/>
      <c r="BR388" s="50"/>
      <c r="BS388" s="50"/>
      <c r="BT388" s="50"/>
      <c r="BU388" s="50"/>
      <c r="BV388" s="50"/>
      <c r="BW388" s="50"/>
      <c r="BX388" s="50"/>
      <c r="BY388" s="50"/>
      <c r="BZ388" s="50"/>
      <c r="CA388" s="50"/>
      <c r="CB388" s="50"/>
      <c r="CC388" s="50"/>
      <c r="CD388" s="52"/>
      <c r="CE388" s="50"/>
      <c r="CF388" s="50"/>
      <c r="CG388" s="50"/>
      <c r="CH388" s="50"/>
      <c r="CI388" s="50"/>
      <c r="CJ388" s="50"/>
      <c r="CK388" s="50"/>
      <c r="CL388" s="50"/>
      <c r="CM388" s="50"/>
      <c r="CN388" s="50"/>
      <c r="CO388" s="50"/>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row>
    <row r="389" spans="1:210" ht="15.75" customHeight="1">
      <c r="A389" s="50"/>
      <c r="B389" s="50"/>
      <c r="C389" s="50"/>
      <c r="D389" s="50"/>
      <c r="E389" s="50"/>
      <c r="F389" s="50"/>
      <c r="G389" s="51"/>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c r="AR389" s="50"/>
      <c r="AS389" s="50"/>
      <c r="AT389" s="50"/>
      <c r="AU389" s="50"/>
      <c r="AV389" s="50"/>
      <c r="AW389" s="50"/>
      <c r="AX389" s="50"/>
      <c r="AY389" s="50"/>
      <c r="AZ389" s="50"/>
      <c r="BA389" s="50"/>
      <c r="BB389" s="50"/>
      <c r="BC389" s="50"/>
      <c r="BD389" s="50"/>
      <c r="BE389" s="50"/>
      <c r="BF389" s="50"/>
      <c r="BG389" s="50"/>
      <c r="BH389" s="50"/>
      <c r="BI389" s="50"/>
      <c r="BJ389" s="50"/>
      <c r="BK389" s="50"/>
      <c r="BL389" s="50"/>
      <c r="BM389" s="50"/>
      <c r="BN389" s="50"/>
      <c r="BO389" s="50"/>
      <c r="BP389" s="50"/>
      <c r="BQ389" s="50"/>
      <c r="BR389" s="50"/>
      <c r="BS389" s="50"/>
      <c r="BT389" s="50"/>
      <c r="BU389" s="50"/>
      <c r="BV389" s="50"/>
      <c r="BW389" s="50"/>
      <c r="BX389" s="50"/>
      <c r="BY389" s="50"/>
      <c r="BZ389" s="50"/>
      <c r="CA389" s="50"/>
      <c r="CB389" s="50"/>
      <c r="CC389" s="50"/>
      <c r="CD389" s="52"/>
      <c r="CE389" s="50"/>
      <c r="CF389" s="50"/>
      <c r="CG389" s="50"/>
      <c r="CH389" s="50"/>
      <c r="CI389" s="50"/>
      <c r="CJ389" s="50"/>
      <c r="CK389" s="50"/>
      <c r="CL389" s="50"/>
      <c r="CM389" s="50"/>
      <c r="CN389" s="50"/>
      <c r="CO389" s="50"/>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row>
    <row r="390" spans="1:210" ht="15.75" customHeight="1">
      <c r="A390" s="50"/>
      <c r="B390" s="50"/>
      <c r="C390" s="50"/>
      <c r="D390" s="50"/>
      <c r="E390" s="50"/>
      <c r="F390" s="50"/>
      <c r="G390" s="51"/>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c r="AR390" s="50"/>
      <c r="AS390" s="50"/>
      <c r="AT390" s="50"/>
      <c r="AU390" s="50"/>
      <c r="AV390" s="50"/>
      <c r="AW390" s="50"/>
      <c r="AX390" s="50"/>
      <c r="AY390" s="50"/>
      <c r="AZ390" s="50"/>
      <c r="BA390" s="50"/>
      <c r="BB390" s="50"/>
      <c r="BC390" s="50"/>
      <c r="BD390" s="50"/>
      <c r="BE390" s="50"/>
      <c r="BF390" s="50"/>
      <c r="BG390" s="50"/>
      <c r="BH390" s="50"/>
      <c r="BI390" s="50"/>
      <c r="BJ390" s="50"/>
      <c r="BK390" s="50"/>
      <c r="BL390" s="50"/>
      <c r="BM390" s="50"/>
      <c r="BN390" s="50"/>
      <c r="BO390" s="50"/>
      <c r="BP390" s="50"/>
      <c r="BQ390" s="50"/>
      <c r="BR390" s="50"/>
      <c r="BS390" s="50"/>
      <c r="BT390" s="50"/>
      <c r="BU390" s="50"/>
      <c r="BV390" s="50"/>
      <c r="BW390" s="50"/>
      <c r="BX390" s="50"/>
      <c r="BY390" s="50"/>
      <c r="BZ390" s="50"/>
      <c r="CA390" s="50"/>
      <c r="CB390" s="50"/>
      <c r="CC390" s="50"/>
      <c r="CD390" s="52"/>
      <c r="CE390" s="50"/>
      <c r="CF390" s="50"/>
      <c r="CG390" s="50"/>
      <c r="CH390" s="50"/>
      <c r="CI390" s="50"/>
      <c r="CJ390" s="50"/>
      <c r="CK390" s="50"/>
      <c r="CL390" s="50"/>
      <c r="CM390" s="50"/>
      <c r="CN390" s="50"/>
      <c r="CO390" s="50"/>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row>
    <row r="391" spans="1:210" ht="15.75" customHeight="1">
      <c r="A391" s="50"/>
      <c r="B391" s="50"/>
      <c r="C391" s="50"/>
      <c r="D391" s="50"/>
      <c r="E391" s="50"/>
      <c r="F391" s="50"/>
      <c r="G391" s="51"/>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c r="AR391" s="50"/>
      <c r="AS391" s="50"/>
      <c r="AT391" s="50"/>
      <c r="AU391" s="50"/>
      <c r="AV391" s="50"/>
      <c r="AW391" s="50"/>
      <c r="AX391" s="50"/>
      <c r="AY391" s="50"/>
      <c r="AZ391" s="50"/>
      <c r="BA391" s="50"/>
      <c r="BB391" s="50"/>
      <c r="BC391" s="50"/>
      <c r="BD391" s="50"/>
      <c r="BE391" s="50"/>
      <c r="BF391" s="50"/>
      <c r="BG391" s="50"/>
      <c r="BH391" s="50"/>
      <c r="BI391" s="50"/>
      <c r="BJ391" s="50"/>
      <c r="BK391" s="50"/>
      <c r="BL391" s="50"/>
      <c r="BM391" s="50"/>
      <c r="BN391" s="50"/>
      <c r="BO391" s="50"/>
      <c r="BP391" s="50"/>
      <c r="BQ391" s="50"/>
      <c r="BR391" s="50"/>
      <c r="BS391" s="50"/>
      <c r="BT391" s="50"/>
      <c r="BU391" s="50"/>
      <c r="BV391" s="50"/>
      <c r="BW391" s="50"/>
      <c r="BX391" s="50"/>
      <c r="BY391" s="50"/>
      <c r="BZ391" s="50"/>
      <c r="CA391" s="50"/>
      <c r="CB391" s="50"/>
      <c r="CC391" s="50"/>
      <c r="CD391" s="52"/>
      <c r="CE391" s="50"/>
      <c r="CF391" s="50"/>
      <c r="CG391" s="50"/>
      <c r="CH391" s="50"/>
      <c r="CI391" s="50"/>
      <c r="CJ391" s="50"/>
      <c r="CK391" s="50"/>
      <c r="CL391" s="50"/>
      <c r="CM391" s="50"/>
      <c r="CN391" s="50"/>
      <c r="CO391" s="50"/>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row>
    <row r="392" spans="1:210" ht="15.75" customHeight="1">
      <c r="A392" s="50"/>
      <c r="B392" s="50"/>
      <c r="C392" s="50"/>
      <c r="D392" s="50"/>
      <c r="E392" s="50"/>
      <c r="F392" s="50"/>
      <c r="G392" s="51"/>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c r="AR392" s="50"/>
      <c r="AS392" s="50"/>
      <c r="AT392" s="50"/>
      <c r="AU392" s="50"/>
      <c r="AV392" s="50"/>
      <c r="AW392" s="50"/>
      <c r="AX392" s="50"/>
      <c r="AY392" s="50"/>
      <c r="AZ392" s="50"/>
      <c r="BA392" s="50"/>
      <c r="BB392" s="50"/>
      <c r="BC392" s="50"/>
      <c r="BD392" s="50"/>
      <c r="BE392" s="50"/>
      <c r="BF392" s="50"/>
      <c r="BG392" s="50"/>
      <c r="BH392" s="50"/>
      <c r="BI392" s="50"/>
      <c r="BJ392" s="50"/>
      <c r="BK392" s="50"/>
      <c r="BL392" s="50"/>
      <c r="BM392" s="50"/>
      <c r="BN392" s="50"/>
      <c r="BO392" s="50"/>
      <c r="BP392" s="50"/>
      <c r="BQ392" s="50"/>
      <c r="BR392" s="50"/>
      <c r="BS392" s="50"/>
      <c r="BT392" s="50"/>
      <c r="BU392" s="50"/>
      <c r="BV392" s="50"/>
      <c r="BW392" s="50"/>
      <c r="BX392" s="50"/>
      <c r="BY392" s="50"/>
      <c r="BZ392" s="50"/>
      <c r="CA392" s="50"/>
      <c r="CB392" s="50"/>
      <c r="CC392" s="50"/>
      <c r="CD392" s="52"/>
      <c r="CE392" s="50"/>
      <c r="CF392" s="50"/>
      <c r="CG392" s="50"/>
      <c r="CH392" s="50"/>
      <c r="CI392" s="50"/>
      <c r="CJ392" s="50"/>
      <c r="CK392" s="50"/>
      <c r="CL392" s="50"/>
      <c r="CM392" s="50"/>
      <c r="CN392" s="50"/>
      <c r="CO392" s="50"/>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row>
    <row r="393" spans="1:210" ht="15.75" customHeight="1">
      <c r="A393" s="50"/>
      <c r="B393" s="50"/>
      <c r="C393" s="50"/>
      <c r="D393" s="50"/>
      <c r="E393" s="50"/>
      <c r="F393" s="50"/>
      <c r="G393" s="51"/>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c r="AR393" s="50"/>
      <c r="AS393" s="50"/>
      <c r="AT393" s="50"/>
      <c r="AU393" s="50"/>
      <c r="AV393" s="50"/>
      <c r="AW393" s="50"/>
      <c r="AX393" s="50"/>
      <c r="AY393" s="50"/>
      <c r="AZ393" s="50"/>
      <c r="BA393" s="50"/>
      <c r="BB393" s="50"/>
      <c r="BC393" s="50"/>
      <c r="BD393" s="50"/>
      <c r="BE393" s="50"/>
      <c r="BF393" s="50"/>
      <c r="BG393" s="50"/>
      <c r="BH393" s="50"/>
      <c r="BI393" s="50"/>
      <c r="BJ393" s="50"/>
      <c r="BK393" s="50"/>
      <c r="BL393" s="50"/>
      <c r="BM393" s="50"/>
      <c r="BN393" s="50"/>
      <c r="BO393" s="50"/>
      <c r="BP393" s="50"/>
      <c r="BQ393" s="50"/>
      <c r="BR393" s="50"/>
      <c r="BS393" s="50"/>
      <c r="BT393" s="50"/>
      <c r="BU393" s="50"/>
      <c r="BV393" s="50"/>
      <c r="BW393" s="50"/>
      <c r="BX393" s="50"/>
      <c r="BY393" s="50"/>
      <c r="BZ393" s="50"/>
      <c r="CA393" s="50"/>
      <c r="CB393" s="50"/>
      <c r="CC393" s="50"/>
      <c r="CD393" s="52"/>
      <c r="CE393" s="50"/>
      <c r="CF393" s="50"/>
      <c r="CG393" s="50"/>
      <c r="CH393" s="50"/>
      <c r="CI393" s="50"/>
      <c r="CJ393" s="50"/>
      <c r="CK393" s="50"/>
      <c r="CL393" s="50"/>
      <c r="CM393" s="50"/>
      <c r="CN393" s="50"/>
      <c r="CO393" s="50"/>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row>
    <row r="394" spans="1:210" ht="15.75" customHeight="1">
      <c r="A394" s="50"/>
      <c r="B394" s="50"/>
      <c r="C394" s="50"/>
      <c r="D394" s="50"/>
      <c r="E394" s="50"/>
      <c r="F394" s="50"/>
      <c r="G394" s="51"/>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c r="AR394" s="50"/>
      <c r="AS394" s="50"/>
      <c r="AT394" s="50"/>
      <c r="AU394" s="50"/>
      <c r="AV394" s="50"/>
      <c r="AW394" s="50"/>
      <c r="AX394" s="50"/>
      <c r="AY394" s="50"/>
      <c r="AZ394" s="50"/>
      <c r="BA394" s="50"/>
      <c r="BB394" s="50"/>
      <c r="BC394" s="50"/>
      <c r="BD394" s="50"/>
      <c r="BE394" s="50"/>
      <c r="BF394" s="50"/>
      <c r="BG394" s="50"/>
      <c r="BH394" s="50"/>
      <c r="BI394" s="50"/>
      <c r="BJ394" s="50"/>
      <c r="BK394" s="50"/>
      <c r="BL394" s="50"/>
      <c r="BM394" s="50"/>
      <c r="BN394" s="50"/>
      <c r="BO394" s="50"/>
      <c r="BP394" s="50"/>
      <c r="BQ394" s="50"/>
      <c r="BR394" s="50"/>
      <c r="BS394" s="50"/>
      <c r="BT394" s="50"/>
      <c r="BU394" s="50"/>
      <c r="BV394" s="50"/>
      <c r="BW394" s="50"/>
      <c r="BX394" s="50"/>
      <c r="BY394" s="50"/>
      <c r="BZ394" s="50"/>
      <c r="CA394" s="50"/>
      <c r="CB394" s="50"/>
      <c r="CC394" s="50"/>
      <c r="CD394" s="52"/>
      <c r="CE394" s="50"/>
      <c r="CF394" s="50"/>
      <c r="CG394" s="50"/>
      <c r="CH394" s="50"/>
      <c r="CI394" s="50"/>
      <c r="CJ394" s="50"/>
      <c r="CK394" s="50"/>
      <c r="CL394" s="50"/>
      <c r="CM394" s="50"/>
      <c r="CN394" s="50"/>
      <c r="CO394" s="50"/>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row>
    <row r="395" spans="1:210" ht="15.75" customHeight="1">
      <c r="A395" s="50"/>
      <c r="B395" s="50"/>
      <c r="C395" s="50"/>
      <c r="D395" s="50"/>
      <c r="E395" s="50"/>
      <c r="F395" s="50"/>
      <c r="G395" s="51"/>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c r="AR395" s="50"/>
      <c r="AS395" s="50"/>
      <c r="AT395" s="50"/>
      <c r="AU395" s="50"/>
      <c r="AV395" s="50"/>
      <c r="AW395" s="50"/>
      <c r="AX395" s="50"/>
      <c r="AY395" s="50"/>
      <c r="AZ395" s="50"/>
      <c r="BA395" s="50"/>
      <c r="BB395" s="50"/>
      <c r="BC395" s="50"/>
      <c r="BD395" s="50"/>
      <c r="BE395" s="50"/>
      <c r="BF395" s="50"/>
      <c r="BG395" s="50"/>
      <c r="BH395" s="50"/>
      <c r="BI395" s="50"/>
      <c r="BJ395" s="50"/>
      <c r="BK395" s="50"/>
      <c r="BL395" s="50"/>
      <c r="BM395" s="50"/>
      <c r="BN395" s="50"/>
      <c r="BO395" s="50"/>
      <c r="BP395" s="50"/>
      <c r="BQ395" s="50"/>
      <c r="BR395" s="50"/>
      <c r="BS395" s="50"/>
      <c r="BT395" s="50"/>
      <c r="BU395" s="50"/>
      <c r="BV395" s="50"/>
      <c r="BW395" s="50"/>
      <c r="BX395" s="50"/>
      <c r="BY395" s="50"/>
      <c r="BZ395" s="50"/>
      <c r="CA395" s="50"/>
      <c r="CB395" s="50"/>
      <c r="CC395" s="50"/>
      <c r="CD395" s="52"/>
      <c r="CE395" s="50"/>
      <c r="CF395" s="50"/>
      <c r="CG395" s="50"/>
      <c r="CH395" s="50"/>
      <c r="CI395" s="50"/>
      <c r="CJ395" s="50"/>
      <c r="CK395" s="50"/>
      <c r="CL395" s="50"/>
      <c r="CM395" s="50"/>
      <c r="CN395" s="50"/>
      <c r="CO395" s="50"/>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row>
    <row r="396" spans="1:210" ht="15.75" customHeight="1">
      <c r="A396" s="50"/>
      <c r="B396" s="50"/>
      <c r="C396" s="50"/>
      <c r="D396" s="50"/>
      <c r="E396" s="50"/>
      <c r="F396" s="50"/>
      <c r="G396" s="51"/>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c r="AR396" s="50"/>
      <c r="AS396" s="50"/>
      <c r="AT396" s="50"/>
      <c r="AU396" s="50"/>
      <c r="AV396" s="50"/>
      <c r="AW396" s="50"/>
      <c r="AX396" s="50"/>
      <c r="AY396" s="50"/>
      <c r="AZ396" s="50"/>
      <c r="BA396" s="50"/>
      <c r="BB396" s="50"/>
      <c r="BC396" s="50"/>
      <c r="BD396" s="50"/>
      <c r="BE396" s="50"/>
      <c r="BF396" s="50"/>
      <c r="BG396" s="50"/>
      <c r="BH396" s="50"/>
      <c r="BI396" s="50"/>
      <c r="BJ396" s="50"/>
      <c r="BK396" s="50"/>
      <c r="BL396" s="50"/>
      <c r="BM396" s="50"/>
      <c r="BN396" s="50"/>
      <c r="BO396" s="50"/>
      <c r="BP396" s="50"/>
      <c r="BQ396" s="50"/>
      <c r="BR396" s="50"/>
      <c r="BS396" s="50"/>
      <c r="BT396" s="50"/>
      <c r="BU396" s="50"/>
      <c r="BV396" s="50"/>
      <c r="BW396" s="50"/>
      <c r="BX396" s="50"/>
      <c r="BY396" s="50"/>
      <c r="BZ396" s="50"/>
      <c r="CA396" s="50"/>
      <c r="CB396" s="50"/>
      <c r="CC396" s="50"/>
      <c r="CD396" s="52"/>
      <c r="CE396" s="50"/>
      <c r="CF396" s="50"/>
      <c r="CG396" s="50"/>
      <c r="CH396" s="50"/>
      <c r="CI396" s="50"/>
      <c r="CJ396" s="50"/>
      <c r="CK396" s="50"/>
      <c r="CL396" s="50"/>
      <c r="CM396" s="50"/>
      <c r="CN396" s="50"/>
      <c r="CO396" s="50"/>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row>
    <row r="397" spans="1:210" ht="15.75" customHeight="1">
      <c r="A397" s="50"/>
      <c r="B397" s="50"/>
      <c r="C397" s="50"/>
      <c r="D397" s="50"/>
      <c r="E397" s="50"/>
      <c r="F397" s="50"/>
      <c r="G397" s="51"/>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c r="AR397" s="50"/>
      <c r="AS397" s="50"/>
      <c r="AT397" s="50"/>
      <c r="AU397" s="50"/>
      <c r="AV397" s="50"/>
      <c r="AW397" s="50"/>
      <c r="AX397" s="50"/>
      <c r="AY397" s="50"/>
      <c r="AZ397" s="50"/>
      <c r="BA397" s="50"/>
      <c r="BB397" s="50"/>
      <c r="BC397" s="50"/>
      <c r="BD397" s="50"/>
      <c r="BE397" s="50"/>
      <c r="BF397" s="50"/>
      <c r="BG397" s="50"/>
      <c r="BH397" s="50"/>
      <c r="BI397" s="50"/>
      <c r="BJ397" s="50"/>
      <c r="BK397" s="50"/>
      <c r="BL397" s="50"/>
      <c r="BM397" s="50"/>
      <c r="BN397" s="50"/>
      <c r="BO397" s="50"/>
      <c r="BP397" s="50"/>
      <c r="BQ397" s="50"/>
      <c r="BR397" s="50"/>
      <c r="BS397" s="50"/>
      <c r="BT397" s="50"/>
      <c r="BU397" s="50"/>
      <c r="BV397" s="50"/>
      <c r="BW397" s="50"/>
      <c r="BX397" s="50"/>
      <c r="BY397" s="50"/>
      <c r="BZ397" s="50"/>
      <c r="CA397" s="50"/>
      <c r="CB397" s="50"/>
      <c r="CC397" s="50"/>
      <c r="CD397" s="52"/>
      <c r="CE397" s="50"/>
      <c r="CF397" s="50"/>
      <c r="CG397" s="50"/>
      <c r="CH397" s="50"/>
      <c r="CI397" s="50"/>
      <c r="CJ397" s="50"/>
      <c r="CK397" s="50"/>
      <c r="CL397" s="50"/>
      <c r="CM397" s="50"/>
      <c r="CN397" s="50"/>
      <c r="CO397" s="50"/>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row>
    <row r="398" spans="1:210" ht="15.75" customHeight="1">
      <c r="A398" s="50"/>
      <c r="B398" s="50"/>
      <c r="C398" s="50"/>
      <c r="D398" s="50"/>
      <c r="E398" s="50"/>
      <c r="F398" s="50"/>
      <c r="G398" s="51"/>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c r="AR398" s="50"/>
      <c r="AS398" s="50"/>
      <c r="AT398" s="50"/>
      <c r="AU398" s="50"/>
      <c r="AV398" s="50"/>
      <c r="AW398" s="50"/>
      <c r="AX398" s="50"/>
      <c r="AY398" s="50"/>
      <c r="AZ398" s="50"/>
      <c r="BA398" s="50"/>
      <c r="BB398" s="50"/>
      <c r="BC398" s="50"/>
      <c r="BD398" s="50"/>
      <c r="BE398" s="50"/>
      <c r="BF398" s="50"/>
      <c r="BG398" s="50"/>
      <c r="BH398" s="50"/>
      <c r="BI398" s="50"/>
      <c r="BJ398" s="50"/>
      <c r="BK398" s="50"/>
      <c r="BL398" s="50"/>
      <c r="BM398" s="50"/>
      <c r="BN398" s="50"/>
      <c r="BO398" s="50"/>
      <c r="BP398" s="50"/>
      <c r="BQ398" s="50"/>
      <c r="BR398" s="50"/>
      <c r="BS398" s="50"/>
      <c r="BT398" s="50"/>
      <c r="BU398" s="50"/>
      <c r="BV398" s="50"/>
      <c r="BW398" s="50"/>
      <c r="BX398" s="50"/>
      <c r="BY398" s="50"/>
      <c r="BZ398" s="50"/>
      <c r="CA398" s="50"/>
      <c r="CB398" s="50"/>
      <c r="CC398" s="50"/>
      <c r="CD398" s="52"/>
      <c r="CE398" s="50"/>
      <c r="CF398" s="50"/>
      <c r="CG398" s="50"/>
      <c r="CH398" s="50"/>
      <c r="CI398" s="50"/>
      <c r="CJ398" s="50"/>
      <c r="CK398" s="50"/>
      <c r="CL398" s="50"/>
      <c r="CM398" s="50"/>
      <c r="CN398" s="50"/>
      <c r="CO398" s="50"/>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row>
    <row r="399" spans="1:210" ht="15.75" customHeight="1">
      <c r="A399" s="50"/>
      <c r="B399" s="50"/>
      <c r="C399" s="50"/>
      <c r="D399" s="50"/>
      <c r="E399" s="50"/>
      <c r="F399" s="50"/>
      <c r="G399" s="51"/>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c r="AR399" s="50"/>
      <c r="AS399" s="50"/>
      <c r="AT399" s="50"/>
      <c r="AU399" s="50"/>
      <c r="AV399" s="50"/>
      <c r="AW399" s="50"/>
      <c r="AX399" s="50"/>
      <c r="AY399" s="50"/>
      <c r="AZ399" s="50"/>
      <c r="BA399" s="50"/>
      <c r="BB399" s="50"/>
      <c r="BC399" s="50"/>
      <c r="BD399" s="50"/>
      <c r="BE399" s="50"/>
      <c r="BF399" s="50"/>
      <c r="BG399" s="50"/>
      <c r="BH399" s="50"/>
      <c r="BI399" s="50"/>
      <c r="BJ399" s="50"/>
      <c r="BK399" s="50"/>
      <c r="BL399" s="50"/>
      <c r="BM399" s="50"/>
      <c r="BN399" s="50"/>
      <c r="BO399" s="50"/>
      <c r="BP399" s="50"/>
      <c r="BQ399" s="50"/>
      <c r="BR399" s="50"/>
      <c r="BS399" s="50"/>
      <c r="BT399" s="50"/>
      <c r="BU399" s="50"/>
      <c r="BV399" s="50"/>
      <c r="BW399" s="50"/>
      <c r="BX399" s="50"/>
      <c r="BY399" s="50"/>
      <c r="BZ399" s="50"/>
      <c r="CA399" s="50"/>
      <c r="CB399" s="50"/>
      <c r="CC399" s="50"/>
      <c r="CD399" s="52"/>
      <c r="CE399" s="50"/>
      <c r="CF399" s="50"/>
      <c r="CG399" s="50"/>
      <c r="CH399" s="50"/>
      <c r="CI399" s="50"/>
      <c r="CJ399" s="50"/>
      <c r="CK399" s="50"/>
      <c r="CL399" s="50"/>
      <c r="CM399" s="50"/>
      <c r="CN399" s="50"/>
      <c r="CO399" s="50"/>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row>
    <row r="400" spans="1:210" ht="15.75" customHeight="1">
      <c r="A400" s="50"/>
      <c r="B400" s="50"/>
      <c r="C400" s="50"/>
      <c r="D400" s="50"/>
      <c r="E400" s="50"/>
      <c r="F400" s="50"/>
      <c r="G400" s="51"/>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c r="AR400" s="50"/>
      <c r="AS400" s="50"/>
      <c r="AT400" s="50"/>
      <c r="AU400" s="50"/>
      <c r="AV400" s="50"/>
      <c r="AW400" s="50"/>
      <c r="AX400" s="50"/>
      <c r="AY400" s="50"/>
      <c r="AZ400" s="50"/>
      <c r="BA400" s="50"/>
      <c r="BB400" s="50"/>
      <c r="BC400" s="50"/>
      <c r="BD400" s="50"/>
      <c r="BE400" s="50"/>
      <c r="BF400" s="50"/>
      <c r="BG400" s="50"/>
      <c r="BH400" s="50"/>
      <c r="BI400" s="50"/>
      <c r="BJ400" s="50"/>
      <c r="BK400" s="50"/>
      <c r="BL400" s="50"/>
      <c r="BM400" s="50"/>
      <c r="BN400" s="50"/>
      <c r="BO400" s="50"/>
      <c r="BP400" s="50"/>
      <c r="BQ400" s="50"/>
      <c r="BR400" s="50"/>
      <c r="BS400" s="50"/>
      <c r="BT400" s="50"/>
      <c r="BU400" s="50"/>
      <c r="BV400" s="50"/>
      <c r="BW400" s="50"/>
      <c r="BX400" s="50"/>
      <c r="BY400" s="50"/>
      <c r="BZ400" s="50"/>
      <c r="CA400" s="50"/>
      <c r="CB400" s="50"/>
      <c r="CC400" s="50"/>
      <c r="CD400" s="52"/>
      <c r="CE400" s="50"/>
      <c r="CF400" s="50"/>
      <c r="CG400" s="50"/>
      <c r="CH400" s="50"/>
      <c r="CI400" s="50"/>
      <c r="CJ400" s="50"/>
      <c r="CK400" s="50"/>
      <c r="CL400" s="50"/>
      <c r="CM400" s="50"/>
      <c r="CN400" s="50"/>
      <c r="CO400" s="50"/>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row>
    <row r="401" spans="1:210" ht="15.75" customHeight="1">
      <c r="A401" s="50"/>
      <c r="B401" s="50"/>
      <c r="C401" s="50"/>
      <c r="D401" s="50"/>
      <c r="E401" s="50"/>
      <c r="F401" s="50"/>
      <c r="G401" s="51"/>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c r="AR401" s="50"/>
      <c r="AS401" s="50"/>
      <c r="AT401" s="50"/>
      <c r="AU401" s="50"/>
      <c r="AV401" s="50"/>
      <c r="AW401" s="50"/>
      <c r="AX401" s="50"/>
      <c r="AY401" s="50"/>
      <c r="AZ401" s="50"/>
      <c r="BA401" s="50"/>
      <c r="BB401" s="50"/>
      <c r="BC401" s="50"/>
      <c r="BD401" s="50"/>
      <c r="BE401" s="50"/>
      <c r="BF401" s="50"/>
      <c r="BG401" s="50"/>
      <c r="BH401" s="50"/>
      <c r="BI401" s="50"/>
      <c r="BJ401" s="50"/>
      <c r="BK401" s="50"/>
      <c r="BL401" s="50"/>
      <c r="BM401" s="50"/>
      <c r="BN401" s="50"/>
      <c r="BO401" s="50"/>
      <c r="BP401" s="50"/>
      <c r="BQ401" s="50"/>
      <c r="BR401" s="50"/>
      <c r="BS401" s="50"/>
      <c r="BT401" s="50"/>
      <c r="BU401" s="50"/>
      <c r="BV401" s="50"/>
      <c r="BW401" s="50"/>
      <c r="BX401" s="50"/>
      <c r="BY401" s="50"/>
      <c r="BZ401" s="50"/>
      <c r="CA401" s="50"/>
      <c r="CB401" s="50"/>
      <c r="CC401" s="50"/>
      <c r="CD401" s="52"/>
      <c r="CE401" s="50"/>
      <c r="CF401" s="50"/>
      <c r="CG401" s="50"/>
      <c r="CH401" s="50"/>
      <c r="CI401" s="50"/>
      <c r="CJ401" s="50"/>
      <c r="CK401" s="50"/>
      <c r="CL401" s="50"/>
      <c r="CM401" s="50"/>
      <c r="CN401" s="50"/>
      <c r="CO401" s="50"/>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row>
    <row r="402" spans="1:210" ht="15.75" customHeight="1">
      <c r="A402" s="50"/>
      <c r="B402" s="50"/>
      <c r="C402" s="50"/>
      <c r="D402" s="50"/>
      <c r="E402" s="50"/>
      <c r="F402" s="50"/>
      <c r="G402" s="51"/>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c r="AR402" s="50"/>
      <c r="AS402" s="50"/>
      <c r="AT402" s="50"/>
      <c r="AU402" s="50"/>
      <c r="AV402" s="50"/>
      <c r="AW402" s="50"/>
      <c r="AX402" s="50"/>
      <c r="AY402" s="50"/>
      <c r="AZ402" s="50"/>
      <c r="BA402" s="50"/>
      <c r="BB402" s="50"/>
      <c r="BC402" s="50"/>
      <c r="BD402" s="50"/>
      <c r="BE402" s="50"/>
      <c r="BF402" s="50"/>
      <c r="BG402" s="50"/>
      <c r="BH402" s="50"/>
      <c r="BI402" s="50"/>
      <c r="BJ402" s="50"/>
      <c r="BK402" s="50"/>
      <c r="BL402" s="50"/>
      <c r="BM402" s="50"/>
      <c r="BN402" s="50"/>
      <c r="BO402" s="50"/>
      <c r="BP402" s="50"/>
      <c r="BQ402" s="50"/>
      <c r="BR402" s="50"/>
      <c r="BS402" s="50"/>
      <c r="BT402" s="50"/>
      <c r="BU402" s="50"/>
      <c r="BV402" s="50"/>
      <c r="BW402" s="50"/>
      <c r="BX402" s="50"/>
      <c r="BY402" s="50"/>
      <c r="BZ402" s="50"/>
      <c r="CA402" s="50"/>
      <c r="CB402" s="50"/>
      <c r="CC402" s="50"/>
      <c r="CD402" s="52"/>
      <c r="CE402" s="50"/>
      <c r="CF402" s="50"/>
      <c r="CG402" s="50"/>
      <c r="CH402" s="50"/>
      <c r="CI402" s="50"/>
      <c r="CJ402" s="50"/>
      <c r="CK402" s="50"/>
      <c r="CL402" s="50"/>
      <c r="CM402" s="50"/>
      <c r="CN402" s="50"/>
      <c r="CO402" s="50"/>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row>
    <row r="403" spans="1:210" ht="15.75" customHeight="1">
      <c r="A403" s="50"/>
      <c r="B403" s="50"/>
      <c r="C403" s="50"/>
      <c r="D403" s="50"/>
      <c r="E403" s="50"/>
      <c r="F403" s="50"/>
      <c r="G403" s="51"/>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c r="AR403" s="50"/>
      <c r="AS403" s="50"/>
      <c r="AT403" s="50"/>
      <c r="AU403" s="50"/>
      <c r="AV403" s="50"/>
      <c r="AW403" s="50"/>
      <c r="AX403" s="50"/>
      <c r="AY403" s="50"/>
      <c r="AZ403" s="50"/>
      <c r="BA403" s="50"/>
      <c r="BB403" s="50"/>
      <c r="BC403" s="50"/>
      <c r="BD403" s="50"/>
      <c r="BE403" s="50"/>
      <c r="BF403" s="50"/>
      <c r="BG403" s="50"/>
      <c r="BH403" s="50"/>
      <c r="BI403" s="50"/>
      <c r="BJ403" s="50"/>
      <c r="BK403" s="50"/>
      <c r="BL403" s="50"/>
      <c r="BM403" s="50"/>
      <c r="BN403" s="50"/>
      <c r="BO403" s="50"/>
      <c r="BP403" s="50"/>
      <c r="BQ403" s="50"/>
      <c r="BR403" s="50"/>
      <c r="BS403" s="50"/>
      <c r="BT403" s="50"/>
      <c r="BU403" s="50"/>
      <c r="BV403" s="50"/>
      <c r="BW403" s="50"/>
      <c r="BX403" s="50"/>
      <c r="BY403" s="50"/>
      <c r="BZ403" s="50"/>
      <c r="CA403" s="50"/>
      <c r="CB403" s="50"/>
      <c r="CC403" s="50"/>
      <c r="CD403" s="52"/>
      <c r="CE403" s="50"/>
      <c r="CF403" s="50"/>
      <c r="CG403" s="50"/>
      <c r="CH403" s="50"/>
      <c r="CI403" s="50"/>
      <c r="CJ403" s="50"/>
      <c r="CK403" s="50"/>
      <c r="CL403" s="50"/>
      <c r="CM403" s="50"/>
      <c r="CN403" s="50"/>
      <c r="CO403" s="50"/>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c r="GE403" s="3"/>
      <c r="GF403" s="3"/>
      <c r="GG403" s="3"/>
      <c r="GH403" s="3"/>
      <c r="GI403" s="3"/>
      <c r="GJ403" s="3"/>
      <c r="GK403" s="3"/>
      <c r="GL403" s="3"/>
      <c r="GM403" s="3"/>
      <c r="GN403" s="3"/>
      <c r="GO403" s="3"/>
      <c r="GP403" s="3"/>
      <c r="GQ403" s="3"/>
      <c r="GR403" s="3"/>
      <c r="GS403" s="3"/>
      <c r="GT403" s="3"/>
      <c r="GU403" s="3"/>
      <c r="GV403" s="3"/>
      <c r="GW403" s="3"/>
      <c r="GX403" s="3"/>
      <c r="GY403" s="3"/>
      <c r="GZ403" s="3"/>
      <c r="HA403" s="3"/>
      <c r="HB403" s="3"/>
    </row>
    <row r="404" spans="1:210" ht="15.75" customHeight="1">
      <c r="A404" s="50"/>
      <c r="B404" s="50"/>
      <c r="C404" s="50"/>
      <c r="D404" s="50"/>
      <c r="E404" s="50"/>
      <c r="F404" s="50"/>
      <c r="G404" s="51"/>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c r="AR404" s="50"/>
      <c r="AS404" s="50"/>
      <c r="AT404" s="50"/>
      <c r="AU404" s="50"/>
      <c r="AV404" s="50"/>
      <c r="AW404" s="50"/>
      <c r="AX404" s="50"/>
      <c r="AY404" s="50"/>
      <c r="AZ404" s="50"/>
      <c r="BA404" s="50"/>
      <c r="BB404" s="50"/>
      <c r="BC404" s="50"/>
      <c r="BD404" s="50"/>
      <c r="BE404" s="50"/>
      <c r="BF404" s="50"/>
      <c r="BG404" s="50"/>
      <c r="BH404" s="50"/>
      <c r="BI404" s="50"/>
      <c r="BJ404" s="50"/>
      <c r="BK404" s="50"/>
      <c r="BL404" s="50"/>
      <c r="BM404" s="50"/>
      <c r="BN404" s="50"/>
      <c r="BO404" s="50"/>
      <c r="BP404" s="50"/>
      <c r="BQ404" s="50"/>
      <c r="BR404" s="50"/>
      <c r="BS404" s="50"/>
      <c r="BT404" s="50"/>
      <c r="BU404" s="50"/>
      <c r="BV404" s="50"/>
      <c r="BW404" s="50"/>
      <c r="BX404" s="50"/>
      <c r="BY404" s="50"/>
      <c r="BZ404" s="50"/>
      <c r="CA404" s="50"/>
      <c r="CB404" s="50"/>
      <c r="CC404" s="50"/>
      <c r="CD404" s="52"/>
      <c r="CE404" s="50"/>
      <c r="CF404" s="50"/>
      <c r="CG404" s="50"/>
      <c r="CH404" s="50"/>
      <c r="CI404" s="50"/>
      <c r="CJ404" s="50"/>
      <c r="CK404" s="50"/>
      <c r="CL404" s="50"/>
      <c r="CM404" s="50"/>
      <c r="CN404" s="50"/>
      <c r="CO404" s="50"/>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c r="GE404" s="3"/>
      <c r="GF404" s="3"/>
      <c r="GG404" s="3"/>
      <c r="GH404" s="3"/>
      <c r="GI404" s="3"/>
      <c r="GJ404" s="3"/>
      <c r="GK404" s="3"/>
      <c r="GL404" s="3"/>
      <c r="GM404" s="3"/>
      <c r="GN404" s="3"/>
      <c r="GO404" s="3"/>
      <c r="GP404" s="3"/>
      <c r="GQ404" s="3"/>
      <c r="GR404" s="3"/>
      <c r="GS404" s="3"/>
      <c r="GT404" s="3"/>
      <c r="GU404" s="3"/>
      <c r="GV404" s="3"/>
      <c r="GW404" s="3"/>
      <c r="GX404" s="3"/>
      <c r="GY404" s="3"/>
      <c r="GZ404" s="3"/>
      <c r="HA404" s="3"/>
      <c r="HB404" s="3"/>
    </row>
    <row r="405" spans="1:210" ht="15.75" customHeight="1">
      <c r="A405" s="50"/>
      <c r="B405" s="50"/>
      <c r="C405" s="50"/>
      <c r="D405" s="50"/>
      <c r="E405" s="50"/>
      <c r="F405" s="50"/>
      <c r="G405" s="51"/>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c r="BB405" s="50"/>
      <c r="BC405" s="50"/>
      <c r="BD405" s="50"/>
      <c r="BE405" s="50"/>
      <c r="BF405" s="50"/>
      <c r="BG405" s="50"/>
      <c r="BH405" s="50"/>
      <c r="BI405" s="50"/>
      <c r="BJ405" s="50"/>
      <c r="BK405" s="50"/>
      <c r="BL405" s="50"/>
      <c r="BM405" s="50"/>
      <c r="BN405" s="50"/>
      <c r="BO405" s="50"/>
      <c r="BP405" s="50"/>
      <c r="BQ405" s="50"/>
      <c r="BR405" s="50"/>
      <c r="BS405" s="50"/>
      <c r="BT405" s="50"/>
      <c r="BU405" s="50"/>
      <c r="BV405" s="50"/>
      <c r="BW405" s="50"/>
      <c r="BX405" s="50"/>
      <c r="BY405" s="50"/>
      <c r="BZ405" s="50"/>
      <c r="CA405" s="50"/>
      <c r="CB405" s="50"/>
      <c r="CC405" s="50"/>
      <c r="CD405" s="52"/>
      <c r="CE405" s="50"/>
      <c r="CF405" s="50"/>
      <c r="CG405" s="50"/>
      <c r="CH405" s="50"/>
      <c r="CI405" s="50"/>
      <c r="CJ405" s="50"/>
      <c r="CK405" s="50"/>
      <c r="CL405" s="50"/>
      <c r="CM405" s="50"/>
      <c r="CN405" s="50"/>
      <c r="CO405" s="50"/>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c r="GE405" s="3"/>
      <c r="GF405" s="3"/>
      <c r="GG405" s="3"/>
      <c r="GH405" s="3"/>
      <c r="GI405" s="3"/>
      <c r="GJ405" s="3"/>
      <c r="GK405" s="3"/>
      <c r="GL405" s="3"/>
      <c r="GM405" s="3"/>
      <c r="GN405" s="3"/>
      <c r="GO405" s="3"/>
      <c r="GP405" s="3"/>
      <c r="GQ405" s="3"/>
      <c r="GR405" s="3"/>
      <c r="GS405" s="3"/>
      <c r="GT405" s="3"/>
      <c r="GU405" s="3"/>
      <c r="GV405" s="3"/>
      <c r="GW405" s="3"/>
      <c r="GX405" s="3"/>
      <c r="GY405" s="3"/>
      <c r="GZ405" s="3"/>
      <c r="HA405" s="3"/>
      <c r="HB405" s="3"/>
    </row>
    <row r="406" spans="1:210" ht="15.75" customHeight="1">
      <c r="A406" s="50"/>
      <c r="B406" s="50"/>
      <c r="C406" s="50"/>
      <c r="D406" s="50"/>
      <c r="E406" s="50"/>
      <c r="F406" s="50"/>
      <c r="G406" s="51"/>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c r="AR406" s="50"/>
      <c r="AS406" s="50"/>
      <c r="AT406" s="50"/>
      <c r="AU406" s="50"/>
      <c r="AV406" s="50"/>
      <c r="AW406" s="50"/>
      <c r="AX406" s="50"/>
      <c r="AY406" s="50"/>
      <c r="AZ406" s="50"/>
      <c r="BA406" s="50"/>
      <c r="BB406" s="50"/>
      <c r="BC406" s="50"/>
      <c r="BD406" s="50"/>
      <c r="BE406" s="50"/>
      <c r="BF406" s="50"/>
      <c r="BG406" s="50"/>
      <c r="BH406" s="50"/>
      <c r="BI406" s="50"/>
      <c r="BJ406" s="50"/>
      <c r="BK406" s="50"/>
      <c r="BL406" s="50"/>
      <c r="BM406" s="50"/>
      <c r="BN406" s="50"/>
      <c r="BO406" s="50"/>
      <c r="BP406" s="50"/>
      <c r="BQ406" s="50"/>
      <c r="BR406" s="50"/>
      <c r="BS406" s="50"/>
      <c r="BT406" s="50"/>
      <c r="BU406" s="50"/>
      <c r="BV406" s="50"/>
      <c r="BW406" s="50"/>
      <c r="BX406" s="50"/>
      <c r="BY406" s="50"/>
      <c r="BZ406" s="50"/>
      <c r="CA406" s="50"/>
      <c r="CB406" s="50"/>
      <c r="CC406" s="50"/>
      <c r="CD406" s="52"/>
      <c r="CE406" s="50"/>
      <c r="CF406" s="50"/>
      <c r="CG406" s="50"/>
      <c r="CH406" s="50"/>
      <c r="CI406" s="50"/>
      <c r="CJ406" s="50"/>
      <c r="CK406" s="50"/>
      <c r="CL406" s="50"/>
      <c r="CM406" s="50"/>
      <c r="CN406" s="50"/>
      <c r="CO406" s="50"/>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c r="GE406" s="3"/>
      <c r="GF406" s="3"/>
      <c r="GG406" s="3"/>
      <c r="GH406" s="3"/>
      <c r="GI406" s="3"/>
      <c r="GJ406" s="3"/>
      <c r="GK406" s="3"/>
      <c r="GL406" s="3"/>
      <c r="GM406" s="3"/>
      <c r="GN406" s="3"/>
      <c r="GO406" s="3"/>
      <c r="GP406" s="3"/>
      <c r="GQ406" s="3"/>
      <c r="GR406" s="3"/>
      <c r="GS406" s="3"/>
      <c r="GT406" s="3"/>
      <c r="GU406" s="3"/>
      <c r="GV406" s="3"/>
      <c r="GW406" s="3"/>
      <c r="GX406" s="3"/>
      <c r="GY406" s="3"/>
      <c r="GZ406" s="3"/>
      <c r="HA406" s="3"/>
      <c r="HB406" s="3"/>
    </row>
    <row r="407" spans="1:210" ht="15.75" customHeight="1">
      <c r="A407" s="50"/>
      <c r="B407" s="50"/>
      <c r="C407" s="50"/>
      <c r="D407" s="50"/>
      <c r="E407" s="50"/>
      <c r="F407" s="50"/>
      <c r="G407" s="51"/>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c r="AR407" s="50"/>
      <c r="AS407" s="50"/>
      <c r="AT407" s="50"/>
      <c r="AU407" s="50"/>
      <c r="AV407" s="50"/>
      <c r="AW407" s="50"/>
      <c r="AX407" s="50"/>
      <c r="AY407" s="50"/>
      <c r="AZ407" s="50"/>
      <c r="BA407" s="50"/>
      <c r="BB407" s="50"/>
      <c r="BC407" s="50"/>
      <c r="BD407" s="50"/>
      <c r="BE407" s="50"/>
      <c r="BF407" s="50"/>
      <c r="BG407" s="50"/>
      <c r="BH407" s="50"/>
      <c r="BI407" s="50"/>
      <c r="BJ407" s="50"/>
      <c r="BK407" s="50"/>
      <c r="BL407" s="50"/>
      <c r="BM407" s="50"/>
      <c r="BN407" s="50"/>
      <c r="BO407" s="50"/>
      <c r="BP407" s="50"/>
      <c r="BQ407" s="50"/>
      <c r="BR407" s="50"/>
      <c r="BS407" s="50"/>
      <c r="BT407" s="50"/>
      <c r="BU407" s="50"/>
      <c r="BV407" s="50"/>
      <c r="BW407" s="50"/>
      <c r="BX407" s="50"/>
      <c r="BY407" s="50"/>
      <c r="BZ407" s="50"/>
      <c r="CA407" s="50"/>
      <c r="CB407" s="50"/>
      <c r="CC407" s="50"/>
      <c r="CD407" s="52"/>
      <c r="CE407" s="50"/>
      <c r="CF407" s="50"/>
      <c r="CG407" s="50"/>
      <c r="CH407" s="50"/>
      <c r="CI407" s="50"/>
      <c r="CJ407" s="50"/>
      <c r="CK407" s="50"/>
      <c r="CL407" s="50"/>
      <c r="CM407" s="50"/>
      <c r="CN407" s="50"/>
      <c r="CO407" s="50"/>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c r="GE407" s="3"/>
      <c r="GF407" s="3"/>
      <c r="GG407" s="3"/>
      <c r="GH407" s="3"/>
      <c r="GI407" s="3"/>
      <c r="GJ407" s="3"/>
      <c r="GK407" s="3"/>
      <c r="GL407" s="3"/>
      <c r="GM407" s="3"/>
      <c r="GN407" s="3"/>
      <c r="GO407" s="3"/>
      <c r="GP407" s="3"/>
      <c r="GQ407" s="3"/>
      <c r="GR407" s="3"/>
      <c r="GS407" s="3"/>
      <c r="GT407" s="3"/>
      <c r="GU407" s="3"/>
      <c r="GV407" s="3"/>
      <c r="GW407" s="3"/>
      <c r="GX407" s="3"/>
      <c r="GY407" s="3"/>
      <c r="GZ407" s="3"/>
      <c r="HA407" s="3"/>
      <c r="HB407" s="3"/>
    </row>
    <row r="408" spans="1:210" ht="15.75" customHeight="1">
      <c r="A408" s="50"/>
      <c r="B408" s="50"/>
      <c r="C408" s="50"/>
      <c r="D408" s="50"/>
      <c r="E408" s="50"/>
      <c r="F408" s="50"/>
      <c r="G408" s="51"/>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c r="AV408" s="50"/>
      <c r="AW408" s="50"/>
      <c r="AX408" s="50"/>
      <c r="AY408" s="50"/>
      <c r="AZ408" s="50"/>
      <c r="BA408" s="50"/>
      <c r="BB408" s="50"/>
      <c r="BC408" s="50"/>
      <c r="BD408" s="50"/>
      <c r="BE408" s="50"/>
      <c r="BF408" s="50"/>
      <c r="BG408" s="50"/>
      <c r="BH408" s="50"/>
      <c r="BI408" s="50"/>
      <c r="BJ408" s="50"/>
      <c r="BK408" s="50"/>
      <c r="BL408" s="50"/>
      <c r="BM408" s="50"/>
      <c r="BN408" s="50"/>
      <c r="BO408" s="50"/>
      <c r="BP408" s="50"/>
      <c r="BQ408" s="50"/>
      <c r="BR408" s="50"/>
      <c r="BS408" s="50"/>
      <c r="BT408" s="50"/>
      <c r="BU408" s="50"/>
      <c r="BV408" s="50"/>
      <c r="BW408" s="50"/>
      <c r="BX408" s="50"/>
      <c r="BY408" s="50"/>
      <c r="BZ408" s="50"/>
      <c r="CA408" s="50"/>
      <c r="CB408" s="50"/>
      <c r="CC408" s="50"/>
      <c r="CD408" s="52"/>
      <c r="CE408" s="50"/>
      <c r="CF408" s="50"/>
      <c r="CG408" s="50"/>
      <c r="CH408" s="50"/>
      <c r="CI408" s="50"/>
      <c r="CJ408" s="50"/>
      <c r="CK408" s="50"/>
      <c r="CL408" s="50"/>
      <c r="CM408" s="50"/>
      <c r="CN408" s="50"/>
      <c r="CO408" s="50"/>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c r="GE408" s="3"/>
      <c r="GF408" s="3"/>
      <c r="GG408" s="3"/>
      <c r="GH408" s="3"/>
      <c r="GI408" s="3"/>
      <c r="GJ408" s="3"/>
      <c r="GK408" s="3"/>
      <c r="GL408" s="3"/>
      <c r="GM408" s="3"/>
      <c r="GN408" s="3"/>
      <c r="GO408" s="3"/>
      <c r="GP408" s="3"/>
      <c r="GQ408" s="3"/>
      <c r="GR408" s="3"/>
      <c r="GS408" s="3"/>
      <c r="GT408" s="3"/>
      <c r="GU408" s="3"/>
      <c r="GV408" s="3"/>
      <c r="GW408" s="3"/>
      <c r="GX408" s="3"/>
      <c r="GY408" s="3"/>
      <c r="GZ408" s="3"/>
      <c r="HA408" s="3"/>
      <c r="HB408" s="3"/>
    </row>
    <row r="409" spans="1:210" ht="15.75" customHeight="1">
      <c r="A409" s="50"/>
      <c r="B409" s="50"/>
      <c r="C409" s="50"/>
      <c r="D409" s="50"/>
      <c r="E409" s="50"/>
      <c r="F409" s="50"/>
      <c r="G409" s="51"/>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c r="AR409" s="50"/>
      <c r="AS409" s="50"/>
      <c r="AT409" s="50"/>
      <c r="AU409" s="50"/>
      <c r="AV409" s="50"/>
      <c r="AW409" s="50"/>
      <c r="AX409" s="50"/>
      <c r="AY409" s="50"/>
      <c r="AZ409" s="50"/>
      <c r="BA409" s="50"/>
      <c r="BB409" s="50"/>
      <c r="BC409" s="50"/>
      <c r="BD409" s="50"/>
      <c r="BE409" s="50"/>
      <c r="BF409" s="50"/>
      <c r="BG409" s="50"/>
      <c r="BH409" s="50"/>
      <c r="BI409" s="50"/>
      <c r="BJ409" s="50"/>
      <c r="BK409" s="50"/>
      <c r="BL409" s="50"/>
      <c r="BM409" s="50"/>
      <c r="BN409" s="50"/>
      <c r="BO409" s="50"/>
      <c r="BP409" s="50"/>
      <c r="BQ409" s="50"/>
      <c r="BR409" s="50"/>
      <c r="BS409" s="50"/>
      <c r="BT409" s="50"/>
      <c r="BU409" s="50"/>
      <c r="BV409" s="50"/>
      <c r="BW409" s="50"/>
      <c r="BX409" s="50"/>
      <c r="BY409" s="50"/>
      <c r="BZ409" s="50"/>
      <c r="CA409" s="50"/>
      <c r="CB409" s="50"/>
      <c r="CC409" s="50"/>
      <c r="CD409" s="52"/>
      <c r="CE409" s="50"/>
      <c r="CF409" s="50"/>
      <c r="CG409" s="50"/>
      <c r="CH409" s="50"/>
      <c r="CI409" s="50"/>
      <c r="CJ409" s="50"/>
      <c r="CK409" s="50"/>
      <c r="CL409" s="50"/>
      <c r="CM409" s="50"/>
      <c r="CN409" s="50"/>
      <c r="CO409" s="50"/>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c r="GE409" s="3"/>
      <c r="GF409" s="3"/>
      <c r="GG409" s="3"/>
      <c r="GH409" s="3"/>
      <c r="GI409" s="3"/>
      <c r="GJ409" s="3"/>
      <c r="GK409" s="3"/>
      <c r="GL409" s="3"/>
      <c r="GM409" s="3"/>
      <c r="GN409" s="3"/>
      <c r="GO409" s="3"/>
      <c r="GP409" s="3"/>
      <c r="GQ409" s="3"/>
      <c r="GR409" s="3"/>
      <c r="GS409" s="3"/>
      <c r="GT409" s="3"/>
      <c r="GU409" s="3"/>
      <c r="GV409" s="3"/>
      <c r="GW409" s="3"/>
      <c r="GX409" s="3"/>
      <c r="GY409" s="3"/>
      <c r="GZ409" s="3"/>
      <c r="HA409" s="3"/>
      <c r="HB409" s="3"/>
    </row>
    <row r="410" spans="1:210" ht="15.75" customHeight="1">
      <c r="A410" s="50"/>
      <c r="B410" s="50"/>
      <c r="C410" s="50"/>
      <c r="D410" s="50"/>
      <c r="E410" s="50"/>
      <c r="F410" s="50"/>
      <c r="G410" s="51"/>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c r="AR410" s="50"/>
      <c r="AS410" s="50"/>
      <c r="AT410" s="50"/>
      <c r="AU410" s="50"/>
      <c r="AV410" s="50"/>
      <c r="AW410" s="50"/>
      <c r="AX410" s="50"/>
      <c r="AY410" s="50"/>
      <c r="AZ410" s="50"/>
      <c r="BA410" s="50"/>
      <c r="BB410" s="50"/>
      <c r="BC410" s="50"/>
      <c r="BD410" s="50"/>
      <c r="BE410" s="50"/>
      <c r="BF410" s="50"/>
      <c r="BG410" s="50"/>
      <c r="BH410" s="50"/>
      <c r="BI410" s="50"/>
      <c r="BJ410" s="50"/>
      <c r="BK410" s="50"/>
      <c r="BL410" s="50"/>
      <c r="BM410" s="50"/>
      <c r="BN410" s="50"/>
      <c r="BO410" s="50"/>
      <c r="BP410" s="50"/>
      <c r="BQ410" s="50"/>
      <c r="BR410" s="50"/>
      <c r="BS410" s="50"/>
      <c r="BT410" s="50"/>
      <c r="BU410" s="50"/>
      <c r="BV410" s="50"/>
      <c r="BW410" s="50"/>
      <c r="BX410" s="50"/>
      <c r="BY410" s="50"/>
      <c r="BZ410" s="50"/>
      <c r="CA410" s="50"/>
      <c r="CB410" s="50"/>
      <c r="CC410" s="50"/>
      <c r="CD410" s="52"/>
      <c r="CE410" s="50"/>
      <c r="CF410" s="50"/>
      <c r="CG410" s="50"/>
      <c r="CH410" s="50"/>
      <c r="CI410" s="50"/>
      <c r="CJ410" s="50"/>
      <c r="CK410" s="50"/>
      <c r="CL410" s="50"/>
      <c r="CM410" s="50"/>
      <c r="CN410" s="50"/>
      <c r="CO410" s="50"/>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c r="GE410" s="3"/>
      <c r="GF410" s="3"/>
      <c r="GG410" s="3"/>
      <c r="GH410" s="3"/>
      <c r="GI410" s="3"/>
      <c r="GJ410" s="3"/>
      <c r="GK410" s="3"/>
      <c r="GL410" s="3"/>
      <c r="GM410" s="3"/>
      <c r="GN410" s="3"/>
      <c r="GO410" s="3"/>
      <c r="GP410" s="3"/>
      <c r="GQ410" s="3"/>
      <c r="GR410" s="3"/>
      <c r="GS410" s="3"/>
      <c r="GT410" s="3"/>
      <c r="GU410" s="3"/>
      <c r="GV410" s="3"/>
      <c r="GW410" s="3"/>
      <c r="GX410" s="3"/>
      <c r="GY410" s="3"/>
      <c r="GZ410" s="3"/>
      <c r="HA410" s="3"/>
      <c r="HB410" s="3"/>
    </row>
    <row r="411" spans="1:210" ht="15.75" customHeight="1">
      <c r="A411" s="50"/>
      <c r="B411" s="50"/>
      <c r="C411" s="50"/>
      <c r="D411" s="50"/>
      <c r="E411" s="50"/>
      <c r="F411" s="50"/>
      <c r="G411" s="51"/>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c r="AR411" s="50"/>
      <c r="AS411" s="50"/>
      <c r="AT411" s="50"/>
      <c r="AU411" s="50"/>
      <c r="AV411" s="50"/>
      <c r="AW411" s="50"/>
      <c r="AX411" s="50"/>
      <c r="AY411" s="50"/>
      <c r="AZ411" s="50"/>
      <c r="BA411" s="50"/>
      <c r="BB411" s="50"/>
      <c r="BC411" s="50"/>
      <c r="BD411" s="50"/>
      <c r="BE411" s="50"/>
      <c r="BF411" s="50"/>
      <c r="BG411" s="50"/>
      <c r="BH411" s="50"/>
      <c r="BI411" s="50"/>
      <c r="BJ411" s="50"/>
      <c r="BK411" s="50"/>
      <c r="BL411" s="50"/>
      <c r="BM411" s="50"/>
      <c r="BN411" s="50"/>
      <c r="BO411" s="50"/>
      <c r="BP411" s="50"/>
      <c r="BQ411" s="50"/>
      <c r="BR411" s="50"/>
      <c r="BS411" s="50"/>
      <c r="BT411" s="50"/>
      <c r="BU411" s="50"/>
      <c r="BV411" s="50"/>
      <c r="BW411" s="50"/>
      <c r="BX411" s="50"/>
      <c r="BY411" s="50"/>
      <c r="BZ411" s="50"/>
      <c r="CA411" s="50"/>
      <c r="CB411" s="50"/>
      <c r="CC411" s="50"/>
      <c r="CD411" s="52"/>
      <c r="CE411" s="50"/>
      <c r="CF411" s="50"/>
      <c r="CG411" s="50"/>
      <c r="CH411" s="50"/>
      <c r="CI411" s="50"/>
      <c r="CJ411" s="50"/>
      <c r="CK411" s="50"/>
      <c r="CL411" s="50"/>
      <c r="CM411" s="50"/>
      <c r="CN411" s="50"/>
      <c r="CO411" s="50"/>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c r="GE411" s="3"/>
      <c r="GF411" s="3"/>
      <c r="GG411" s="3"/>
      <c r="GH411" s="3"/>
      <c r="GI411" s="3"/>
      <c r="GJ411" s="3"/>
      <c r="GK411" s="3"/>
      <c r="GL411" s="3"/>
      <c r="GM411" s="3"/>
      <c r="GN411" s="3"/>
      <c r="GO411" s="3"/>
      <c r="GP411" s="3"/>
      <c r="GQ411" s="3"/>
      <c r="GR411" s="3"/>
      <c r="GS411" s="3"/>
      <c r="GT411" s="3"/>
      <c r="GU411" s="3"/>
      <c r="GV411" s="3"/>
      <c r="GW411" s="3"/>
      <c r="GX411" s="3"/>
      <c r="GY411" s="3"/>
      <c r="GZ411" s="3"/>
      <c r="HA411" s="3"/>
      <c r="HB411" s="3"/>
    </row>
    <row r="412" spans="1:210" ht="15.75" customHeight="1">
      <c r="A412" s="50"/>
      <c r="B412" s="50"/>
      <c r="C412" s="50"/>
      <c r="D412" s="50"/>
      <c r="E412" s="50"/>
      <c r="F412" s="50"/>
      <c r="G412" s="51"/>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c r="AR412" s="50"/>
      <c r="AS412" s="50"/>
      <c r="AT412" s="50"/>
      <c r="AU412" s="50"/>
      <c r="AV412" s="50"/>
      <c r="AW412" s="50"/>
      <c r="AX412" s="50"/>
      <c r="AY412" s="50"/>
      <c r="AZ412" s="50"/>
      <c r="BA412" s="50"/>
      <c r="BB412" s="50"/>
      <c r="BC412" s="50"/>
      <c r="BD412" s="50"/>
      <c r="BE412" s="50"/>
      <c r="BF412" s="50"/>
      <c r="BG412" s="50"/>
      <c r="BH412" s="50"/>
      <c r="BI412" s="50"/>
      <c r="BJ412" s="50"/>
      <c r="BK412" s="50"/>
      <c r="BL412" s="50"/>
      <c r="BM412" s="50"/>
      <c r="BN412" s="50"/>
      <c r="BO412" s="50"/>
      <c r="BP412" s="50"/>
      <c r="BQ412" s="50"/>
      <c r="BR412" s="50"/>
      <c r="BS412" s="50"/>
      <c r="BT412" s="50"/>
      <c r="BU412" s="50"/>
      <c r="BV412" s="50"/>
      <c r="BW412" s="50"/>
      <c r="BX412" s="50"/>
      <c r="BY412" s="50"/>
      <c r="BZ412" s="50"/>
      <c r="CA412" s="50"/>
      <c r="CB412" s="50"/>
      <c r="CC412" s="50"/>
      <c r="CD412" s="52"/>
      <c r="CE412" s="50"/>
      <c r="CF412" s="50"/>
      <c r="CG412" s="50"/>
      <c r="CH412" s="50"/>
      <c r="CI412" s="50"/>
      <c r="CJ412" s="50"/>
      <c r="CK412" s="50"/>
      <c r="CL412" s="50"/>
      <c r="CM412" s="50"/>
      <c r="CN412" s="50"/>
      <c r="CO412" s="50"/>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c r="GE412" s="3"/>
      <c r="GF412" s="3"/>
      <c r="GG412" s="3"/>
      <c r="GH412" s="3"/>
      <c r="GI412" s="3"/>
      <c r="GJ412" s="3"/>
      <c r="GK412" s="3"/>
      <c r="GL412" s="3"/>
      <c r="GM412" s="3"/>
      <c r="GN412" s="3"/>
      <c r="GO412" s="3"/>
      <c r="GP412" s="3"/>
      <c r="GQ412" s="3"/>
      <c r="GR412" s="3"/>
      <c r="GS412" s="3"/>
      <c r="GT412" s="3"/>
      <c r="GU412" s="3"/>
      <c r="GV412" s="3"/>
      <c r="GW412" s="3"/>
      <c r="GX412" s="3"/>
      <c r="GY412" s="3"/>
      <c r="GZ412" s="3"/>
      <c r="HA412" s="3"/>
      <c r="HB412" s="3"/>
    </row>
    <row r="413" spans="1:210" ht="15.75" customHeight="1">
      <c r="A413" s="50"/>
      <c r="B413" s="50"/>
      <c r="C413" s="50"/>
      <c r="D413" s="50"/>
      <c r="E413" s="50"/>
      <c r="F413" s="50"/>
      <c r="G413" s="51"/>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c r="AR413" s="50"/>
      <c r="AS413" s="50"/>
      <c r="AT413" s="50"/>
      <c r="AU413" s="50"/>
      <c r="AV413" s="50"/>
      <c r="AW413" s="50"/>
      <c r="AX413" s="50"/>
      <c r="AY413" s="50"/>
      <c r="AZ413" s="50"/>
      <c r="BA413" s="50"/>
      <c r="BB413" s="50"/>
      <c r="BC413" s="50"/>
      <c r="BD413" s="50"/>
      <c r="BE413" s="50"/>
      <c r="BF413" s="50"/>
      <c r="BG413" s="50"/>
      <c r="BH413" s="50"/>
      <c r="BI413" s="50"/>
      <c r="BJ413" s="50"/>
      <c r="BK413" s="50"/>
      <c r="BL413" s="50"/>
      <c r="BM413" s="50"/>
      <c r="BN413" s="50"/>
      <c r="BO413" s="50"/>
      <c r="BP413" s="50"/>
      <c r="BQ413" s="50"/>
      <c r="BR413" s="50"/>
      <c r="BS413" s="50"/>
      <c r="BT413" s="50"/>
      <c r="BU413" s="50"/>
      <c r="BV413" s="50"/>
      <c r="BW413" s="50"/>
      <c r="BX413" s="50"/>
      <c r="BY413" s="50"/>
      <c r="BZ413" s="50"/>
      <c r="CA413" s="50"/>
      <c r="CB413" s="50"/>
      <c r="CC413" s="50"/>
      <c r="CD413" s="52"/>
      <c r="CE413" s="50"/>
      <c r="CF413" s="50"/>
      <c r="CG413" s="50"/>
      <c r="CH413" s="50"/>
      <c r="CI413" s="50"/>
      <c r="CJ413" s="50"/>
      <c r="CK413" s="50"/>
      <c r="CL413" s="50"/>
      <c r="CM413" s="50"/>
      <c r="CN413" s="50"/>
      <c r="CO413" s="50"/>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row>
    <row r="414" spans="1:210" ht="15.75" customHeight="1">
      <c r="A414" s="50"/>
      <c r="B414" s="50"/>
      <c r="C414" s="50"/>
      <c r="D414" s="50"/>
      <c r="E414" s="50"/>
      <c r="F414" s="50"/>
      <c r="G414" s="51"/>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c r="AR414" s="50"/>
      <c r="AS414" s="50"/>
      <c r="AT414" s="50"/>
      <c r="AU414" s="50"/>
      <c r="AV414" s="50"/>
      <c r="AW414" s="50"/>
      <c r="AX414" s="50"/>
      <c r="AY414" s="50"/>
      <c r="AZ414" s="50"/>
      <c r="BA414" s="50"/>
      <c r="BB414" s="50"/>
      <c r="BC414" s="50"/>
      <c r="BD414" s="50"/>
      <c r="BE414" s="50"/>
      <c r="BF414" s="50"/>
      <c r="BG414" s="50"/>
      <c r="BH414" s="50"/>
      <c r="BI414" s="50"/>
      <c r="BJ414" s="50"/>
      <c r="BK414" s="50"/>
      <c r="BL414" s="50"/>
      <c r="BM414" s="50"/>
      <c r="BN414" s="50"/>
      <c r="BO414" s="50"/>
      <c r="BP414" s="50"/>
      <c r="BQ414" s="50"/>
      <c r="BR414" s="50"/>
      <c r="BS414" s="50"/>
      <c r="BT414" s="50"/>
      <c r="BU414" s="50"/>
      <c r="BV414" s="50"/>
      <c r="BW414" s="50"/>
      <c r="BX414" s="50"/>
      <c r="BY414" s="50"/>
      <c r="BZ414" s="50"/>
      <c r="CA414" s="50"/>
      <c r="CB414" s="50"/>
      <c r="CC414" s="50"/>
      <c r="CD414" s="52"/>
      <c r="CE414" s="50"/>
      <c r="CF414" s="50"/>
      <c r="CG414" s="50"/>
      <c r="CH414" s="50"/>
      <c r="CI414" s="50"/>
      <c r="CJ414" s="50"/>
      <c r="CK414" s="50"/>
      <c r="CL414" s="50"/>
      <c r="CM414" s="50"/>
      <c r="CN414" s="50"/>
      <c r="CO414" s="50"/>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c r="GE414" s="3"/>
      <c r="GF414" s="3"/>
      <c r="GG414" s="3"/>
      <c r="GH414" s="3"/>
      <c r="GI414" s="3"/>
      <c r="GJ414" s="3"/>
      <c r="GK414" s="3"/>
      <c r="GL414" s="3"/>
      <c r="GM414" s="3"/>
      <c r="GN414" s="3"/>
      <c r="GO414" s="3"/>
      <c r="GP414" s="3"/>
      <c r="GQ414" s="3"/>
      <c r="GR414" s="3"/>
      <c r="GS414" s="3"/>
      <c r="GT414" s="3"/>
      <c r="GU414" s="3"/>
      <c r="GV414" s="3"/>
      <c r="GW414" s="3"/>
      <c r="GX414" s="3"/>
      <c r="GY414" s="3"/>
      <c r="GZ414" s="3"/>
      <c r="HA414" s="3"/>
      <c r="HB414" s="3"/>
    </row>
    <row r="415" spans="1:210" ht="15.75" customHeight="1">
      <c r="A415" s="50"/>
      <c r="B415" s="50"/>
      <c r="C415" s="50"/>
      <c r="D415" s="50"/>
      <c r="E415" s="50"/>
      <c r="F415" s="50"/>
      <c r="G415" s="51"/>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c r="AR415" s="50"/>
      <c r="AS415" s="50"/>
      <c r="AT415" s="50"/>
      <c r="AU415" s="50"/>
      <c r="AV415" s="50"/>
      <c r="AW415" s="50"/>
      <c r="AX415" s="50"/>
      <c r="AY415" s="50"/>
      <c r="AZ415" s="50"/>
      <c r="BA415" s="50"/>
      <c r="BB415" s="50"/>
      <c r="BC415" s="50"/>
      <c r="BD415" s="50"/>
      <c r="BE415" s="50"/>
      <c r="BF415" s="50"/>
      <c r="BG415" s="50"/>
      <c r="BH415" s="50"/>
      <c r="BI415" s="50"/>
      <c r="BJ415" s="50"/>
      <c r="BK415" s="50"/>
      <c r="BL415" s="50"/>
      <c r="BM415" s="50"/>
      <c r="BN415" s="50"/>
      <c r="BO415" s="50"/>
      <c r="BP415" s="50"/>
      <c r="BQ415" s="50"/>
      <c r="BR415" s="50"/>
      <c r="BS415" s="50"/>
      <c r="BT415" s="50"/>
      <c r="BU415" s="50"/>
      <c r="BV415" s="50"/>
      <c r="BW415" s="50"/>
      <c r="BX415" s="50"/>
      <c r="BY415" s="50"/>
      <c r="BZ415" s="50"/>
      <c r="CA415" s="50"/>
      <c r="CB415" s="50"/>
      <c r="CC415" s="50"/>
      <c r="CD415" s="52"/>
      <c r="CE415" s="50"/>
      <c r="CF415" s="50"/>
      <c r="CG415" s="50"/>
      <c r="CH415" s="50"/>
      <c r="CI415" s="50"/>
      <c r="CJ415" s="50"/>
      <c r="CK415" s="50"/>
      <c r="CL415" s="50"/>
      <c r="CM415" s="50"/>
      <c r="CN415" s="50"/>
      <c r="CO415" s="50"/>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c r="GE415" s="3"/>
      <c r="GF415" s="3"/>
      <c r="GG415" s="3"/>
      <c r="GH415" s="3"/>
      <c r="GI415" s="3"/>
      <c r="GJ415" s="3"/>
      <c r="GK415" s="3"/>
      <c r="GL415" s="3"/>
      <c r="GM415" s="3"/>
      <c r="GN415" s="3"/>
      <c r="GO415" s="3"/>
      <c r="GP415" s="3"/>
      <c r="GQ415" s="3"/>
      <c r="GR415" s="3"/>
      <c r="GS415" s="3"/>
      <c r="GT415" s="3"/>
      <c r="GU415" s="3"/>
      <c r="GV415" s="3"/>
      <c r="GW415" s="3"/>
      <c r="GX415" s="3"/>
      <c r="GY415" s="3"/>
      <c r="GZ415" s="3"/>
      <c r="HA415" s="3"/>
      <c r="HB415" s="3"/>
    </row>
    <row r="416" spans="1:210" ht="15.75" customHeight="1">
      <c r="A416" s="50"/>
      <c r="B416" s="50"/>
      <c r="C416" s="50"/>
      <c r="D416" s="50"/>
      <c r="E416" s="50"/>
      <c r="F416" s="50"/>
      <c r="G416" s="51"/>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c r="AR416" s="50"/>
      <c r="AS416" s="50"/>
      <c r="AT416" s="50"/>
      <c r="AU416" s="50"/>
      <c r="AV416" s="50"/>
      <c r="AW416" s="50"/>
      <c r="AX416" s="50"/>
      <c r="AY416" s="50"/>
      <c r="AZ416" s="50"/>
      <c r="BA416" s="50"/>
      <c r="BB416" s="50"/>
      <c r="BC416" s="50"/>
      <c r="BD416" s="50"/>
      <c r="BE416" s="50"/>
      <c r="BF416" s="50"/>
      <c r="BG416" s="50"/>
      <c r="BH416" s="50"/>
      <c r="BI416" s="50"/>
      <c r="BJ416" s="50"/>
      <c r="BK416" s="50"/>
      <c r="BL416" s="50"/>
      <c r="BM416" s="50"/>
      <c r="BN416" s="50"/>
      <c r="BO416" s="50"/>
      <c r="BP416" s="50"/>
      <c r="BQ416" s="50"/>
      <c r="BR416" s="50"/>
      <c r="BS416" s="50"/>
      <c r="BT416" s="50"/>
      <c r="BU416" s="50"/>
      <c r="BV416" s="50"/>
      <c r="BW416" s="50"/>
      <c r="BX416" s="50"/>
      <c r="BY416" s="50"/>
      <c r="BZ416" s="50"/>
      <c r="CA416" s="50"/>
      <c r="CB416" s="50"/>
      <c r="CC416" s="50"/>
      <c r="CD416" s="52"/>
      <c r="CE416" s="50"/>
      <c r="CF416" s="50"/>
      <c r="CG416" s="50"/>
      <c r="CH416" s="50"/>
      <c r="CI416" s="50"/>
      <c r="CJ416" s="50"/>
      <c r="CK416" s="50"/>
      <c r="CL416" s="50"/>
      <c r="CM416" s="50"/>
      <c r="CN416" s="50"/>
      <c r="CO416" s="50"/>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c r="GE416" s="3"/>
      <c r="GF416" s="3"/>
      <c r="GG416" s="3"/>
      <c r="GH416" s="3"/>
      <c r="GI416" s="3"/>
      <c r="GJ416" s="3"/>
      <c r="GK416" s="3"/>
      <c r="GL416" s="3"/>
      <c r="GM416" s="3"/>
      <c r="GN416" s="3"/>
      <c r="GO416" s="3"/>
      <c r="GP416" s="3"/>
      <c r="GQ416" s="3"/>
      <c r="GR416" s="3"/>
      <c r="GS416" s="3"/>
      <c r="GT416" s="3"/>
      <c r="GU416" s="3"/>
      <c r="GV416" s="3"/>
      <c r="GW416" s="3"/>
      <c r="GX416" s="3"/>
      <c r="GY416" s="3"/>
      <c r="GZ416" s="3"/>
      <c r="HA416" s="3"/>
      <c r="HB416" s="3"/>
    </row>
    <row r="417" spans="1:210" ht="15.75" customHeight="1">
      <c r="A417" s="50"/>
      <c r="B417" s="50"/>
      <c r="C417" s="50"/>
      <c r="D417" s="50"/>
      <c r="E417" s="50"/>
      <c r="F417" s="50"/>
      <c r="G417" s="51"/>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c r="AR417" s="50"/>
      <c r="AS417" s="50"/>
      <c r="AT417" s="50"/>
      <c r="AU417" s="50"/>
      <c r="AV417" s="50"/>
      <c r="AW417" s="50"/>
      <c r="AX417" s="50"/>
      <c r="AY417" s="50"/>
      <c r="AZ417" s="50"/>
      <c r="BA417" s="50"/>
      <c r="BB417" s="50"/>
      <c r="BC417" s="50"/>
      <c r="BD417" s="50"/>
      <c r="BE417" s="50"/>
      <c r="BF417" s="50"/>
      <c r="BG417" s="50"/>
      <c r="BH417" s="50"/>
      <c r="BI417" s="50"/>
      <c r="BJ417" s="50"/>
      <c r="BK417" s="50"/>
      <c r="BL417" s="50"/>
      <c r="BM417" s="50"/>
      <c r="BN417" s="50"/>
      <c r="BO417" s="50"/>
      <c r="BP417" s="50"/>
      <c r="BQ417" s="50"/>
      <c r="BR417" s="50"/>
      <c r="BS417" s="50"/>
      <c r="BT417" s="50"/>
      <c r="BU417" s="50"/>
      <c r="BV417" s="50"/>
      <c r="BW417" s="50"/>
      <c r="BX417" s="50"/>
      <c r="BY417" s="50"/>
      <c r="BZ417" s="50"/>
      <c r="CA417" s="50"/>
      <c r="CB417" s="50"/>
      <c r="CC417" s="50"/>
      <c r="CD417" s="52"/>
      <c r="CE417" s="50"/>
      <c r="CF417" s="50"/>
      <c r="CG417" s="50"/>
      <c r="CH417" s="50"/>
      <c r="CI417" s="50"/>
      <c r="CJ417" s="50"/>
      <c r="CK417" s="50"/>
      <c r="CL417" s="50"/>
      <c r="CM417" s="50"/>
      <c r="CN417" s="50"/>
      <c r="CO417" s="50"/>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c r="GE417" s="3"/>
      <c r="GF417" s="3"/>
      <c r="GG417" s="3"/>
      <c r="GH417" s="3"/>
      <c r="GI417" s="3"/>
      <c r="GJ417" s="3"/>
      <c r="GK417" s="3"/>
      <c r="GL417" s="3"/>
      <c r="GM417" s="3"/>
      <c r="GN417" s="3"/>
      <c r="GO417" s="3"/>
      <c r="GP417" s="3"/>
      <c r="GQ417" s="3"/>
      <c r="GR417" s="3"/>
      <c r="GS417" s="3"/>
      <c r="GT417" s="3"/>
      <c r="GU417" s="3"/>
      <c r="GV417" s="3"/>
      <c r="GW417" s="3"/>
      <c r="GX417" s="3"/>
      <c r="GY417" s="3"/>
      <c r="GZ417" s="3"/>
      <c r="HA417" s="3"/>
      <c r="HB417" s="3"/>
    </row>
    <row r="418" spans="1:210" ht="15.75" customHeight="1">
      <c r="A418" s="50"/>
      <c r="B418" s="50"/>
      <c r="C418" s="50"/>
      <c r="D418" s="50"/>
      <c r="E418" s="50"/>
      <c r="F418" s="50"/>
      <c r="G418" s="51"/>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c r="AR418" s="50"/>
      <c r="AS418" s="50"/>
      <c r="AT418" s="50"/>
      <c r="AU418" s="50"/>
      <c r="AV418" s="50"/>
      <c r="AW418" s="50"/>
      <c r="AX418" s="50"/>
      <c r="AY418" s="50"/>
      <c r="AZ418" s="50"/>
      <c r="BA418" s="50"/>
      <c r="BB418" s="50"/>
      <c r="BC418" s="50"/>
      <c r="BD418" s="50"/>
      <c r="BE418" s="50"/>
      <c r="BF418" s="50"/>
      <c r="BG418" s="50"/>
      <c r="BH418" s="50"/>
      <c r="BI418" s="50"/>
      <c r="BJ418" s="50"/>
      <c r="BK418" s="50"/>
      <c r="BL418" s="50"/>
      <c r="BM418" s="50"/>
      <c r="BN418" s="50"/>
      <c r="BO418" s="50"/>
      <c r="BP418" s="50"/>
      <c r="BQ418" s="50"/>
      <c r="BR418" s="50"/>
      <c r="BS418" s="50"/>
      <c r="BT418" s="50"/>
      <c r="BU418" s="50"/>
      <c r="BV418" s="50"/>
      <c r="BW418" s="50"/>
      <c r="BX418" s="50"/>
      <c r="BY418" s="50"/>
      <c r="BZ418" s="50"/>
      <c r="CA418" s="50"/>
      <c r="CB418" s="50"/>
      <c r="CC418" s="50"/>
      <c r="CD418" s="52"/>
      <c r="CE418" s="50"/>
      <c r="CF418" s="50"/>
      <c r="CG418" s="50"/>
      <c r="CH418" s="50"/>
      <c r="CI418" s="50"/>
      <c r="CJ418" s="50"/>
      <c r="CK418" s="50"/>
      <c r="CL418" s="50"/>
      <c r="CM418" s="50"/>
      <c r="CN418" s="50"/>
      <c r="CO418" s="50"/>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c r="GE418" s="3"/>
      <c r="GF418" s="3"/>
      <c r="GG418" s="3"/>
      <c r="GH418" s="3"/>
      <c r="GI418" s="3"/>
      <c r="GJ418" s="3"/>
      <c r="GK418" s="3"/>
      <c r="GL418" s="3"/>
      <c r="GM418" s="3"/>
      <c r="GN418" s="3"/>
      <c r="GO418" s="3"/>
      <c r="GP418" s="3"/>
      <c r="GQ418" s="3"/>
      <c r="GR418" s="3"/>
      <c r="GS418" s="3"/>
      <c r="GT418" s="3"/>
      <c r="GU418" s="3"/>
      <c r="GV418" s="3"/>
      <c r="GW418" s="3"/>
      <c r="GX418" s="3"/>
      <c r="GY418" s="3"/>
      <c r="GZ418" s="3"/>
      <c r="HA418" s="3"/>
      <c r="HB418" s="3"/>
    </row>
    <row r="419" spans="1:210" ht="15.75" customHeight="1">
      <c r="A419" s="50"/>
      <c r="B419" s="50"/>
      <c r="C419" s="50"/>
      <c r="D419" s="50"/>
      <c r="E419" s="50"/>
      <c r="F419" s="50"/>
      <c r="G419" s="51"/>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c r="AR419" s="50"/>
      <c r="AS419" s="50"/>
      <c r="AT419" s="50"/>
      <c r="AU419" s="50"/>
      <c r="AV419" s="50"/>
      <c r="AW419" s="50"/>
      <c r="AX419" s="50"/>
      <c r="AY419" s="50"/>
      <c r="AZ419" s="50"/>
      <c r="BA419" s="50"/>
      <c r="BB419" s="50"/>
      <c r="BC419" s="50"/>
      <c r="BD419" s="50"/>
      <c r="BE419" s="50"/>
      <c r="BF419" s="50"/>
      <c r="BG419" s="50"/>
      <c r="BH419" s="50"/>
      <c r="BI419" s="50"/>
      <c r="BJ419" s="50"/>
      <c r="BK419" s="50"/>
      <c r="BL419" s="50"/>
      <c r="BM419" s="50"/>
      <c r="BN419" s="50"/>
      <c r="BO419" s="50"/>
      <c r="BP419" s="50"/>
      <c r="BQ419" s="50"/>
      <c r="BR419" s="50"/>
      <c r="BS419" s="50"/>
      <c r="BT419" s="50"/>
      <c r="BU419" s="50"/>
      <c r="BV419" s="50"/>
      <c r="BW419" s="50"/>
      <c r="BX419" s="50"/>
      <c r="BY419" s="50"/>
      <c r="BZ419" s="50"/>
      <c r="CA419" s="50"/>
      <c r="CB419" s="50"/>
      <c r="CC419" s="50"/>
      <c r="CD419" s="52"/>
      <c r="CE419" s="50"/>
      <c r="CF419" s="50"/>
      <c r="CG419" s="50"/>
      <c r="CH419" s="50"/>
      <c r="CI419" s="50"/>
      <c r="CJ419" s="50"/>
      <c r="CK419" s="50"/>
      <c r="CL419" s="50"/>
      <c r="CM419" s="50"/>
      <c r="CN419" s="50"/>
      <c r="CO419" s="50"/>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c r="GE419" s="3"/>
      <c r="GF419" s="3"/>
      <c r="GG419" s="3"/>
      <c r="GH419" s="3"/>
      <c r="GI419" s="3"/>
      <c r="GJ419" s="3"/>
      <c r="GK419" s="3"/>
      <c r="GL419" s="3"/>
      <c r="GM419" s="3"/>
      <c r="GN419" s="3"/>
      <c r="GO419" s="3"/>
      <c r="GP419" s="3"/>
      <c r="GQ419" s="3"/>
      <c r="GR419" s="3"/>
      <c r="GS419" s="3"/>
      <c r="GT419" s="3"/>
      <c r="GU419" s="3"/>
      <c r="GV419" s="3"/>
      <c r="GW419" s="3"/>
      <c r="GX419" s="3"/>
      <c r="GY419" s="3"/>
      <c r="GZ419" s="3"/>
      <c r="HA419" s="3"/>
      <c r="HB419" s="3"/>
    </row>
    <row r="420" spans="1:210" ht="15.75" customHeight="1">
      <c r="A420" s="50"/>
      <c r="B420" s="50"/>
      <c r="C420" s="50"/>
      <c r="D420" s="50"/>
      <c r="E420" s="50"/>
      <c r="F420" s="50"/>
      <c r="G420" s="51"/>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c r="AR420" s="50"/>
      <c r="AS420" s="50"/>
      <c r="AT420" s="50"/>
      <c r="AU420" s="50"/>
      <c r="AV420" s="50"/>
      <c r="AW420" s="50"/>
      <c r="AX420" s="50"/>
      <c r="AY420" s="50"/>
      <c r="AZ420" s="50"/>
      <c r="BA420" s="50"/>
      <c r="BB420" s="50"/>
      <c r="BC420" s="50"/>
      <c r="BD420" s="50"/>
      <c r="BE420" s="50"/>
      <c r="BF420" s="50"/>
      <c r="BG420" s="50"/>
      <c r="BH420" s="50"/>
      <c r="BI420" s="50"/>
      <c r="BJ420" s="50"/>
      <c r="BK420" s="50"/>
      <c r="BL420" s="50"/>
      <c r="BM420" s="50"/>
      <c r="BN420" s="50"/>
      <c r="BO420" s="50"/>
      <c r="BP420" s="50"/>
      <c r="BQ420" s="50"/>
      <c r="BR420" s="50"/>
      <c r="BS420" s="50"/>
      <c r="BT420" s="50"/>
      <c r="BU420" s="50"/>
      <c r="BV420" s="50"/>
      <c r="BW420" s="50"/>
      <c r="BX420" s="50"/>
      <c r="BY420" s="50"/>
      <c r="BZ420" s="50"/>
      <c r="CA420" s="50"/>
      <c r="CB420" s="50"/>
      <c r="CC420" s="50"/>
      <c r="CD420" s="52"/>
      <c r="CE420" s="50"/>
      <c r="CF420" s="50"/>
      <c r="CG420" s="50"/>
      <c r="CH420" s="50"/>
      <c r="CI420" s="50"/>
      <c r="CJ420" s="50"/>
      <c r="CK420" s="50"/>
      <c r="CL420" s="50"/>
      <c r="CM420" s="50"/>
      <c r="CN420" s="50"/>
      <c r="CO420" s="50"/>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c r="GE420" s="3"/>
      <c r="GF420" s="3"/>
      <c r="GG420" s="3"/>
      <c r="GH420" s="3"/>
      <c r="GI420" s="3"/>
      <c r="GJ420" s="3"/>
      <c r="GK420" s="3"/>
      <c r="GL420" s="3"/>
      <c r="GM420" s="3"/>
      <c r="GN420" s="3"/>
      <c r="GO420" s="3"/>
      <c r="GP420" s="3"/>
      <c r="GQ420" s="3"/>
      <c r="GR420" s="3"/>
      <c r="GS420" s="3"/>
      <c r="GT420" s="3"/>
      <c r="GU420" s="3"/>
      <c r="GV420" s="3"/>
      <c r="GW420" s="3"/>
      <c r="GX420" s="3"/>
      <c r="GY420" s="3"/>
      <c r="GZ420" s="3"/>
      <c r="HA420" s="3"/>
      <c r="HB420" s="3"/>
    </row>
    <row r="421" spans="1:210" ht="15.75" customHeight="1">
      <c r="A421" s="50"/>
      <c r="B421" s="50"/>
      <c r="C421" s="50"/>
      <c r="D421" s="50"/>
      <c r="E421" s="50"/>
      <c r="F421" s="50"/>
      <c r="G421" s="51"/>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c r="AR421" s="50"/>
      <c r="AS421" s="50"/>
      <c r="AT421" s="50"/>
      <c r="AU421" s="50"/>
      <c r="AV421" s="50"/>
      <c r="AW421" s="50"/>
      <c r="AX421" s="50"/>
      <c r="AY421" s="50"/>
      <c r="AZ421" s="50"/>
      <c r="BA421" s="50"/>
      <c r="BB421" s="50"/>
      <c r="BC421" s="50"/>
      <c r="BD421" s="50"/>
      <c r="BE421" s="50"/>
      <c r="BF421" s="50"/>
      <c r="BG421" s="50"/>
      <c r="BH421" s="50"/>
      <c r="BI421" s="50"/>
      <c r="BJ421" s="50"/>
      <c r="BK421" s="50"/>
      <c r="BL421" s="50"/>
      <c r="BM421" s="50"/>
      <c r="BN421" s="50"/>
      <c r="BO421" s="50"/>
      <c r="BP421" s="50"/>
      <c r="BQ421" s="50"/>
      <c r="BR421" s="50"/>
      <c r="BS421" s="50"/>
      <c r="BT421" s="50"/>
      <c r="BU421" s="50"/>
      <c r="BV421" s="50"/>
      <c r="BW421" s="50"/>
      <c r="BX421" s="50"/>
      <c r="BY421" s="50"/>
      <c r="BZ421" s="50"/>
      <c r="CA421" s="50"/>
      <c r="CB421" s="50"/>
      <c r="CC421" s="50"/>
      <c r="CD421" s="52"/>
      <c r="CE421" s="50"/>
      <c r="CF421" s="50"/>
      <c r="CG421" s="50"/>
      <c r="CH421" s="50"/>
      <c r="CI421" s="50"/>
      <c r="CJ421" s="50"/>
      <c r="CK421" s="50"/>
      <c r="CL421" s="50"/>
      <c r="CM421" s="50"/>
      <c r="CN421" s="50"/>
      <c r="CO421" s="50"/>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c r="GE421" s="3"/>
      <c r="GF421" s="3"/>
      <c r="GG421" s="3"/>
      <c r="GH421" s="3"/>
      <c r="GI421" s="3"/>
      <c r="GJ421" s="3"/>
      <c r="GK421" s="3"/>
      <c r="GL421" s="3"/>
      <c r="GM421" s="3"/>
      <c r="GN421" s="3"/>
      <c r="GO421" s="3"/>
      <c r="GP421" s="3"/>
      <c r="GQ421" s="3"/>
      <c r="GR421" s="3"/>
      <c r="GS421" s="3"/>
      <c r="GT421" s="3"/>
      <c r="GU421" s="3"/>
      <c r="GV421" s="3"/>
      <c r="GW421" s="3"/>
      <c r="GX421" s="3"/>
      <c r="GY421" s="3"/>
      <c r="GZ421" s="3"/>
      <c r="HA421" s="3"/>
      <c r="HB421" s="3"/>
    </row>
    <row r="422" spans="1:210" ht="15.75" customHeight="1">
      <c r="A422" s="50"/>
      <c r="B422" s="50"/>
      <c r="C422" s="50"/>
      <c r="D422" s="50"/>
      <c r="E422" s="50"/>
      <c r="F422" s="50"/>
      <c r="G422" s="51"/>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c r="AS422" s="50"/>
      <c r="AT422" s="50"/>
      <c r="AU422" s="50"/>
      <c r="AV422" s="50"/>
      <c r="AW422" s="50"/>
      <c r="AX422" s="50"/>
      <c r="AY422" s="50"/>
      <c r="AZ422" s="50"/>
      <c r="BA422" s="50"/>
      <c r="BB422" s="50"/>
      <c r="BC422" s="50"/>
      <c r="BD422" s="50"/>
      <c r="BE422" s="50"/>
      <c r="BF422" s="50"/>
      <c r="BG422" s="50"/>
      <c r="BH422" s="50"/>
      <c r="BI422" s="50"/>
      <c r="BJ422" s="50"/>
      <c r="BK422" s="50"/>
      <c r="BL422" s="50"/>
      <c r="BM422" s="50"/>
      <c r="BN422" s="50"/>
      <c r="BO422" s="50"/>
      <c r="BP422" s="50"/>
      <c r="BQ422" s="50"/>
      <c r="BR422" s="50"/>
      <c r="BS422" s="50"/>
      <c r="BT422" s="50"/>
      <c r="BU422" s="50"/>
      <c r="BV422" s="50"/>
      <c r="BW422" s="50"/>
      <c r="BX422" s="50"/>
      <c r="BY422" s="50"/>
      <c r="BZ422" s="50"/>
      <c r="CA422" s="50"/>
      <c r="CB422" s="50"/>
      <c r="CC422" s="50"/>
      <c r="CD422" s="52"/>
      <c r="CE422" s="50"/>
      <c r="CF422" s="50"/>
      <c r="CG422" s="50"/>
      <c r="CH422" s="50"/>
      <c r="CI422" s="50"/>
      <c r="CJ422" s="50"/>
      <c r="CK422" s="50"/>
      <c r="CL422" s="50"/>
      <c r="CM422" s="50"/>
      <c r="CN422" s="50"/>
      <c r="CO422" s="50"/>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c r="GE422" s="3"/>
      <c r="GF422" s="3"/>
      <c r="GG422" s="3"/>
      <c r="GH422" s="3"/>
      <c r="GI422" s="3"/>
      <c r="GJ422" s="3"/>
      <c r="GK422" s="3"/>
      <c r="GL422" s="3"/>
      <c r="GM422" s="3"/>
      <c r="GN422" s="3"/>
      <c r="GO422" s="3"/>
      <c r="GP422" s="3"/>
      <c r="GQ422" s="3"/>
      <c r="GR422" s="3"/>
      <c r="GS422" s="3"/>
      <c r="GT422" s="3"/>
      <c r="GU422" s="3"/>
      <c r="GV422" s="3"/>
      <c r="GW422" s="3"/>
      <c r="GX422" s="3"/>
      <c r="GY422" s="3"/>
      <c r="GZ422" s="3"/>
      <c r="HA422" s="3"/>
      <c r="HB422" s="3"/>
    </row>
    <row r="423" spans="1:210" ht="15.75" customHeight="1">
      <c r="A423" s="50"/>
      <c r="B423" s="50"/>
      <c r="C423" s="50"/>
      <c r="D423" s="50"/>
      <c r="E423" s="50"/>
      <c r="F423" s="50"/>
      <c r="G423" s="51"/>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c r="AS423" s="50"/>
      <c r="AT423" s="50"/>
      <c r="AU423" s="50"/>
      <c r="AV423" s="50"/>
      <c r="AW423" s="50"/>
      <c r="AX423" s="50"/>
      <c r="AY423" s="50"/>
      <c r="AZ423" s="50"/>
      <c r="BA423" s="50"/>
      <c r="BB423" s="50"/>
      <c r="BC423" s="50"/>
      <c r="BD423" s="50"/>
      <c r="BE423" s="50"/>
      <c r="BF423" s="50"/>
      <c r="BG423" s="50"/>
      <c r="BH423" s="50"/>
      <c r="BI423" s="50"/>
      <c r="BJ423" s="50"/>
      <c r="BK423" s="50"/>
      <c r="BL423" s="50"/>
      <c r="BM423" s="50"/>
      <c r="BN423" s="50"/>
      <c r="BO423" s="50"/>
      <c r="BP423" s="50"/>
      <c r="BQ423" s="50"/>
      <c r="BR423" s="50"/>
      <c r="BS423" s="50"/>
      <c r="BT423" s="50"/>
      <c r="BU423" s="50"/>
      <c r="BV423" s="50"/>
      <c r="BW423" s="50"/>
      <c r="BX423" s="50"/>
      <c r="BY423" s="50"/>
      <c r="BZ423" s="50"/>
      <c r="CA423" s="50"/>
      <c r="CB423" s="50"/>
      <c r="CC423" s="50"/>
      <c r="CD423" s="52"/>
      <c r="CE423" s="50"/>
      <c r="CF423" s="50"/>
      <c r="CG423" s="50"/>
      <c r="CH423" s="50"/>
      <c r="CI423" s="50"/>
      <c r="CJ423" s="50"/>
      <c r="CK423" s="50"/>
      <c r="CL423" s="50"/>
      <c r="CM423" s="50"/>
      <c r="CN423" s="50"/>
      <c r="CO423" s="50"/>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c r="GE423" s="3"/>
      <c r="GF423" s="3"/>
      <c r="GG423" s="3"/>
      <c r="GH423" s="3"/>
      <c r="GI423" s="3"/>
      <c r="GJ423" s="3"/>
      <c r="GK423" s="3"/>
      <c r="GL423" s="3"/>
      <c r="GM423" s="3"/>
      <c r="GN423" s="3"/>
      <c r="GO423" s="3"/>
      <c r="GP423" s="3"/>
      <c r="GQ423" s="3"/>
      <c r="GR423" s="3"/>
      <c r="GS423" s="3"/>
      <c r="GT423" s="3"/>
      <c r="GU423" s="3"/>
      <c r="GV423" s="3"/>
      <c r="GW423" s="3"/>
      <c r="GX423" s="3"/>
      <c r="GY423" s="3"/>
      <c r="GZ423" s="3"/>
      <c r="HA423" s="3"/>
      <c r="HB423" s="3"/>
    </row>
    <row r="424" spans="1:210" ht="15.75" customHeight="1">
      <c r="A424" s="50"/>
      <c r="B424" s="50"/>
      <c r="C424" s="50"/>
      <c r="D424" s="50"/>
      <c r="E424" s="50"/>
      <c r="F424" s="50"/>
      <c r="G424" s="51"/>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c r="AV424" s="50"/>
      <c r="AW424" s="50"/>
      <c r="AX424" s="50"/>
      <c r="AY424" s="50"/>
      <c r="AZ424" s="50"/>
      <c r="BA424" s="50"/>
      <c r="BB424" s="50"/>
      <c r="BC424" s="50"/>
      <c r="BD424" s="50"/>
      <c r="BE424" s="50"/>
      <c r="BF424" s="50"/>
      <c r="BG424" s="50"/>
      <c r="BH424" s="50"/>
      <c r="BI424" s="50"/>
      <c r="BJ424" s="50"/>
      <c r="BK424" s="50"/>
      <c r="BL424" s="50"/>
      <c r="BM424" s="50"/>
      <c r="BN424" s="50"/>
      <c r="BO424" s="50"/>
      <c r="BP424" s="50"/>
      <c r="BQ424" s="50"/>
      <c r="BR424" s="50"/>
      <c r="BS424" s="50"/>
      <c r="BT424" s="50"/>
      <c r="BU424" s="50"/>
      <c r="BV424" s="50"/>
      <c r="BW424" s="50"/>
      <c r="BX424" s="50"/>
      <c r="BY424" s="50"/>
      <c r="BZ424" s="50"/>
      <c r="CA424" s="50"/>
      <c r="CB424" s="50"/>
      <c r="CC424" s="50"/>
      <c r="CD424" s="52"/>
      <c r="CE424" s="50"/>
      <c r="CF424" s="50"/>
      <c r="CG424" s="50"/>
      <c r="CH424" s="50"/>
      <c r="CI424" s="50"/>
      <c r="CJ424" s="50"/>
      <c r="CK424" s="50"/>
      <c r="CL424" s="50"/>
      <c r="CM424" s="50"/>
      <c r="CN424" s="50"/>
      <c r="CO424" s="50"/>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c r="GE424" s="3"/>
      <c r="GF424" s="3"/>
      <c r="GG424" s="3"/>
      <c r="GH424" s="3"/>
      <c r="GI424" s="3"/>
      <c r="GJ424" s="3"/>
      <c r="GK424" s="3"/>
      <c r="GL424" s="3"/>
      <c r="GM424" s="3"/>
      <c r="GN424" s="3"/>
      <c r="GO424" s="3"/>
      <c r="GP424" s="3"/>
      <c r="GQ424" s="3"/>
      <c r="GR424" s="3"/>
      <c r="GS424" s="3"/>
      <c r="GT424" s="3"/>
      <c r="GU424" s="3"/>
      <c r="GV424" s="3"/>
      <c r="GW424" s="3"/>
      <c r="GX424" s="3"/>
      <c r="GY424" s="3"/>
      <c r="GZ424" s="3"/>
      <c r="HA424" s="3"/>
      <c r="HB424" s="3"/>
    </row>
    <row r="425" spans="1:210" ht="15.75" customHeight="1">
      <c r="A425" s="50"/>
      <c r="B425" s="50"/>
      <c r="C425" s="50"/>
      <c r="D425" s="50"/>
      <c r="E425" s="50"/>
      <c r="F425" s="50"/>
      <c r="G425" s="51"/>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c r="AS425" s="50"/>
      <c r="AT425" s="50"/>
      <c r="AU425" s="50"/>
      <c r="AV425" s="50"/>
      <c r="AW425" s="50"/>
      <c r="AX425" s="50"/>
      <c r="AY425" s="50"/>
      <c r="AZ425" s="50"/>
      <c r="BA425" s="50"/>
      <c r="BB425" s="50"/>
      <c r="BC425" s="50"/>
      <c r="BD425" s="50"/>
      <c r="BE425" s="50"/>
      <c r="BF425" s="50"/>
      <c r="BG425" s="50"/>
      <c r="BH425" s="50"/>
      <c r="BI425" s="50"/>
      <c r="BJ425" s="50"/>
      <c r="BK425" s="50"/>
      <c r="BL425" s="50"/>
      <c r="BM425" s="50"/>
      <c r="BN425" s="50"/>
      <c r="BO425" s="50"/>
      <c r="BP425" s="50"/>
      <c r="BQ425" s="50"/>
      <c r="BR425" s="50"/>
      <c r="BS425" s="50"/>
      <c r="BT425" s="50"/>
      <c r="BU425" s="50"/>
      <c r="BV425" s="50"/>
      <c r="BW425" s="50"/>
      <c r="BX425" s="50"/>
      <c r="BY425" s="50"/>
      <c r="BZ425" s="50"/>
      <c r="CA425" s="50"/>
      <c r="CB425" s="50"/>
      <c r="CC425" s="50"/>
      <c r="CD425" s="52"/>
      <c r="CE425" s="50"/>
      <c r="CF425" s="50"/>
      <c r="CG425" s="50"/>
      <c r="CH425" s="50"/>
      <c r="CI425" s="50"/>
      <c r="CJ425" s="50"/>
      <c r="CK425" s="50"/>
      <c r="CL425" s="50"/>
      <c r="CM425" s="50"/>
      <c r="CN425" s="50"/>
      <c r="CO425" s="50"/>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row>
    <row r="426" spans="1:210" ht="15.75" customHeight="1">
      <c r="A426" s="50"/>
      <c r="B426" s="50"/>
      <c r="C426" s="50"/>
      <c r="D426" s="50"/>
      <c r="E426" s="50"/>
      <c r="F426" s="50"/>
      <c r="G426" s="51"/>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c r="AV426" s="50"/>
      <c r="AW426" s="50"/>
      <c r="AX426" s="50"/>
      <c r="AY426" s="50"/>
      <c r="AZ426" s="50"/>
      <c r="BA426" s="50"/>
      <c r="BB426" s="50"/>
      <c r="BC426" s="50"/>
      <c r="BD426" s="50"/>
      <c r="BE426" s="50"/>
      <c r="BF426" s="50"/>
      <c r="BG426" s="50"/>
      <c r="BH426" s="50"/>
      <c r="BI426" s="50"/>
      <c r="BJ426" s="50"/>
      <c r="BK426" s="50"/>
      <c r="BL426" s="50"/>
      <c r="BM426" s="50"/>
      <c r="BN426" s="50"/>
      <c r="BO426" s="50"/>
      <c r="BP426" s="50"/>
      <c r="BQ426" s="50"/>
      <c r="BR426" s="50"/>
      <c r="BS426" s="50"/>
      <c r="BT426" s="50"/>
      <c r="BU426" s="50"/>
      <c r="BV426" s="50"/>
      <c r="BW426" s="50"/>
      <c r="BX426" s="50"/>
      <c r="BY426" s="50"/>
      <c r="BZ426" s="50"/>
      <c r="CA426" s="50"/>
      <c r="CB426" s="50"/>
      <c r="CC426" s="50"/>
      <c r="CD426" s="52"/>
      <c r="CE426" s="50"/>
      <c r="CF426" s="50"/>
      <c r="CG426" s="50"/>
      <c r="CH426" s="50"/>
      <c r="CI426" s="50"/>
      <c r="CJ426" s="50"/>
      <c r="CK426" s="50"/>
      <c r="CL426" s="50"/>
      <c r="CM426" s="50"/>
      <c r="CN426" s="50"/>
      <c r="CO426" s="50"/>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row>
    <row r="427" spans="1:210" ht="15.75" customHeight="1">
      <c r="A427" s="50"/>
      <c r="B427" s="50"/>
      <c r="C427" s="50"/>
      <c r="D427" s="50"/>
      <c r="E427" s="50"/>
      <c r="F427" s="50"/>
      <c r="G427" s="51"/>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c r="AV427" s="50"/>
      <c r="AW427" s="50"/>
      <c r="AX427" s="50"/>
      <c r="AY427" s="50"/>
      <c r="AZ427" s="50"/>
      <c r="BA427" s="50"/>
      <c r="BB427" s="50"/>
      <c r="BC427" s="50"/>
      <c r="BD427" s="50"/>
      <c r="BE427" s="50"/>
      <c r="BF427" s="50"/>
      <c r="BG427" s="50"/>
      <c r="BH427" s="50"/>
      <c r="BI427" s="50"/>
      <c r="BJ427" s="50"/>
      <c r="BK427" s="50"/>
      <c r="BL427" s="50"/>
      <c r="BM427" s="50"/>
      <c r="BN427" s="50"/>
      <c r="BO427" s="50"/>
      <c r="BP427" s="50"/>
      <c r="BQ427" s="50"/>
      <c r="BR427" s="50"/>
      <c r="BS427" s="50"/>
      <c r="BT427" s="50"/>
      <c r="BU427" s="50"/>
      <c r="BV427" s="50"/>
      <c r="BW427" s="50"/>
      <c r="BX427" s="50"/>
      <c r="BY427" s="50"/>
      <c r="BZ427" s="50"/>
      <c r="CA427" s="50"/>
      <c r="CB427" s="50"/>
      <c r="CC427" s="50"/>
      <c r="CD427" s="52"/>
      <c r="CE427" s="50"/>
      <c r="CF427" s="50"/>
      <c r="CG427" s="50"/>
      <c r="CH427" s="50"/>
      <c r="CI427" s="50"/>
      <c r="CJ427" s="50"/>
      <c r="CK427" s="50"/>
      <c r="CL427" s="50"/>
      <c r="CM427" s="50"/>
      <c r="CN427" s="50"/>
      <c r="CO427" s="50"/>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row>
    <row r="428" spans="1:210" ht="15.75" customHeight="1">
      <c r="A428" s="50"/>
      <c r="B428" s="50"/>
      <c r="C428" s="50"/>
      <c r="D428" s="50"/>
      <c r="E428" s="50"/>
      <c r="F428" s="50"/>
      <c r="G428" s="51"/>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c r="AR428" s="50"/>
      <c r="AS428" s="50"/>
      <c r="AT428" s="50"/>
      <c r="AU428" s="50"/>
      <c r="AV428" s="50"/>
      <c r="AW428" s="50"/>
      <c r="AX428" s="50"/>
      <c r="AY428" s="50"/>
      <c r="AZ428" s="50"/>
      <c r="BA428" s="50"/>
      <c r="BB428" s="50"/>
      <c r="BC428" s="50"/>
      <c r="BD428" s="50"/>
      <c r="BE428" s="50"/>
      <c r="BF428" s="50"/>
      <c r="BG428" s="50"/>
      <c r="BH428" s="50"/>
      <c r="BI428" s="50"/>
      <c r="BJ428" s="50"/>
      <c r="BK428" s="50"/>
      <c r="BL428" s="50"/>
      <c r="BM428" s="50"/>
      <c r="BN428" s="50"/>
      <c r="BO428" s="50"/>
      <c r="BP428" s="50"/>
      <c r="BQ428" s="50"/>
      <c r="BR428" s="50"/>
      <c r="BS428" s="50"/>
      <c r="BT428" s="50"/>
      <c r="BU428" s="50"/>
      <c r="BV428" s="50"/>
      <c r="BW428" s="50"/>
      <c r="BX428" s="50"/>
      <c r="BY428" s="50"/>
      <c r="BZ428" s="50"/>
      <c r="CA428" s="50"/>
      <c r="CB428" s="50"/>
      <c r="CC428" s="50"/>
      <c r="CD428" s="52"/>
      <c r="CE428" s="50"/>
      <c r="CF428" s="50"/>
      <c r="CG428" s="50"/>
      <c r="CH428" s="50"/>
      <c r="CI428" s="50"/>
      <c r="CJ428" s="50"/>
      <c r="CK428" s="50"/>
      <c r="CL428" s="50"/>
      <c r="CM428" s="50"/>
      <c r="CN428" s="50"/>
      <c r="CO428" s="50"/>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c r="GE428" s="3"/>
      <c r="GF428" s="3"/>
      <c r="GG428" s="3"/>
      <c r="GH428" s="3"/>
      <c r="GI428" s="3"/>
      <c r="GJ428" s="3"/>
      <c r="GK428" s="3"/>
      <c r="GL428" s="3"/>
      <c r="GM428" s="3"/>
      <c r="GN428" s="3"/>
      <c r="GO428" s="3"/>
      <c r="GP428" s="3"/>
      <c r="GQ428" s="3"/>
      <c r="GR428" s="3"/>
      <c r="GS428" s="3"/>
      <c r="GT428" s="3"/>
      <c r="GU428" s="3"/>
      <c r="GV428" s="3"/>
      <c r="GW428" s="3"/>
      <c r="GX428" s="3"/>
      <c r="GY428" s="3"/>
      <c r="GZ428" s="3"/>
      <c r="HA428" s="3"/>
      <c r="HB428" s="3"/>
    </row>
    <row r="429" spans="1:210" ht="15.75" customHeight="1">
      <c r="A429" s="50"/>
      <c r="B429" s="50"/>
      <c r="C429" s="50"/>
      <c r="D429" s="50"/>
      <c r="E429" s="50"/>
      <c r="F429" s="50"/>
      <c r="G429" s="51"/>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c r="AS429" s="50"/>
      <c r="AT429" s="50"/>
      <c r="AU429" s="50"/>
      <c r="AV429" s="50"/>
      <c r="AW429" s="50"/>
      <c r="AX429" s="50"/>
      <c r="AY429" s="50"/>
      <c r="AZ429" s="50"/>
      <c r="BA429" s="50"/>
      <c r="BB429" s="50"/>
      <c r="BC429" s="50"/>
      <c r="BD429" s="50"/>
      <c r="BE429" s="50"/>
      <c r="BF429" s="50"/>
      <c r="BG429" s="50"/>
      <c r="BH429" s="50"/>
      <c r="BI429" s="50"/>
      <c r="BJ429" s="50"/>
      <c r="BK429" s="50"/>
      <c r="BL429" s="50"/>
      <c r="BM429" s="50"/>
      <c r="BN429" s="50"/>
      <c r="BO429" s="50"/>
      <c r="BP429" s="50"/>
      <c r="BQ429" s="50"/>
      <c r="BR429" s="50"/>
      <c r="BS429" s="50"/>
      <c r="BT429" s="50"/>
      <c r="BU429" s="50"/>
      <c r="BV429" s="50"/>
      <c r="BW429" s="50"/>
      <c r="BX429" s="50"/>
      <c r="BY429" s="50"/>
      <c r="BZ429" s="50"/>
      <c r="CA429" s="50"/>
      <c r="CB429" s="50"/>
      <c r="CC429" s="50"/>
      <c r="CD429" s="52"/>
      <c r="CE429" s="50"/>
      <c r="CF429" s="50"/>
      <c r="CG429" s="50"/>
      <c r="CH429" s="50"/>
      <c r="CI429" s="50"/>
      <c r="CJ429" s="50"/>
      <c r="CK429" s="50"/>
      <c r="CL429" s="50"/>
      <c r="CM429" s="50"/>
      <c r="CN429" s="50"/>
      <c r="CO429" s="50"/>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row>
    <row r="430" spans="1:210" ht="15.75" customHeight="1">
      <c r="A430" s="50"/>
      <c r="B430" s="50"/>
      <c r="C430" s="50"/>
      <c r="D430" s="50"/>
      <c r="E430" s="50"/>
      <c r="F430" s="50"/>
      <c r="G430" s="51"/>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c r="AS430" s="50"/>
      <c r="AT430" s="50"/>
      <c r="AU430" s="50"/>
      <c r="AV430" s="50"/>
      <c r="AW430" s="50"/>
      <c r="AX430" s="50"/>
      <c r="AY430" s="50"/>
      <c r="AZ430" s="50"/>
      <c r="BA430" s="50"/>
      <c r="BB430" s="50"/>
      <c r="BC430" s="50"/>
      <c r="BD430" s="50"/>
      <c r="BE430" s="50"/>
      <c r="BF430" s="50"/>
      <c r="BG430" s="50"/>
      <c r="BH430" s="50"/>
      <c r="BI430" s="50"/>
      <c r="BJ430" s="50"/>
      <c r="BK430" s="50"/>
      <c r="BL430" s="50"/>
      <c r="BM430" s="50"/>
      <c r="BN430" s="50"/>
      <c r="BO430" s="50"/>
      <c r="BP430" s="50"/>
      <c r="BQ430" s="50"/>
      <c r="BR430" s="50"/>
      <c r="BS430" s="50"/>
      <c r="BT430" s="50"/>
      <c r="BU430" s="50"/>
      <c r="BV430" s="50"/>
      <c r="BW430" s="50"/>
      <c r="BX430" s="50"/>
      <c r="BY430" s="50"/>
      <c r="BZ430" s="50"/>
      <c r="CA430" s="50"/>
      <c r="CB430" s="50"/>
      <c r="CC430" s="50"/>
      <c r="CD430" s="52"/>
      <c r="CE430" s="50"/>
      <c r="CF430" s="50"/>
      <c r="CG430" s="50"/>
      <c r="CH430" s="50"/>
      <c r="CI430" s="50"/>
      <c r="CJ430" s="50"/>
      <c r="CK430" s="50"/>
      <c r="CL430" s="50"/>
      <c r="CM430" s="50"/>
      <c r="CN430" s="50"/>
      <c r="CO430" s="50"/>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row>
    <row r="431" spans="1:210" ht="15.75" customHeight="1">
      <c r="A431" s="50"/>
      <c r="B431" s="50"/>
      <c r="C431" s="50"/>
      <c r="D431" s="50"/>
      <c r="E431" s="50"/>
      <c r="F431" s="50"/>
      <c r="G431" s="51"/>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c r="AS431" s="50"/>
      <c r="AT431" s="50"/>
      <c r="AU431" s="50"/>
      <c r="AV431" s="50"/>
      <c r="AW431" s="50"/>
      <c r="AX431" s="50"/>
      <c r="AY431" s="50"/>
      <c r="AZ431" s="50"/>
      <c r="BA431" s="50"/>
      <c r="BB431" s="50"/>
      <c r="BC431" s="50"/>
      <c r="BD431" s="50"/>
      <c r="BE431" s="50"/>
      <c r="BF431" s="50"/>
      <c r="BG431" s="50"/>
      <c r="BH431" s="50"/>
      <c r="BI431" s="50"/>
      <c r="BJ431" s="50"/>
      <c r="BK431" s="50"/>
      <c r="BL431" s="50"/>
      <c r="BM431" s="50"/>
      <c r="BN431" s="50"/>
      <c r="BO431" s="50"/>
      <c r="BP431" s="50"/>
      <c r="BQ431" s="50"/>
      <c r="BR431" s="50"/>
      <c r="BS431" s="50"/>
      <c r="BT431" s="50"/>
      <c r="BU431" s="50"/>
      <c r="BV431" s="50"/>
      <c r="BW431" s="50"/>
      <c r="BX431" s="50"/>
      <c r="BY431" s="50"/>
      <c r="BZ431" s="50"/>
      <c r="CA431" s="50"/>
      <c r="CB431" s="50"/>
      <c r="CC431" s="50"/>
      <c r="CD431" s="52"/>
      <c r="CE431" s="50"/>
      <c r="CF431" s="50"/>
      <c r="CG431" s="50"/>
      <c r="CH431" s="50"/>
      <c r="CI431" s="50"/>
      <c r="CJ431" s="50"/>
      <c r="CK431" s="50"/>
      <c r="CL431" s="50"/>
      <c r="CM431" s="50"/>
      <c r="CN431" s="50"/>
      <c r="CO431" s="50"/>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c r="GE431" s="3"/>
      <c r="GF431" s="3"/>
      <c r="GG431" s="3"/>
      <c r="GH431" s="3"/>
      <c r="GI431" s="3"/>
      <c r="GJ431" s="3"/>
      <c r="GK431" s="3"/>
      <c r="GL431" s="3"/>
      <c r="GM431" s="3"/>
      <c r="GN431" s="3"/>
      <c r="GO431" s="3"/>
      <c r="GP431" s="3"/>
      <c r="GQ431" s="3"/>
      <c r="GR431" s="3"/>
      <c r="GS431" s="3"/>
      <c r="GT431" s="3"/>
      <c r="GU431" s="3"/>
      <c r="GV431" s="3"/>
      <c r="GW431" s="3"/>
      <c r="GX431" s="3"/>
      <c r="GY431" s="3"/>
      <c r="GZ431" s="3"/>
      <c r="HA431" s="3"/>
      <c r="HB431" s="3"/>
    </row>
    <row r="432" spans="1:210" ht="15.75" customHeight="1">
      <c r="A432" s="50"/>
      <c r="B432" s="50"/>
      <c r="C432" s="50"/>
      <c r="D432" s="50"/>
      <c r="E432" s="50"/>
      <c r="F432" s="50"/>
      <c r="G432" s="51"/>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c r="AS432" s="50"/>
      <c r="AT432" s="50"/>
      <c r="AU432" s="50"/>
      <c r="AV432" s="50"/>
      <c r="AW432" s="50"/>
      <c r="AX432" s="50"/>
      <c r="AY432" s="50"/>
      <c r="AZ432" s="50"/>
      <c r="BA432" s="50"/>
      <c r="BB432" s="50"/>
      <c r="BC432" s="50"/>
      <c r="BD432" s="50"/>
      <c r="BE432" s="50"/>
      <c r="BF432" s="50"/>
      <c r="BG432" s="50"/>
      <c r="BH432" s="50"/>
      <c r="BI432" s="50"/>
      <c r="BJ432" s="50"/>
      <c r="BK432" s="50"/>
      <c r="BL432" s="50"/>
      <c r="BM432" s="50"/>
      <c r="BN432" s="50"/>
      <c r="BO432" s="50"/>
      <c r="BP432" s="50"/>
      <c r="BQ432" s="50"/>
      <c r="BR432" s="50"/>
      <c r="BS432" s="50"/>
      <c r="BT432" s="50"/>
      <c r="BU432" s="50"/>
      <c r="BV432" s="50"/>
      <c r="BW432" s="50"/>
      <c r="BX432" s="50"/>
      <c r="BY432" s="50"/>
      <c r="BZ432" s="50"/>
      <c r="CA432" s="50"/>
      <c r="CB432" s="50"/>
      <c r="CC432" s="50"/>
      <c r="CD432" s="52"/>
      <c r="CE432" s="50"/>
      <c r="CF432" s="50"/>
      <c r="CG432" s="50"/>
      <c r="CH432" s="50"/>
      <c r="CI432" s="50"/>
      <c r="CJ432" s="50"/>
      <c r="CK432" s="50"/>
      <c r="CL432" s="50"/>
      <c r="CM432" s="50"/>
      <c r="CN432" s="50"/>
      <c r="CO432" s="50"/>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c r="GE432" s="3"/>
      <c r="GF432" s="3"/>
      <c r="GG432" s="3"/>
      <c r="GH432" s="3"/>
      <c r="GI432" s="3"/>
      <c r="GJ432" s="3"/>
      <c r="GK432" s="3"/>
      <c r="GL432" s="3"/>
      <c r="GM432" s="3"/>
      <c r="GN432" s="3"/>
      <c r="GO432" s="3"/>
      <c r="GP432" s="3"/>
      <c r="GQ432" s="3"/>
      <c r="GR432" s="3"/>
      <c r="GS432" s="3"/>
      <c r="GT432" s="3"/>
      <c r="GU432" s="3"/>
      <c r="GV432" s="3"/>
      <c r="GW432" s="3"/>
      <c r="GX432" s="3"/>
      <c r="GY432" s="3"/>
      <c r="GZ432" s="3"/>
      <c r="HA432" s="3"/>
      <c r="HB432" s="3"/>
    </row>
    <row r="433" spans="1:210" ht="15.75" customHeight="1">
      <c r="A433" s="50"/>
      <c r="B433" s="50"/>
      <c r="C433" s="50"/>
      <c r="D433" s="50"/>
      <c r="E433" s="50"/>
      <c r="F433" s="50"/>
      <c r="G433" s="51"/>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c r="AS433" s="50"/>
      <c r="AT433" s="50"/>
      <c r="AU433" s="50"/>
      <c r="AV433" s="50"/>
      <c r="AW433" s="50"/>
      <c r="AX433" s="50"/>
      <c r="AY433" s="50"/>
      <c r="AZ433" s="50"/>
      <c r="BA433" s="50"/>
      <c r="BB433" s="50"/>
      <c r="BC433" s="50"/>
      <c r="BD433" s="50"/>
      <c r="BE433" s="50"/>
      <c r="BF433" s="50"/>
      <c r="BG433" s="50"/>
      <c r="BH433" s="50"/>
      <c r="BI433" s="50"/>
      <c r="BJ433" s="50"/>
      <c r="BK433" s="50"/>
      <c r="BL433" s="50"/>
      <c r="BM433" s="50"/>
      <c r="BN433" s="50"/>
      <c r="BO433" s="50"/>
      <c r="BP433" s="50"/>
      <c r="BQ433" s="50"/>
      <c r="BR433" s="50"/>
      <c r="BS433" s="50"/>
      <c r="BT433" s="50"/>
      <c r="BU433" s="50"/>
      <c r="BV433" s="50"/>
      <c r="BW433" s="50"/>
      <c r="BX433" s="50"/>
      <c r="BY433" s="50"/>
      <c r="BZ433" s="50"/>
      <c r="CA433" s="50"/>
      <c r="CB433" s="50"/>
      <c r="CC433" s="50"/>
      <c r="CD433" s="52"/>
      <c r="CE433" s="50"/>
      <c r="CF433" s="50"/>
      <c r="CG433" s="50"/>
      <c r="CH433" s="50"/>
      <c r="CI433" s="50"/>
      <c r="CJ433" s="50"/>
      <c r="CK433" s="50"/>
      <c r="CL433" s="50"/>
      <c r="CM433" s="50"/>
      <c r="CN433" s="50"/>
      <c r="CO433" s="50"/>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c r="GE433" s="3"/>
      <c r="GF433" s="3"/>
      <c r="GG433" s="3"/>
      <c r="GH433" s="3"/>
      <c r="GI433" s="3"/>
      <c r="GJ433" s="3"/>
      <c r="GK433" s="3"/>
      <c r="GL433" s="3"/>
      <c r="GM433" s="3"/>
      <c r="GN433" s="3"/>
      <c r="GO433" s="3"/>
      <c r="GP433" s="3"/>
      <c r="GQ433" s="3"/>
      <c r="GR433" s="3"/>
      <c r="GS433" s="3"/>
      <c r="GT433" s="3"/>
      <c r="GU433" s="3"/>
      <c r="GV433" s="3"/>
      <c r="GW433" s="3"/>
      <c r="GX433" s="3"/>
      <c r="GY433" s="3"/>
      <c r="GZ433" s="3"/>
      <c r="HA433" s="3"/>
      <c r="HB433" s="3"/>
    </row>
    <row r="434" spans="1:210" ht="15.75" customHeight="1">
      <c r="A434" s="50"/>
      <c r="B434" s="50"/>
      <c r="C434" s="50"/>
      <c r="D434" s="50"/>
      <c r="E434" s="50"/>
      <c r="F434" s="50"/>
      <c r="G434" s="51"/>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c r="AS434" s="50"/>
      <c r="AT434" s="50"/>
      <c r="AU434" s="50"/>
      <c r="AV434" s="50"/>
      <c r="AW434" s="50"/>
      <c r="AX434" s="50"/>
      <c r="AY434" s="50"/>
      <c r="AZ434" s="50"/>
      <c r="BA434" s="50"/>
      <c r="BB434" s="50"/>
      <c r="BC434" s="50"/>
      <c r="BD434" s="50"/>
      <c r="BE434" s="50"/>
      <c r="BF434" s="50"/>
      <c r="BG434" s="50"/>
      <c r="BH434" s="50"/>
      <c r="BI434" s="50"/>
      <c r="BJ434" s="50"/>
      <c r="BK434" s="50"/>
      <c r="BL434" s="50"/>
      <c r="BM434" s="50"/>
      <c r="BN434" s="50"/>
      <c r="BO434" s="50"/>
      <c r="BP434" s="50"/>
      <c r="BQ434" s="50"/>
      <c r="BR434" s="50"/>
      <c r="BS434" s="50"/>
      <c r="BT434" s="50"/>
      <c r="BU434" s="50"/>
      <c r="BV434" s="50"/>
      <c r="BW434" s="50"/>
      <c r="BX434" s="50"/>
      <c r="BY434" s="50"/>
      <c r="BZ434" s="50"/>
      <c r="CA434" s="50"/>
      <c r="CB434" s="50"/>
      <c r="CC434" s="50"/>
      <c r="CD434" s="52"/>
      <c r="CE434" s="50"/>
      <c r="CF434" s="50"/>
      <c r="CG434" s="50"/>
      <c r="CH434" s="50"/>
      <c r="CI434" s="50"/>
      <c r="CJ434" s="50"/>
      <c r="CK434" s="50"/>
      <c r="CL434" s="50"/>
      <c r="CM434" s="50"/>
      <c r="CN434" s="50"/>
      <c r="CO434" s="50"/>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c r="GE434" s="3"/>
      <c r="GF434" s="3"/>
      <c r="GG434" s="3"/>
      <c r="GH434" s="3"/>
      <c r="GI434" s="3"/>
      <c r="GJ434" s="3"/>
      <c r="GK434" s="3"/>
      <c r="GL434" s="3"/>
      <c r="GM434" s="3"/>
      <c r="GN434" s="3"/>
      <c r="GO434" s="3"/>
      <c r="GP434" s="3"/>
      <c r="GQ434" s="3"/>
      <c r="GR434" s="3"/>
      <c r="GS434" s="3"/>
      <c r="GT434" s="3"/>
      <c r="GU434" s="3"/>
      <c r="GV434" s="3"/>
      <c r="GW434" s="3"/>
      <c r="GX434" s="3"/>
      <c r="GY434" s="3"/>
      <c r="GZ434" s="3"/>
      <c r="HA434" s="3"/>
      <c r="HB434" s="3"/>
    </row>
    <row r="435" spans="1:210" ht="15.75" customHeight="1">
      <c r="A435" s="50"/>
      <c r="B435" s="50"/>
      <c r="C435" s="50"/>
      <c r="D435" s="50"/>
      <c r="E435" s="50"/>
      <c r="F435" s="50"/>
      <c r="G435" s="51"/>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c r="AR435" s="50"/>
      <c r="AS435" s="50"/>
      <c r="AT435" s="50"/>
      <c r="AU435" s="50"/>
      <c r="AV435" s="50"/>
      <c r="AW435" s="50"/>
      <c r="AX435" s="50"/>
      <c r="AY435" s="50"/>
      <c r="AZ435" s="50"/>
      <c r="BA435" s="50"/>
      <c r="BB435" s="50"/>
      <c r="BC435" s="50"/>
      <c r="BD435" s="50"/>
      <c r="BE435" s="50"/>
      <c r="BF435" s="50"/>
      <c r="BG435" s="50"/>
      <c r="BH435" s="50"/>
      <c r="BI435" s="50"/>
      <c r="BJ435" s="50"/>
      <c r="BK435" s="50"/>
      <c r="BL435" s="50"/>
      <c r="BM435" s="50"/>
      <c r="BN435" s="50"/>
      <c r="BO435" s="50"/>
      <c r="BP435" s="50"/>
      <c r="BQ435" s="50"/>
      <c r="BR435" s="50"/>
      <c r="BS435" s="50"/>
      <c r="BT435" s="50"/>
      <c r="BU435" s="50"/>
      <c r="BV435" s="50"/>
      <c r="BW435" s="50"/>
      <c r="BX435" s="50"/>
      <c r="BY435" s="50"/>
      <c r="BZ435" s="50"/>
      <c r="CA435" s="50"/>
      <c r="CB435" s="50"/>
      <c r="CC435" s="50"/>
      <c r="CD435" s="52"/>
      <c r="CE435" s="50"/>
      <c r="CF435" s="50"/>
      <c r="CG435" s="50"/>
      <c r="CH435" s="50"/>
      <c r="CI435" s="50"/>
      <c r="CJ435" s="50"/>
      <c r="CK435" s="50"/>
      <c r="CL435" s="50"/>
      <c r="CM435" s="50"/>
      <c r="CN435" s="50"/>
      <c r="CO435" s="50"/>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row>
    <row r="436" spans="1:210" ht="15.75" customHeight="1">
      <c r="A436" s="50"/>
      <c r="B436" s="50"/>
      <c r="C436" s="50"/>
      <c r="D436" s="50"/>
      <c r="E436" s="50"/>
      <c r="F436" s="50"/>
      <c r="G436" s="51"/>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c r="AS436" s="50"/>
      <c r="AT436" s="50"/>
      <c r="AU436" s="50"/>
      <c r="AV436" s="50"/>
      <c r="AW436" s="50"/>
      <c r="AX436" s="50"/>
      <c r="AY436" s="50"/>
      <c r="AZ436" s="50"/>
      <c r="BA436" s="50"/>
      <c r="BB436" s="50"/>
      <c r="BC436" s="50"/>
      <c r="BD436" s="50"/>
      <c r="BE436" s="50"/>
      <c r="BF436" s="50"/>
      <c r="BG436" s="50"/>
      <c r="BH436" s="50"/>
      <c r="BI436" s="50"/>
      <c r="BJ436" s="50"/>
      <c r="BK436" s="50"/>
      <c r="BL436" s="50"/>
      <c r="BM436" s="50"/>
      <c r="BN436" s="50"/>
      <c r="BO436" s="50"/>
      <c r="BP436" s="50"/>
      <c r="BQ436" s="50"/>
      <c r="BR436" s="50"/>
      <c r="BS436" s="50"/>
      <c r="BT436" s="50"/>
      <c r="BU436" s="50"/>
      <c r="BV436" s="50"/>
      <c r="BW436" s="50"/>
      <c r="BX436" s="50"/>
      <c r="BY436" s="50"/>
      <c r="BZ436" s="50"/>
      <c r="CA436" s="50"/>
      <c r="CB436" s="50"/>
      <c r="CC436" s="50"/>
      <c r="CD436" s="52"/>
      <c r="CE436" s="50"/>
      <c r="CF436" s="50"/>
      <c r="CG436" s="50"/>
      <c r="CH436" s="50"/>
      <c r="CI436" s="50"/>
      <c r="CJ436" s="50"/>
      <c r="CK436" s="50"/>
      <c r="CL436" s="50"/>
      <c r="CM436" s="50"/>
      <c r="CN436" s="50"/>
      <c r="CO436" s="50"/>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c r="GE436" s="3"/>
      <c r="GF436" s="3"/>
      <c r="GG436" s="3"/>
      <c r="GH436" s="3"/>
      <c r="GI436" s="3"/>
      <c r="GJ436" s="3"/>
      <c r="GK436" s="3"/>
      <c r="GL436" s="3"/>
      <c r="GM436" s="3"/>
      <c r="GN436" s="3"/>
      <c r="GO436" s="3"/>
      <c r="GP436" s="3"/>
      <c r="GQ436" s="3"/>
      <c r="GR436" s="3"/>
      <c r="GS436" s="3"/>
      <c r="GT436" s="3"/>
      <c r="GU436" s="3"/>
      <c r="GV436" s="3"/>
      <c r="GW436" s="3"/>
      <c r="GX436" s="3"/>
      <c r="GY436" s="3"/>
      <c r="GZ436" s="3"/>
      <c r="HA436" s="3"/>
      <c r="HB436" s="3"/>
    </row>
    <row r="437" spans="1:210" ht="15.75" customHeight="1">
      <c r="A437" s="50"/>
      <c r="B437" s="50"/>
      <c r="C437" s="50"/>
      <c r="D437" s="50"/>
      <c r="E437" s="50"/>
      <c r="F437" s="50"/>
      <c r="G437" s="51"/>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c r="AS437" s="50"/>
      <c r="AT437" s="50"/>
      <c r="AU437" s="50"/>
      <c r="AV437" s="50"/>
      <c r="AW437" s="50"/>
      <c r="AX437" s="50"/>
      <c r="AY437" s="50"/>
      <c r="AZ437" s="50"/>
      <c r="BA437" s="50"/>
      <c r="BB437" s="50"/>
      <c r="BC437" s="50"/>
      <c r="BD437" s="50"/>
      <c r="BE437" s="50"/>
      <c r="BF437" s="50"/>
      <c r="BG437" s="50"/>
      <c r="BH437" s="50"/>
      <c r="BI437" s="50"/>
      <c r="BJ437" s="50"/>
      <c r="BK437" s="50"/>
      <c r="BL437" s="50"/>
      <c r="BM437" s="50"/>
      <c r="BN437" s="50"/>
      <c r="BO437" s="50"/>
      <c r="BP437" s="50"/>
      <c r="BQ437" s="50"/>
      <c r="BR437" s="50"/>
      <c r="BS437" s="50"/>
      <c r="BT437" s="50"/>
      <c r="BU437" s="50"/>
      <c r="BV437" s="50"/>
      <c r="BW437" s="50"/>
      <c r="BX437" s="50"/>
      <c r="BY437" s="50"/>
      <c r="BZ437" s="50"/>
      <c r="CA437" s="50"/>
      <c r="CB437" s="50"/>
      <c r="CC437" s="50"/>
      <c r="CD437" s="52"/>
      <c r="CE437" s="50"/>
      <c r="CF437" s="50"/>
      <c r="CG437" s="50"/>
      <c r="CH437" s="50"/>
      <c r="CI437" s="50"/>
      <c r="CJ437" s="50"/>
      <c r="CK437" s="50"/>
      <c r="CL437" s="50"/>
      <c r="CM437" s="50"/>
      <c r="CN437" s="50"/>
      <c r="CO437" s="50"/>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c r="GE437" s="3"/>
      <c r="GF437" s="3"/>
      <c r="GG437" s="3"/>
      <c r="GH437" s="3"/>
      <c r="GI437" s="3"/>
      <c r="GJ437" s="3"/>
      <c r="GK437" s="3"/>
      <c r="GL437" s="3"/>
      <c r="GM437" s="3"/>
      <c r="GN437" s="3"/>
      <c r="GO437" s="3"/>
      <c r="GP437" s="3"/>
      <c r="GQ437" s="3"/>
      <c r="GR437" s="3"/>
      <c r="GS437" s="3"/>
      <c r="GT437" s="3"/>
      <c r="GU437" s="3"/>
      <c r="GV437" s="3"/>
      <c r="GW437" s="3"/>
      <c r="GX437" s="3"/>
      <c r="GY437" s="3"/>
      <c r="GZ437" s="3"/>
      <c r="HA437" s="3"/>
      <c r="HB437" s="3"/>
    </row>
    <row r="438" spans="1:210" ht="15.75" customHeight="1">
      <c r="A438" s="50"/>
      <c r="B438" s="50"/>
      <c r="C438" s="50"/>
      <c r="D438" s="50"/>
      <c r="E438" s="50"/>
      <c r="F438" s="50"/>
      <c r="G438" s="51"/>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c r="AS438" s="50"/>
      <c r="AT438" s="50"/>
      <c r="AU438" s="50"/>
      <c r="AV438" s="50"/>
      <c r="AW438" s="50"/>
      <c r="AX438" s="50"/>
      <c r="AY438" s="50"/>
      <c r="AZ438" s="50"/>
      <c r="BA438" s="50"/>
      <c r="BB438" s="50"/>
      <c r="BC438" s="50"/>
      <c r="BD438" s="50"/>
      <c r="BE438" s="50"/>
      <c r="BF438" s="50"/>
      <c r="BG438" s="50"/>
      <c r="BH438" s="50"/>
      <c r="BI438" s="50"/>
      <c r="BJ438" s="50"/>
      <c r="BK438" s="50"/>
      <c r="BL438" s="50"/>
      <c r="BM438" s="50"/>
      <c r="BN438" s="50"/>
      <c r="BO438" s="50"/>
      <c r="BP438" s="50"/>
      <c r="BQ438" s="50"/>
      <c r="BR438" s="50"/>
      <c r="BS438" s="50"/>
      <c r="BT438" s="50"/>
      <c r="BU438" s="50"/>
      <c r="BV438" s="50"/>
      <c r="BW438" s="50"/>
      <c r="BX438" s="50"/>
      <c r="BY438" s="50"/>
      <c r="BZ438" s="50"/>
      <c r="CA438" s="50"/>
      <c r="CB438" s="50"/>
      <c r="CC438" s="50"/>
      <c r="CD438" s="52"/>
      <c r="CE438" s="50"/>
      <c r="CF438" s="50"/>
      <c r="CG438" s="50"/>
      <c r="CH438" s="50"/>
      <c r="CI438" s="50"/>
      <c r="CJ438" s="50"/>
      <c r="CK438" s="50"/>
      <c r="CL438" s="50"/>
      <c r="CM438" s="50"/>
      <c r="CN438" s="50"/>
      <c r="CO438" s="50"/>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c r="GE438" s="3"/>
      <c r="GF438" s="3"/>
      <c r="GG438" s="3"/>
      <c r="GH438" s="3"/>
      <c r="GI438" s="3"/>
      <c r="GJ438" s="3"/>
      <c r="GK438" s="3"/>
      <c r="GL438" s="3"/>
      <c r="GM438" s="3"/>
      <c r="GN438" s="3"/>
      <c r="GO438" s="3"/>
      <c r="GP438" s="3"/>
      <c r="GQ438" s="3"/>
      <c r="GR438" s="3"/>
      <c r="GS438" s="3"/>
      <c r="GT438" s="3"/>
      <c r="GU438" s="3"/>
      <c r="GV438" s="3"/>
      <c r="GW438" s="3"/>
      <c r="GX438" s="3"/>
      <c r="GY438" s="3"/>
      <c r="GZ438" s="3"/>
      <c r="HA438" s="3"/>
      <c r="HB438" s="3"/>
    </row>
    <row r="439" spans="1:210" ht="15.75" customHeight="1">
      <c r="A439" s="50"/>
      <c r="B439" s="50"/>
      <c r="C439" s="50"/>
      <c r="D439" s="50"/>
      <c r="E439" s="50"/>
      <c r="F439" s="50"/>
      <c r="G439" s="51"/>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c r="AS439" s="50"/>
      <c r="AT439" s="50"/>
      <c r="AU439" s="50"/>
      <c r="AV439" s="50"/>
      <c r="AW439" s="50"/>
      <c r="AX439" s="50"/>
      <c r="AY439" s="50"/>
      <c r="AZ439" s="50"/>
      <c r="BA439" s="50"/>
      <c r="BB439" s="50"/>
      <c r="BC439" s="50"/>
      <c r="BD439" s="50"/>
      <c r="BE439" s="50"/>
      <c r="BF439" s="50"/>
      <c r="BG439" s="50"/>
      <c r="BH439" s="50"/>
      <c r="BI439" s="50"/>
      <c r="BJ439" s="50"/>
      <c r="BK439" s="50"/>
      <c r="BL439" s="50"/>
      <c r="BM439" s="50"/>
      <c r="BN439" s="50"/>
      <c r="BO439" s="50"/>
      <c r="BP439" s="50"/>
      <c r="BQ439" s="50"/>
      <c r="BR439" s="50"/>
      <c r="BS439" s="50"/>
      <c r="BT439" s="50"/>
      <c r="BU439" s="50"/>
      <c r="BV439" s="50"/>
      <c r="BW439" s="50"/>
      <c r="BX439" s="50"/>
      <c r="BY439" s="50"/>
      <c r="BZ439" s="50"/>
      <c r="CA439" s="50"/>
      <c r="CB439" s="50"/>
      <c r="CC439" s="50"/>
      <c r="CD439" s="52"/>
      <c r="CE439" s="50"/>
      <c r="CF439" s="50"/>
      <c r="CG439" s="50"/>
      <c r="CH439" s="50"/>
      <c r="CI439" s="50"/>
      <c r="CJ439" s="50"/>
      <c r="CK439" s="50"/>
      <c r="CL439" s="50"/>
      <c r="CM439" s="50"/>
      <c r="CN439" s="50"/>
      <c r="CO439" s="50"/>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c r="GE439" s="3"/>
      <c r="GF439" s="3"/>
      <c r="GG439" s="3"/>
      <c r="GH439" s="3"/>
      <c r="GI439" s="3"/>
      <c r="GJ439" s="3"/>
      <c r="GK439" s="3"/>
      <c r="GL439" s="3"/>
      <c r="GM439" s="3"/>
      <c r="GN439" s="3"/>
      <c r="GO439" s="3"/>
      <c r="GP439" s="3"/>
      <c r="GQ439" s="3"/>
      <c r="GR439" s="3"/>
      <c r="GS439" s="3"/>
      <c r="GT439" s="3"/>
      <c r="GU439" s="3"/>
      <c r="GV439" s="3"/>
      <c r="GW439" s="3"/>
      <c r="GX439" s="3"/>
      <c r="GY439" s="3"/>
      <c r="GZ439" s="3"/>
      <c r="HA439" s="3"/>
      <c r="HB439" s="3"/>
    </row>
    <row r="440" spans="1:210" ht="15.75" customHeight="1">
      <c r="A440" s="50"/>
      <c r="B440" s="50"/>
      <c r="C440" s="50"/>
      <c r="D440" s="50"/>
      <c r="E440" s="50"/>
      <c r="F440" s="50"/>
      <c r="G440" s="51"/>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c r="AV440" s="50"/>
      <c r="AW440" s="50"/>
      <c r="AX440" s="50"/>
      <c r="AY440" s="50"/>
      <c r="AZ440" s="50"/>
      <c r="BA440" s="50"/>
      <c r="BB440" s="50"/>
      <c r="BC440" s="50"/>
      <c r="BD440" s="50"/>
      <c r="BE440" s="50"/>
      <c r="BF440" s="50"/>
      <c r="BG440" s="50"/>
      <c r="BH440" s="50"/>
      <c r="BI440" s="50"/>
      <c r="BJ440" s="50"/>
      <c r="BK440" s="50"/>
      <c r="BL440" s="50"/>
      <c r="BM440" s="50"/>
      <c r="BN440" s="50"/>
      <c r="BO440" s="50"/>
      <c r="BP440" s="50"/>
      <c r="BQ440" s="50"/>
      <c r="BR440" s="50"/>
      <c r="BS440" s="50"/>
      <c r="BT440" s="50"/>
      <c r="BU440" s="50"/>
      <c r="BV440" s="50"/>
      <c r="BW440" s="50"/>
      <c r="BX440" s="50"/>
      <c r="BY440" s="50"/>
      <c r="BZ440" s="50"/>
      <c r="CA440" s="50"/>
      <c r="CB440" s="50"/>
      <c r="CC440" s="50"/>
      <c r="CD440" s="52"/>
      <c r="CE440" s="50"/>
      <c r="CF440" s="50"/>
      <c r="CG440" s="50"/>
      <c r="CH440" s="50"/>
      <c r="CI440" s="50"/>
      <c r="CJ440" s="50"/>
      <c r="CK440" s="50"/>
      <c r="CL440" s="50"/>
      <c r="CM440" s="50"/>
      <c r="CN440" s="50"/>
      <c r="CO440" s="50"/>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c r="GE440" s="3"/>
      <c r="GF440" s="3"/>
      <c r="GG440" s="3"/>
      <c r="GH440" s="3"/>
      <c r="GI440" s="3"/>
      <c r="GJ440" s="3"/>
      <c r="GK440" s="3"/>
      <c r="GL440" s="3"/>
      <c r="GM440" s="3"/>
      <c r="GN440" s="3"/>
      <c r="GO440" s="3"/>
      <c r="GP440" s="3"/>
      <c r="GQ440" s="3"/>
      <c r="GR440" s="3"/>
      <c r="GS440" s="3"/>
      <c r="GT440" s="3"/>
      <c r="GU440" s="3"/>
      <c r="GV440" s="3"/>
      <c r="GW440" s="3"/>
      <c r="GX440" s="3"/>
      <c r="GY440" s="3"/>
      <c r="GZ440" s="3"/>
      <c r="HA440" s="3"/>
      <c r="HB440" s="3"/>
    </row>
    <row r="441" spans="1:210" ht="15.75" customHeight="1">
      <c r="A441" s="50"/>
      <c r="B441" s="50"/>
      <c r="C441" s="50"/>
      <c r="D441" s="50"/>
      <c r="E441" s="50"/>
      <c r="F441" s="50"/>
      <c r="G441" s="51"/>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c r="AS441" s="50"/>
      <c r="AT441" s="50"/>
      <c r="AU441" s="50"/>
      <c r="AV441" s="50"/>
      <c r="AW441" s="50"/>
      <c r="AX441" s="50"/>
      <c r="AY441" s="50"/>
      <c r="AZ441" s="50"/>
      <c r="BA441" s="50"/>
      <c r="BB441" s="50"/>
      <c r="BC441" s="50"/>
      <c r="BD441" s="50"/>
      <c r="BE441" s="50"/>
      <c r="BF441" s="50"/>
      <c r="BG441" s="50"/>
      <c r="BH441" s="50"/>
      <c r="BI441" s="50"/>
      <c r="BJ441" s="50"/>
      <c r="BK441" s="50"/>
      <c r="BL441" s="50"/>
      <c r="BM441" s="50"/>
      <c r="BN441" s="50"/>
      <c r="BO441" s="50"/>
      <c r="BP441" s="50"/>
      <c r="BQ441" s="50"/>
      <c r="BR441" s="50"/>
      <c r="BS441" s="50"/>
      <c r="BT441" s="50"/>
      <c r="BU441" s="50"/>
      <c r="BV441" s="50"/>
      <c r="BW441" s="50"/>
      <c r="BX441" s="50"/>
      <c r="BY441" s="50"/>
      <c r="BZ441" s="50"/>
      <c r="CA441" s="50"/>
      <c r="CB441" s="50"/>
      <c r="CC441" s="50"/>
      <c r="CD441" s="52"/>
      <c r="CE441" s="50"/>
      <c r="CF441" s="50"/>
      <c r="CG441" s="50"/>
      <c r="CH441" s="50"/>
      <c r="CI441" s="50"/>
      <c r="CJ441" s="50"/>
      <c r="CK441" s="50"/>
      <c r="CL441" s="50"/>
      <c r="CM441" s="50"/>
      <c r="CN441" s="50"/>
      <c r="CO441" s="50"/>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row>
    <row r="442" spans="1:210" ht="15.75" customHeight="1">
      <c r="A442" s="50"/>
      <c r="B442" s="50"/>
      <c r="C442" s="50"/>
      <c r="D442" s="50"/>
      <c r="E442" s="50"/>
      <c r="F442" s="50"/>
      <c r="G442" s="51"/>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c r="AV442" s="50"/>
      <c r="AW442" s="50"/>
      <c r="AX442" s="50"/>
      <c r="AY442" s="50"/>
      <c r="AZ442" s="50"/>
      <c r="BA442" s="50"/>
      <c r="BB442" s="50"/>
      <c r="BC442" s="50"/>
      <c r="BD442" s="50"/>
      <c r="BE442" s="50"/>
      <c r="BF442" s="50"/>
      <c r="BG442" s="50"/>
      <c r="BH442" s="50"/>
      <c r="BI442" s="50"/>
      <c r="BJ442" s="50"/>
      <c r="BK442" s="50"/>
      <c r="BL442" s="50"/>
      <c r="BM442" s="50"/>
      <c r="BN442" s="50"/>
      <c r="BO442" s="50"/>
      <c r="BP442" s="50"/>
      <c r="BQ442" s="50"/>
      <c r="BR442" s="50"/>
      <c r="BS442" s="50"/>
      <c r="BT442" s="50"/>
      <c r="BU442" s="50"/>
      <c r="BV442" s="50"/>
      <c r="BW442" s="50"/>
      <c r="BX442" s="50"/>
      <c r="BY442" s="50"/>
      <c r="BZ442" s="50"/>
      <c r="CA442" s="50"/>
      <c r="CB442" s="50"/>
      <c r="CC442" s="50"/>
      <c r="CD442" s="52"/>
      <c r="CE442" s="50"/>
      <c r="CF442" s="50"/>
      <c r="CG442" s="50"/>
      <c r="CH442" s="50"/>
      <c r="CI442" s="50"/>
      <c r="CJ442" s="50"/>
      <c r="CK442" s="50"/>
      <c r="CL442" s="50"/>
      <c r="CM442" s="50"/>
      <c r="CN442" s="50"/>
      <c r="CO442" s="50"/>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c r="GE442" s="3"/>
      <c r="GF442" s="3"/>
      <c r="GG442" s="3"/>
      <c r="GH442" s="3"/>
      <c r="GI442" s="3"/>
      <c r="GJ442" s="3"/>
      <c r="GK442" s="3"/>
      <c r="GL442" s="3"/>
      <c r="GM442" s="3"/>
      <c r="GN442" s="3"/>
      <c r="GO442" s="3"/>
      <c r="GP442" s="3"/>
      <c r="GQ442" s="3"/>
      <c r="GR442" s="3"/>
      <c r="GS442" s="3"/>
      <c r="GT442" s="3"/>
      <c r="GU442" s="3"/>
      <c r="GV442" s="3"/>
      <c r="GW442" s="3"/>
      <c r="GX442" s="3"/>
      <c r="GY442" s="3"/>
      <c r="GZ442" s="3"/>
      <c r="HA442" s="3"/>
      <c r="HB442" s="3"/>
    </row>
    <row r="443" spans="1:210" ht="15.75" customHeight="1">
      <c r="A443" s="50"/>
      <c r="B443" s="50"/>
      <c r="C443" s="50"/>
      <c r="D443" s="50"/>
      <c r="E443" s="50"/>
      <c r="F443" s="50"/>
      <c r="G443" s="51"/>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c r="AS443" s="50"/>
      <c r="AT443" s="50"/>
      <c r="AU443" s="50"/>
      <c r="AV443" s="50"/>
      <c r="AW443" s="50"/>
      <c r="AX443" s="50"/>
      <c r="AY443" s="50"/>
      <c r="AZ443" s="50"/>
      <c r="BA443" s="50"/>
      <c r="BB443" s="50"/>
      <c r="BC443" s="50"/>
      <c r="BD443" s="50"/>
      <c r="BE443" s="50"/>
      <c r="BF443" s="50"/>
      <c r="BG443" s="50"/>
      <c r="BH443" s="50"/>
      <c r="BI443" s="50"/>
      <c r="BJ443" s="50"/>
      <c r="BK443" s="50"/>
      <c r="BL443" s="50"/>
      <c r="BM443" s="50"/>
      <c r="BN443" s="50"/>
      <c r="BO443" s="50"/>
      <c r="BP443" s="50"/>
      <c r="BQ443" s="50"/>
      <c r="BR443" s="50"/>
      <c r="BS443" s="50"/>
      <c r="BT443" s="50"/>
      <c r="BU443" s="50"/>
      <c r="BV443" s="50"/>
      <c r="BW443" s="50"/>
      <c r="BX443" s="50"/>
      <c r="BY443" s="50"/>
      <c r="BZ443" s="50"/>
      <c r="CA443" s="50"/>
      <c r="CB443" s="50"/>
      <c r="CC443" s="50"/>
      <c r="CD443" s="52"/>
      <c r="CE443" s="50"/>
      <c r="CF443" s="50"/>
      <c r="CG443" s="50"/>
      <c r="CH443" s="50"/>
      <c r="CI443" s="50"/>
      <c r="CJ443" s="50"/>
      <c r="CK443" s="50"/>
      <c r="CL443" s="50"/>
      <c r="CM443" s="50"/>
      <c r="CN443" s="50"/>
      <c r="CO443" s="50"/>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c r="GE443" s="3"/>
      <c r="GF443" s="3"/>
      <c r="GG443" s="3"/>
      <c r="GH443" s="3"/>
      <c r="GI443" s="3"/>
      <c r="GJ443" s="3"/>
      <c r="GK443" s="3"/>
      <c r="GL443" s="3"/>
      <c r="GM443" s="3"/>
      <c r="GN443" s="3"/>
      <c r="GO443" s="3"/>
      <c r="GP443" s="3"/>
      <c r="GQ443" s="3"/>
      <c r="GR443" s="3"/>
      <c r="GS443" s="3"/>
      <c r="GT443" s="3"/>
      <c r="GU443" s="3"/>
      <c r="GV443" s="3"/>
      <c r="GW443" s="3"/>
      <c r="GX443" s="3"/>
      <c r="GY443" s="3"/>
      <c r="GZ443" s="3"/>
      <c r="HA443" s="3"/>
      <c r="HB443" s="3"/>
    </row>
    <row r="444" spans="1:210" ht="15.75" customHeight="1">
      <c r="A444" s="50"/>
      <c r="B444" s="50"/>
      <c r="C444" s="50"/>
      <c r="D444" s="50"/>
      <c r="E444" s="50"/>
      <c r="F444" s="50"/>
      <c r="G444" s="51"/>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c r="AV444" s="50"/>
      <c r="AW444" s="50"/>
      <c r="AX444" s="50"/>
      <c r="AY444" s="50"/>
      <c r="AZ444" s="50"/>
      <c r="BA444" s="50"/>
      <c r="BB444" s="50"/>
      <c r="BC444" s="50"/>
      <c r="BD444" s="50"/>
      <c r="BE444" s="50"/>
      <c r="BF444" s="50"/>
      <c r="BG444" s="50"/>
      <c r="BH444" s="50"/>
      <c r="BI444" s="50"/>
      <c r="BJ444" s="50"/>
      <c r="BK444" s="50"/>
      <c r="BL444" s="50"/>
      <c r="BM444" s="50"/>
      <c r="BN444" s="50"/>
      <c r="BO444" s="50"/>
      <c r="BP444" s="50"/>
      <c r="BQ444" s="50"/>
      <c r="BR444" s="50"/>
      <c r="BS444" s="50"/>
      <c r="BT444" s="50"/>
      <c r="BU444" s="50"/>
      <c r="BV444" s="50"/>
      <c r="BW444" s="50"/>
      <c r="BX444" s="50"/>
      <c r="BY444" s="50"/>
      <c r="BZ444" s="50"/>
      <c r="CA444" s="50"/>
      <c r="CB444" s="50"/>
      <c r="CC444" s="50"/>
      <c r="CD444" s="52"/>
      <c r="CE444" s="50"/>
      <c r="CF444" s="50"/>
      <c r="CG444" s="50"/>
      <c r="CH444" s="50"/>
      <c r="CI444" s="50"/>
      <c r="CJ444" s="50"/>
      <c r="CK444" s="50"/>
      <c r="CL444" s="50"/>
      <c r="CM444" s="50"/>
      <c r="CN444" s="50"/>
      <c r="CO444" s="50"/>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c r="GE444" s="3"/>
      <c r="GF444" s="3"/>
      <c r="GG444" s="3"/>
      <c r="GH444" s="3"/>
      <c r="GI444" s="3"/>
      <c r="GJ444" s="3"/>
      <c r="GK444" s="3"/>
      <c r="GL444" s="3"/>
      <c r="GM444" s="3"/>
      <c r="GN444" s="3"/>
      <c r="GO444" s="3"/>
      <c r="GP444" s="3"/>
      <c r="GQ444" s="3"/>
      <c r="GR444" s="3"/>
      <c r="GS444" s="3"/>
      <c r="GT444" s="3"/>
      <c r="GU444" s="3"/>
      <c r="GV444" s="3"/>
      <c r="GW444" s="3"/>
      <c r="GX444" s="3"/>
      <c r="GY444" s="3"/>
      <c r="GZ444" s="3"/>
      <c r="HA444" s="3"/>
      <c r="HB444" s="3"/>
    </row>
    <row r="445" spans="1:210" ht="15.75" customHeight="1">
      <c r="A445" s="50"/>
      <c r="B445" s="50"/>
      <c r="C445" s="50"/>
      <c r="D445" s="50"/>
      <c r="E445" s="50"/>
      <c r="F445" s="50"/>
      <c r="G445" s="51"/>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c r="AR445" s="50"/>
      <c r="AS445" s="50"/>
      <c r="AT445" s="50"/>
      <c r="AU445" s="50"/>
      <c r="AV445" s="50"/>
      <c r="AW445" s="50"/>
      <c r="AX445" s="50"/>
      <c r="AY445" s="50"/>
      <c r="AZ445" s="50"/>
      <c r="BA445" s="50"/>
      <c r="BB445" s="50"/>
      <c r="BC445" s="50"/>
      <c r="BD445" s="50"/>
      <c r="BE445" s="50"/>
      <c r="BF445" s="50"/>
      <c r="BG445" s="50"/>
      <c r="BH445" s="50"/>
      <c r="BI445" s="50"/>
      <c r="BJ445" s="50"/>
      <c r="BK445" s="50"/>
      <c r="BL445" s="50"/>
      <c r="BM445" s="50"/>
      <c r="BN445" s="50"/>
      <c r="BO445" s="50"/>
      <c r="BP445" s="50"/>
      <c r="BQ445" s="50"/>
      <c r="BR445" s="50"/>
      <c r="BS445" s="50"/>
      <c r="BT445" s="50"/>
      <c r="BU445" s="50"/>
      <c r="BV445" s="50"/>
      <c r="BW445" s="50"/>
      <c r="BX445" s="50"/>
      <c r="BY445" s="50"/>
      <c r="BZ445" s="50"/>
      <c r="CA445" s="50"/>
      <c r="CB445" s="50"/>
      <c r="CC445" s="50"/>
      <c r="CD445" s="52"/>
      <c r="CE445" s="50"/>
      <c r="CF445" s="50"/>
      <c r="CG445" s="50"/>
      <c r="CH445" s="50"/>
      <c r="CI445" s="50"/>
      <c r="CJ445" s="50"/>
      <c r="CK445" s="50"/>
      <c r="CL445" s="50"/>
      <c r="CM445" s="50"/>
      <c r="CN445" s="50"/>
      <c r="CO445" s="50"/>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c r="GE445" s="3"/>
      <c r="GF445" s="3"/>
      <c r="GG445" s="3"/>
      <c r="GH445" s="3"/>
      <c r="GI445" s="3"/>
      <c r="GJ445" s="3"/>
      <c r="GK445" s="3"/>
      <c r="GL445" s="3"/>
      <c r="GM445" s="3"/>
      <c r="GN445" s="3"/>
      <c r="GO445" s="3"/>
      <c r="GP445" s="3"/>
      <c r="GQ445" s="3"/>
      <c r="GR445" s="3"/>
      <c r="GS445" s="3"/>
      <c r="GT445" s="3"/>
      <c r="GU445" s="3"/>
      <c r="GV445" s="3"/>
      <c r="GW445" s="3"/>
      <c r="GX445" s="3"/>
      <c r="GY445" s="3"/>
      <c r="GZ445" s="3"/>
      <c r="HA445" s="3"/>
      <c r="HB445" s="3"/>
    </row>
    <row r="446" spans="1:210" ht="15.75" customHeight="1">
      <c r="A446" s="50"/>
      <c r="B446" s="50"/>
      <c r="C446" s="50"/>
      <c r="D446" s="50"/>
      <c r="E446" s="50"/>
      <c r="F446" s="50"/>
      <c r="G446" s="51"/>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c r="AS446" s="50"/>
      <c r="AT446" s="50"/>
      <c r="AU446" s="50"/>
      <c r="AV446" s="50"/>
      <c r="AW446" s="50"/>
      <c r="AX446" s="50"/>
      <c r="AY446" s="50"/>
      <c r="AZ446" s="50"/>
      <c r="BA446" s="50"/>
      <c r="BB446" s="50"/>
      <c r="BC446" s="50"/>
      <c r="BD446" s="50"/>
      <c r="BE446" s="50"/>
      <c r="BF446" s="50"/>
      <c r="BG446" s="50"/>
      <c r="BH446" s="50"/>
      <c r="BI446" s="50"/>
      <c r="BJ446" s="50"/>
      <c r="BK446" s="50"/>
      <c r="BL446" s="50"/>
      <c r="BM446" s="50"/>
      <c r="BN446" s="50"/>
      <c r="BO446" s="50"/>
      <c r="BP446" s="50"/>
      <c r="BQ446" s="50"/>
      <c r="BR446" s="50"/>
      <c r="BS446" s="50"/>
      <c r="BT446" s="50"/>
      <c r="BU446" s="50"/>
      <c r="BV446" s="50"/>
      <c r="BW446" s="50"/>
      <c r="BX446" s="50"/>
      <c r="BY446" s="50"/>
      <c r="BZ446" s="50"/>
      <c r="CA446" s="50"/>
      <c r="CB446" s="50"/>
      <c r="CC446" s="50"/>
      <c r="CD446" s="52"/>
      <c r="CE446" s="50"/>
      <c r="CF446" s="50"/>
      <c r="CG446" s="50"/>
      <c r="CH446" s="50"/>
      <c r="CI446" s="50"/>
      <c r="CJ446" s="50"/>
      <c r="CK446" s="50"/>
      <c r="CL446" s="50"/>
      <c r="CM446" s="50"/>
      <c r="CN446" s="50"/>
      <c r="CO446" s="50"/>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c r="GE446" s="3"/>
      <c r="GF446" s="3"/>
      <c r="GG446" s="3"/>
      <c r="GH446" s="3"/>
      <c r="GI446" s="3"/>
      <c r="GJ446" s="3"/>
      <c r="GK446" s="3"/>
      <c r="GL446" s="3"/>
      <c r="GM446" s="3"/>
      <c r="GN446" s="3"/>
      <c r="GO446" s="3"/>
      <c r="GP446" s="3"/>
      <c r="GQ446" s="3"/>
      <c r="GR446" s="3"/>
      <c r="GS446" s="3"/>
      <c r="GT446" s="3"/>
      <c r="GU446" s="3"/>
      <c r="GV446" s="3"/>
      <c r="GW446" s="3"/>
      <c r="GX446" s="3"/>
      <c r="GY446" s="3"/>
      <c r="GZ446" s="3"/>
      <c r="HA446" s="3"/>
      <c r="HB446" s="3"/>
    </row>
    <row r="447" spans="1:210" ht="15.75" customHeight="1">
      <c r="A447" s="50"/>
      <c r="B447" s="50"/>
      <c r="C447" s="50"/>
      <c r="D447" s="50"/>
      <c r="E447" s="50"/>
      <c r="F447" s="50"/>
      <c r="G447" s="51"/>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c r="AV447" s="50"/>
      <c r="AW447" s="50"/>
      <c r="AX447" s="50"/>
      <c r="AY447" s="50"/>
      <c r="AZ447" s="50"/>
      <c r="BA447" s="50"/>
      <c r="BB447" s="50"/>
      <c r="BC447" s="50"/>
      <c r="BD447" s="50"/>
      <c r="BE447" s="50"/>
      <c r="BF447" s="50"/>
      <c r="BG447" s="50"/>
      <c r="BH447" s="50"/>
      <c r="BI447" s="50"/>
      <c r="BJ447" s="50"/>
      <c r="BK447" s="50"/>
      <c r="BL447" s="50"/>
      <c r="BM447" s="50"/>
      <c r="BN447" s="50"/>
      <c r="BO447" s="50"/>
      <c r="BP447" s="50"/>
      <c r="BQ447" s="50"/>
      <c r="BR447" s="50"/>
      <c r="BS447" s="50"/>
      <c r="BT447" s="50"/>
      <c r="BU447" s="50"/>
      <c r="BV447" s="50"/>
      <c r="BW447" s="50"/>
      <c r="BX447" s="50"/>
      <c r="BY447" s="50"/>
      <c r="BZ447" s="50"/>
      <c r="CA447" s="50"/>
      <c r="CB447" s="50"/>
      <c r="CC447" s="50"/>
      <c r="CD447" s="52"/>
      <c r="CE447" s="50"/>
      <c r="CF447" s="50"/>
      <c r="CG447" s="50"/>
      <c r="CH447" s="50"/>
      <c r="CI447" s="50"/>
      <c r="CJ447" s="50"/>
      <c r="CK447" s="50"/>
      <c r="CL447" s="50"/>
      <c r="CM447" s="50"/>
      <c r="CN447" s="50"/>
      <c r="CO447" s="50"/>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c r="GE447" s="3"/>
      <c r="GF447" s="3"/>
      <c r="GG447" s="3"/>
      <c r="GH447" s="3"/>
      <c r="GI447" s="3"/>
      <c r="GJ447" s="3"/>
      <c r="GK447" s="3"/>
      <c r="GL447" s="3"/>
      <c r="GM447" s="3"/>
      <c r="GN447" s="3"/>
      <c r="GO447" s="3"/>
      <c r="GP447" s="3"/>
      <c r="GQ447" s="3"/>
      <c r="GR447" s="3"/>
      <c r="GS447" s="3"/>
      <c r="GT447" s="3"/>
      <c r="GU447" s="3"/>
      <c r="GV447" s="3"/>
      <c r="GW447" s="3"/>
      <c r="GX447" s="3"/>
      <c r="GY447" s="3"/>
      <c r="GZ447" s="3"/>
      <c r="HA447" s="3"/>
      <c r="HB447" s="3"/>
    </row>
    <row r="448" spans="1:210" ht="15.75" customHeight="1">
      <c r="A448" s="50"/>
      <c r="B448" s="50"/>
      <c r="C448" s="50"/>
      <c r="D448" s="50"/>
      <c r="E448" s="50"/>
      <c r="F448" s="50"/>
      <c r="G448" s="51"/>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c r="AS448" s="50"/>
      <c r="AT448" s="50"/>
      <c r="AU448" s="50"/>
      <c r="AV448" s="50"/>
      <c r="AW448" s="50"/>
      <c r="AX448" s="50"/>
      <c r="AY448" s="50"/>
      <c r="AZ448" s="50"/>
      <c r="BA448" s="50"/>
      <c r="BB448" s="50"/>
      <c r="BC448" s="50"/>
      <c r="BD448" s="50"/>
      <c r="BE448" s="50"/>
      <c r="BF448" s="50"/>
      <c r="BG448" s="50"/>
      <c r="BH448" s="50"/>
      <c r="BI448" s="50"/>
      <c r="BJ448" s="50"/>
      <c r="BK448" s="50"/>
      <c r="BL448" s="50"/>
      <c r="BM448" s="50"/>
      <c r="BN448" s="50"/>
      <c r="BO448" s="50"/>
      <c r="BP448" s="50"/>
      <c r="BQ448" s="50"/>
      <c r="BR448" s="50"/>
      <c r="BS448" s="50"/>
      <c r="BT448" s="50"/>
      <c r="BU448" s="50"/>
      <c r="BV448" s="50"/>
      <c r="BW448" s="50"/>
      <c r="BX448" s="50"/>
      <c r="BY448" s="50"/>
      <c r="BZ448" s="50"/>
      <c r="CA448" s="50"/>
      <c r="CB448" s="50"/>
      <c r="CC448" s="50"/>
      <c r="CD448" s="52"/>
      <c r="CE448" s="50"/>
      <c r="CF448" s="50"/>
      <c r="CG448" s="50"/>
      <c r="CH448" s="50"/>
      <c r="CI448" s="50"/>
      <c r="CJ448" s="50"/>
      <c r="CK448" s="50"/>
      <c r="CL448" s="50"/>
      <c r="CM448" s="50"/>
      <c r="CN448" s="50"/>
      <c r="CO448" s="50"/>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c r="GE448" s="3"/>
      <c r="GF448" s="3"/>
      <c r="GG448" s="3"/>
      <c r="GH448" s="3"/>
      <c r="GI448" s="3"/>
      <c r="GJ448" s="3"/>
      <c r="GK448" s="3"/>
      <c r="GL448" s="3"/>
      <c r="GM448" s="3"/>
      <c r="GN448" s="3"/>
      <c r="GO448" s="3"/>
      <c r="GP448" s="3"/>
      <c r="GQ448" s="3"/>
      <c r="GR448" s="3"/>
      <c r="GS448" s="3"/>
      <c r="GT448" s="3"/>
      <c r="GU448" s="3"/>
      <c r="GV448" s="3"/>
      <c r="GW448" s="3"/>
      <c r="GX448" s="3"/>
      <c r="GY448" s="3"/>
      <c r="GZ448" s="3"/>
      <c r="HA448" s="3"/>
      <c r="HB448" s="3"/>
    </row>
    <row r="449" spans="1:210" ht="15.75" customHeight="1">
      <c r="A449" s="50"/>
      <c r="B449" s="50"/>
      <c r="C449" s="50"/>
      <c r="D449" s="50"/>
      <c r="E449" s="50"/>
      <c r="F449" s="50"/>
      <c r="G449" s="51"/>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c r="AS449" s="50"/>
      <c r="AT449" s="50"/>
      <c r="AU449" s="50"/>
      <c r="AV449" s="50"/>
      <c r="AW449" s="50"/>
      <c r="AX449" s="50"/>
      <c r="AY449" s="50"/>
      <c r="AZ449" s="50"/>
      <c r="BA449" s="50"/>
      <c r="BB449" s="50"/>
      <c r="BC449" s="50"/>
      <c r="BD449" s="50"/>
      <c r="BE449" s="50"/>
      <c r="BF449" s="50"/>
      <c r="BG449" s="50"/>
      <c r="BH449" s="50"/>
      <c r="BI449" s="50"/>
      <c r="BJ449" s="50"/>
      <c r="BK449" s="50"/>
      <c r="BL449" s="50"/>
      <c r="BM449" s="50"/>
      <c r="BN449" s="50"/>
      <c r="BO449" s="50"/>
      <c r="BP449" s="50"/>
      <c r="BQ449" s="50"/>
      <c r="BR449" s="50"/>
      <c r="BS449" s="50"/>
      <c r="BT449" s="50"/>
      <c r="BU449" s="50"/>
      <c r="BV449" s="50"/>
      <c r="BW449" s="50"/>
      <c r="BX449" s="50"/>
      <c r="BY449" s="50"/>
      <c r="BZ449" s="50"/>
      <c r="CA449" s="50"/>
      <c r="CB449" s="50"/>
      <c r="CC449" s="50"/>
      <c r="CD449" s="52"/>
      <c r="CE449" s="50"/>
      <c r="CF449" s="50"/>
      <c r="CG449" s="50"/>
      <c r="CH449" s="50"/>
      <c r="CI449" s="50"/>
      <c r="CJ449" s="50"/>
      <c r="CK449" s="50"/>
      <c r="CL449" s="50"/>
      <c r="CM449" s="50"/>
      <c r="CN449" s="50"/>
      <c r="CO449" s="50"/>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c r="GE449" s="3"/>
      <c r="GF449" s="3"/>
      <c r="GG449" s="3"/>
      <c r="GH449" s="3"/>
      <c r="GI449" s="3"/>
      <c r="GJ449" s="3"/>
      <c r="GK449" s="3"/>
      <c r="GL449" s="3"/>
      <c r="GM449" s="3"/>
      <c r="GN449" s="3"/>
      <c r="GO449" s="3"/>
      <c r="GP449" s="3"/>
      <c r="GQ449" s="3"/>
      <c r="GR449" s="3"/>
      <c r="GS449" s="3"/>
      <c r="GT449" s="3"/>
      <c r="GU449" s="3"/>
      <c r="GV449" s="3"/>
      <c r="GW449" s="3"/>
      <c r="GX449" s="3"/>
      <c r="GY449" s="3"/>
      <c r="GZ449" s="3"/>
      <c r="HA449" s="3"/>
      <c r="HB449" s="3"/>
    </row>
    <row r="450" spans="1:210" ht="15.75" customHeight="1">
      <c r="A450" s="50"/>
      <c r="B450" s="50"/>
      <c r="C450" s="50"/>
      <c r="D450" s="50"/>
      <c r="E450" s="50"/>
      <c r="F450" s="50"/>
      <c r="G450" s="51"/>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c r="AR450" s="50"/>
      <c r="AS450" s="50"/>
      <c r="AT450" s="50"/>
      <c r="AU450" s="50"/>
      <c r="AV450" s="50"/>
      <c r="AW450" s="50"/>
      <c r="AX450" s="50"/>
      <c r="AY450" s="50"/>
      <c r="AZ450" s="50"/>
      <c r="BA450" s="50"/>
      <c r="BB450" s="50"/>
      <c r="BC450" s="50"/>
      <c r="BD450" s="50"/>
      <c r="BE450" s="50"/>
      <c r="BF450" s="50"/>
      <c r="BG450" s="50"/>
      <c r="BH450" s="50"/>
      <c r="BI450" s="50"/>
      <c r="BJ450" s="50"/>
      <c r="BK450" s="50"/>
      <c r="BL450" s="50"/>
      <c r="BM450" s="50"/>
      <c r="BN450" s="50"/>
      <c r="BO450" s="50"/>
      <c r="BP450" s="50"/>
      <c r="BQ450" s="50"/>
      <c r="BR450" s="50"/>
      <c r="BS450" s="50"/>
      <c r="BT450" s="50"/>
      <c r="BU450" s="50"/>
      <c r="BV450" s="50"/>
      <c r="BW450" s="50"/>
      <c r="BX450" s="50"/>
      <c r="BY450" s="50"/>
      <c r="BZ450" s="50"/>
      <c r="CA450" s="50"/>
      <c r="CB450" s="50"/>
      <c r="CC450" s="50"/>
      <c r="CD450" s="52"/>
      <c r="CE450" s="50"/>
      <c r="CF450" s="50"/>
      <c r="CG450" s="50"/>
      <c r="CH450" s="50"/>
      <c r="CI450" s="50"/>
      <c r="CJ450" s="50"/>
      <c r="CK450" s="50"/>
      <c r="CL450" s="50"/>
      <c r="CM450" s="50"/>
      <c r="CN450" s="50"/>
      <c r="CO450" s="50"/>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c r="GE450" s="3"/>
      <c r="GF450" s="3"/>
      <c r="GG450" s="3"/>
      <c r="GH450" s="3"/>
      <c r="GI450" s="3"/>
      <c r="GJ450" s="3"/>
      <c r="GK450" s="3"/>
      <c r="GL450" s="3"/>
      <c r="GM450" s="3"/>
      <c r="GN450" s="3"/>
      <c r="GO450" s="3"/>
      <c r="GP450" s="3"/>
      <c r="GQ450" s="3"/>
      <c r="GR450" s="3"/>
      <c r="GS450" s="3"/>
      <c r="GT450" s="3"/>
      <c r="GU450" s="3"/>
      <c r="GV450" s="3"/>
      <c r="GW450" s="3"/>
      <c r="GX450" s="3"/>
      <c r="GY450" s="3"/>
      <c r="GZ450" s="3"/>
      <c r="HA450" s="3"/>
      <c r="HB450" s="3"/>
    </row>
    <row r="451" spans="1:210" ht="15.75" customHeight="1">
      <c r="A451" s="50"/>
      <c r="B451" s="50"/>
      <c r="C451" s="50"/>
      <c r="D451" s="50"/>
      <c r="E451" s="50"/>
      <c r="F451" s="50"/>
      <c r="G451" s="51"/>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c r="AS451" s="50"/>
      <c r="AT451" s="50"/>
      <c r="AU451" s="50"/>
      <c r="AV451" s="50"/>
      <c r="AW451" s="50"/>
      <c r="AX451" s="50"/>
      <c r="AY451" s="50"/>
      <c r="AZ451" s="50"/>
      <c r="BA451" s="50"/>
      <c r="BB451" s="50"/>
      <c r="BC451" s="50"/>
      <c r="BD451" s="50"/>
      <c r="BE451" s="50"/>
      <c r="BF451" s="50"/>
      <c r="BG451" s="50"/>
      <c r="BH451" s="50"/>
      <c r="BI451" s="50"/>
      <c r="BJ451" s="50"/>
      <c r="BK451" s="50"/>
      <c r="BL451" s="50"/>
      <c r="BM451" s="50"/>
      <c r="BN451" s="50"/>
      <c r="BO451" s="50"/>
      <c r="BP451" s="50"/>
      <c r="BQ451" s="50"/>
      <c r="BR451" s="50"/>
      <c r="BS451" s="50"/>
      <c r="BT451" s="50"/>
      <c r="BU451" s="50"/>
      <c r="BV451" s="50"/>
      <c r="BW451" s="50"/>
      <c r="BX451" s="50"/>
      <c r="BY451" s="50"/>
      <c r="BZ451" s="50"/>
      <c r="CA451" s="50"/>
      <c r="CB451" s="50"/>
      <c r="CC451" s="50"/>
      <c r="CD451" s="52"/>
      <c r="CE451" s="50"/>
      <c r="CF451" s="50"/>
      <c r="CG451" s="50"/>
      <c r="CH451" s="50"/>
      <c r="CI451" s="50"/>
      <c r="CJ451" s="50"/>
      <c r="CK451" s="50"/>
      <c r="CL451" s="50"/>
      <c r="CM451" s="50"/>
      <c r="CN451" s="50"/>
      <c r="CO451" s="50"/>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c r="GE451" s="3"/>
      <c r="GF451" s="3"/>
      <c r="GG451" s="3"/>
      <c r="GH451" s="3"/>
      <c r="GI451" s="3"/>
      <c r="GJ451" s="3"/>
      <c r="GK451" s="3"/>
      <c r="GL451" s="3"/>
      <c r="GM451" s="3"/>
      <c r="GN451" s="3"/>
      <c r="GO451" s="3"/>
      <c r="GP451" s="3"/>
      <c r="GQ451" s="3"/>
      <c r="GR451" s="3"/>
      <c r="GS451" s="3"/>
      <c r="GT451" s="3"/>
      <c r="GU451" s="3"/>
      <c r="GV451" s="3"/>
      <c r="GW451" s="3"/>
      <c r="GX451" s="3"/>
      <c r="GY451" s="3"/>
      <c r="GZ451" s="3"/>
      <c r="HA451" s="3"/>
      <c r="HB451" s="3"/>
    </row>
    <row r="452" spans="1:210" ht="15.75" customHeight="1">
      <c r="A452" s="50"/>
      <c r="B452" s="50"/>
      <c r="C452" s="50"/>
      <c r="D452" s="50"/>
      <c r="E452" s="50"/>
      <c r="F452" s="50"/>
      <c r="G452" s="51"/>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c r="AS452" s="50"/>
      <c r="AT452" s="50"/>
      <c r="AU452" s="50"/>
      <c r="AV452" s="50"/>
      <c r="AW452" s="50"/>
      <c r="AX452" s="50"/>
      <c r="AY452" s="50"/>
      <c r="AZ452" s="50"/>
      <c r="BA452" s="50"/>
      <c r="BB452" s="50"/>
      <c r="BC452" s="50"/>
      <c r="BD452" s="50"/>
      <c r="BE452" s="50"/>
      <c r="BF452" s="50"/>
      <c r="BG452" s="50"/>
      <c r="BH452" s="50"/>
      <c r="BI452" s="50"/>
      <c r="BJ452" s="50"/>
      <c r="BK452" s="50"/>
      <c r="BL452" s="50"/>
      <c r="BM452" s="50"/>
      <c r="BN452" s="50"/>
      <c r="BO452" s="50"/>
      <c r="BP452" s="50"/>
      <c r="BQ452" s="50"/>
      <c r="BR452" s="50"/>
      <c r="BS452" s="50"/>
      <c r="BT452" s="50"/>
      <c r="BU452" s="50"/>
      <c r="BV452" s="50"/>
      <c r="BW452" s="50"/>
      <c r="BX452" s="50"/>
      <c r="BY452" s="50"/>
      <c r="BZ452" s="50"/>
      <c r="CA452" s="50"/>
      <c r="CB452" s="50"/>
      <c r="CC452" s="50"/>
      <c r="CD452" s="52"/>
      <c r="CE452" s="50"/>
      <c r="CF452" s="50"/>
      <c r="CG452" s="50"/>
      <c r="CH452" s="50"/>
      <c r="CI452" s="50"/>
      <c r="CJ452" s="50"/>
      <c r="CK452" s="50"/>
      <c r="CL452" s="50"/>
      <c r="CM452" s="50"/>
      <c r="CN452" s="50"/>
      <c r="CO452" s="50"/>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c r="GE452" s="3"/>
      <c r="GF452" s="3"/>
      <c r="GG452" s="3"/>
      <c r="GH452" s="3"/>
      <c r="GI452" s="3"/>
      <c r="GJ452" s="3"/>
      <c r="GK452" s="3"/>
      <c r="GL452" s="3"/>
      <c r="GM452" s="3"/>
      <c r="GN452" s="3"/>
      <c r="GO452" s="3"/>
      <c r="GP452" s="3"/>
      <c r="GQ452" s="3"/>
      <c r="GR452" s="3"/>
      <c r="GS452" s="3"/>
      <c r="GT452" s="3"/>
      <c r="GU452" s="3"/>
      <c r="GV452" s="3"/>
      <c r="GW452" s="3"/>
      <c r="GX452" s="3"/>
      <c r="GY452" s="3"/>
      <c r="GZ452" s="3"/>
      <c r="HA452" s="3"/>
      <c r="HB452" s="3"/>
    </row>
    <row r="453" spans="1:210" ht="15.75" customHeight="1">
      <c r="A453" s="50"/>
      <c r="B453" s="50"/>
      <c r="C453" s="50"/>
      <c r="D453" s="50"/>
      <c r="E453" s="50"/>
      <c r="F453" s="50"/>
      <c r="G453" s="51"/>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c r="AS453" s="50"/>
      <c r="AT453" s="50"/>
      <c r="AU453" s="50"/>
      <c r="AV453" s="50"/>
      <c r="AW453" s="50"/>
      <c r="AX453" s="50"/>
      <c r="AY453" s="50"/>
      <c r="AZ453" s="50"/>
      <c r="BA453" s="50"/>
      <c r="BB453" s="50"/>
      <c r="BC453" s="50"/>
      <c r="BD453" s="50"/>
      <c r="BE453" s="50"/>
      <c r="BF453" s="50"/>
      <c r="BG453" s="50"/>
      <c r="BH453" s="50"/>
      <c r="BI453" s="50"/>
      <c r="BJ453" s="50"/>
      <c r="BK453" s="50"/>
      <c r="BL453" s="50"/>
      <c r="BM453" s="50"/>
      <c r="BN453" s="50"/>
      <c r="BO453" s="50"/>
      <c r="BP453" s="50"/>
      <c r="BQ453" s="50"/>
      <c r="BR453" s="50"/>
      <c r="BS453" s="50"/>
      <c r="BT453" s="50"/>
      <c r="BU453" s="50"/>
      <c r="BV453" s="50"/>
      <c r="BW453" s="50"/>
      <c r="BX453" s="50"/>
      <c r="BY453" s="50"/>
      <c r="BZ453" s="50"/>
      <c r="CA453" s="50"/>
      <c r="CB453" s="50"/>
      <c r="CC453" s="50"/>
      <c r="CD453" s="52"/>
      <c r="CE453" s="50"/>
      <c r="CF453" s="50"/>
      <c r="CG453" s="50"/>
      <c r="CH453" s="50"/>
      <c r="CI453" s="50"/>
      <c r="CJ453" s="50"/>
      <c r="CK453" s="50"/>
      <c r="CL453" s="50"/>
      <c r="CM453" s="50"/>
      <c r="CN453" s="50"/>
      <c r="CO453" s="50"/>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c r="GE453" s="3"/>
      <c r="GF453" s="3"/>
      <c r="GG453" s="3"/>
      <c r="GH453" s="3"/>
      <c r="GI453" s="3"/>
      <c r="GJ453" s="3"/>
      <c r="GK453" s="3"/>
      <c r="GL453" s="3"/>
      <c r="GM453" s="3"/>
      <c r="GN453" s="3"/>
      <c r="GO453" s="3"/>
      <c r="GP453" s="3"/>
      <c r="GQ453" s="3"/>
      <c r="GR453" s="3"/>
      <c r="GS453" s="3"/>
      <c r="GT453" s="3"/>
      <c r="GU453" s="3"/>
      <c r="GV453" s="3"/>
      <c r="GW453" s="3"/>
      <c r="GX453" s="3"/>
      <c r="GY453" s="3"/>
      <c r="GZ453" s="3"/>
      <c r="HA453" s="3"/>
      <c r="HB453" s="3"/>
    </row>
    <row r="454" spans="1:210" ht="15.75" customHeight="1">
      <c r="A454" s="50"/>
      <c r="B454" s="50"/>
      <c r="C454" s="50"/>
      <c r="D454" s="50"/>
      <c r="E454" s="50"/>
      <c r="F454" s="50"/>
      <c r="G454" s="51"/>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c r="AS454" s="50"/>
      <c r="AT454" s="50"/>
      <c r="AU454" s="50"/>
      <c r="AV454" s="50"/>
      <c r="AW454" s="50"/>
      <c r="AX454" s="50"/>
      <c r="AY454" s="50"/>
      <c r="AZ454" s="50"/>
      <c r="BA454" s="50"/>
      <c r="BB454" s="50"/>
      <c r="BC454" s="50"/>
      <c r="BD454" s="50"/>
      <c r="BE454" s="50"/>
      <c r="BF454" s="50"/>
      <c r="BG454" s="50"/>
      <c r="BH454" s="50"/>
      <c r="BI454" s="50"/>
      <c r="BJ454" s="50"/>
      <c r="BK454" s="50"/>
      <c r="BL454" s="50"/>
      <c r="BM454" s="50"/>
      <c r="BN454" s="50"/>
      <c r="BO454" s="50"/>
      <c r="BP454" s="50"/>
      <c r="BQ454" s="50"/>
      <c r="BR454" s="50"/>
      <c r="BS454" s="50"/>
      <c r="BT454" s="50"/>
      <c r="BU454" s="50"/>
      <c r="BV454" s="50"/>
      <c r="BW454" s="50"/>
      <c r="BX454" s="50"/>
      <c r="BY454" s="50"/>
      <c r="BZ454" s="50"/>
      <c r="CA454" s="50"/>
      <c r="CB454" s="50"/>
      <c r="CC454" s="50"/>
      <c r="CD454" s="52"/>
      <c r="CE454" s="50"/>
      <c r="CF454" s="50"/>
      <c r="CG454" s="50"/>
      <c r="CH454" s="50"/>
      <c r="CI454" s="50"/>
      <c r="CJ454" s="50"/>
      <c r="CK454" s="50"/>
      <c r="CL454" s="50"/>
      <c r="CM454" s="50"/>
      <c r="CN454" s="50"/>
      <c r="CO454" s="50"/>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c r="GE454" s="3"/>
      <c r="GF454" s="3"/>
      <c r="GG454" s="3"/>
      <c r="GH454" s="3"/>
      <c r="GI454" s="3"/>
      <c r="GJ454" s="3"/>
      <c r="GK454" s="3"/>
      <c r="GL454" s="3"/>
      <c r="GM454" s="3"/>
      <c r="GN454" s="3"/>
      <c r="GO454" s="3"/>
      <c r="GP454" s="3"/>
      <c r="GQ454" s="3"/>
      <c r="GR454" s="3"/>
      <c r="GS454" s="3"/>
      <c r="GT454" s="3"/>
      <c r="GU454" s="3"/>
      <c r="GV454" s="3"/>
      <c r="GW454" s="3"/>
      <c r="GX454" s="3"/>
      <c r="GY454" s="3"/>
      <c r="GZ454" s="3"/>
      <c r="HA454" s="3"/>
      <c r="HB454" s="3"/>
    </row>
    <row r="455" spans="1:210" ht="15.75" customHeight="1">
      <c r="A455" s="50"/>
      <c r="B455" s="50"/>
      <c r="C455" s="50"/>
      <c r="D455" s="50"/>
      <c r="E455" s="50"/>
      <c r="F455" s="50"/>
      <c r="G455" s="51"/>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c r="AS455" s="50"/>
      <c r="AT455" s="50"/>
      <c r="AU455" s="50"/>
      <c r="AV455" s="50"/>
      <c r="AW455" s="50"/>
      <c r="AX455" s="50"/>
      <c r="AY455" s="50"/>
      <c r="AZ455" s="50"/>
      <c r="BA455" s="50"/>
      <c r="BB455" s="50"/>
      <c r="BC455" s="50"/>
      <c r="BD455" s="50"/>
      <c r="BE455" s="50"/>
      <c r="BF455" s="50"/>
      <c r="BG455" s="50"/>
      <c r="BH455" s="50"/>
      <c r="BI455" s="50"/>
      <c r="BJ455" s="50"/>
      <c r="BK455" s="50"/>
      <c r="BL455" s="50"/>
      <c r="BM455" s="50"/>
      <c r="BN455" s="50"/>
      <c r="BO455" s="50"/>
      <c r="BP455" s="50"/>
      <c r="BQ455" s="50"/>
      <c r="BR455" s="50"/>
      <c r="BS455" s="50"/>
      <c r="BT455" s="50"/>
      <c r="BU455" s="50"/>
      <c r="BV455" s="50"/>
      <c r="BW455" s="50"/>
      <c r="BX455" s="50"/>
      <c r="BY455" s="50"/>
      <c r="BZ455" s="50"/>
      <c r="CA455" s="50"/>
      <c r="CB455" s="50"/>
      <c r="CC455" s="50"/>
      <c r="CD455" s="52"/>
      <c r="CE455" s="50"/>
      <c r="CF455" s="50"/>
      <c r="CG455" s="50"/>
      <c r="CH455" s="50"/>
      <c r="CI455" s="50"/>
      <c r="CJ455" s="50"/>
      <c r="CK455" s="50"/>
      <c r="CL455" s="50"/>
      <c r="CM455" s="50"/>
      <c r="CN455" s="50"/>
      <c r="CO455" s="50"/>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c r="FS455" s="3"/>
      <c r="FT455" s="3"/>
      <c r="FU455" s="3"/>
      <c r="FV455" s="3"/>
      <c r="FW455" s="3"/>
      <c r="FX455" s="3"/>
      <c r="FY455" s="3"/>
      <c r="FZ455" s="3"/>
      <c r="GA455" s="3"/>
      <c r="GB455" s="3"/>
      <c r="GC455" s="3"/>
      <c r="GD455" s="3"/>
      <c r="GE455" s="3"/>
      <c r="GF455" s="3"/>
      <c r="GG455" s="3"/>
      <c r="GH455" s="3"/>
      <c r="GI455" s="3"/>
      <c r="GJ455" s="3"/>
      <c r="GK455" s="3"/>
      <c r="GL455" s="3"/>
      <c r="GM455" s="3"/>
      <c r="GN455" s="3"/>
      <c r="GO455" s="3"/>
      <c r="GP455" s="3"/>
      <c r="GQ455" s="3"/>
      <c r="GR455" s="3"/>
      <c r="GS455" s="3"/>
      <c r="GT455" s="3"/>
      <c r="GU455" s="3"/>
      <c r="GV455" s="3"/>
      <c r="GW455" s="3"/>
      <c r="GX455" s="3"/>
      <c r="GY455" s="3"/>
      <c r="GZ455" s="3"/>
      <c r="HA455" s="3"/>
      <c r="HB455" s="3"/>
    </row>
    <row r="456" spans="1:210" ht="15.75" customHeight="1">
      <c r="A456" s="50"/>
      <c r="B456" s="50"/>
      <c r="C456" s="50"/>
      <c r="D456" s="50"/>
      <c r="E456" s="50"/>
      <c r="F456" s="50"/>
      <c r="G456" s="51"/>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c r="AV456" s="50"/>
      <c r="AW456" s="50"/>
      <c r="AX456" s="50"/>
      <c r="AY456" s="50"/>
      <c r="AZ456" s="50"/>
      <c r="BA456" s="50"/>
      <c r="BB456" s="50"/>
      <c r="BC456" s="50"/>
      <c r="BD456" s="50"/>
      <c r="BE456" s="50"/>
      <c r="BF456" s="50"/>
      <c r="BG456" s="50"/>
      <c r="BH456" s="50"/>
      <c r="BI456" s="50"/>
      <c r="BJ456" s="50"/>
      <c r="BK456" s="50"/>
      <c r="BL456" s="50"/>
      <c r="BM456" s="50"/>
      <c r="BN456" s="50"/>
      <c r="BO456" s="50"/>
      <c r="BP456" s="50"/>
      <c r="BQ456" s="50"/>
      <c r="BR456" s="50"/>
      <c r="BS456" s="50"/>
      <c r="BT456" s="50"/>
      <c r="BU456" s="50"/>
      <c r="BV456" s="50"/>
      <c r="BW456" s="50"/>
      <c r="BX456" s="50"/>
      <c r="BY456" s="50"/>
      <c r="BZ456" s="50"/>
      <c r="CA456" s="50"/>
      <c r="CB456" s="50"/>
      <c r="CC456" s="50"/>
      <c r="CD456" s="52"/>
      <c r="CE456" s="50"/>
      <c r="CF456" s="50"/>
      <c r="CG456" s="50"/>
      <c r="CH456" s="50"/>
      <c r="CI456" s="50"/>
      <c r="CJ456" s="50"/>
      <c r="CK456" s="50"/>
      <c r="CL456" s="50"/>
      <c r="CM456" s="50"/>
      <c r="CN456" s="50"/>
      <c r="CO456" s="50"/>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row>
    <row r="457" spans="1:210" ht="15.75" customHeight="1">
      <c r="A457" s="50"/>
      <c r="B457" s="50"/>
      <c r="C457" s="50"/>
      <c r="D457" s="50"/>
      <c r="E457" s="50"/>
      <c r="F457" s="50"/>
      <c r="G457" s="51"/>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c r="AS457" s="50"/>
      <c r="AT457" s="50"/>
      <c r="AU457" s="50"/>
      <c r="AV457" s="50"/>
      <c r="AW457" s="50"/>
      <c r="AX457" s="50"/>
      <c r="AY457" s="50"/>
      <c r="AZ457" s="50"/>
      <c r="BA457" s="50"/>
      <c r="BB457" s="50"/>
      <c r="BC457" s="50"/>
      <c r="BD457" s="50"/>
      <c r="BE457" s="50"/>
      <c r="BF457" s="50"/>
      <c r="BG457" s="50"/>
      <c r="BH457" s="50"/>
      <c r="BI457" s="50"/>
      <c r="BJ457" s="50"/>
      <c r="BK457" s="50"/>
      <c r="BL457" s="50"/>
      <c r="BM457" s="50"/>
      <c r="BN457" s="50"/>
      <c r="BO457" s="50"/>
      <c r="BP457" s="50"/>
      <c r="BQ457" s="50"/>
      <c r="BR457" s="50"/>
      <c r="BS457" s="50"/>
      <c r="BT457" s="50"/>
      <c r="BU457" s="50"/>
      <c r="BV457" s="50"/>
      <c r="BW457" s="50"/>
      <c r="BX457" s="50"/>
      <c r="BY457" s="50"/>
      <c r="BZ457" s="50"/>
      <c r="CA457" s="50"/>
      <c r="CB457" s="50"/>
      <c r="CC457" s="50"/>
      <c r="CD457" s="52"/>
      <c r="CE457" s="50"/>
      <c r="CF457" s="50"/>
      <c r="CG457" s="50"/>
      <c r="CH457" s="50"/>
      <c r="CI457" s="50"/>
      <c r="CJ457" s="50"/>
      <c r="CK457" s="50"/>
      <c r="CL457" s="50"/>
      <c r="CM457" s="50"/>
      <c r="CN457" s="50"/>
      <c r="CO457" s="50"/>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c r="GE457" s="3"/>
      <c r="GF457" s="3"/>
      <c r="GG457" s="3"/>
      <c r="GH457" s="3"/>
      <c r="GI457" s="3"/>
      <c r="GJ457" s="3"/>
      <c r="GK457" s="3"/>
      <c r="GL457" s="3"/>
      <c r="GM457" s="3"/>
      <c r="GN457" s="3"/>
      <c r="GO457" s="3"/>
      <c r="GP457" s="3"/>
      <c r="GQ457" s="3"/>
      <c r="GR457" s="3"/>
      <c r="GS457" s="3"/>
      <c r="GT457" s="3"/>
      <c r="GU457" s="3"/>
      <c r="GV457" s="3"/>
      <c r="GW457" s="3"/>
      <c r="GX457" s="3"/>
      <c r="GY457" s="3"/>
      <c r="GZ457" s="3"/>
      <c r="HA457" s="3"/>
      <c r="HB457" s="3"/>
    </row>
    <row r="458" spans="1:210" ht="15.75" customHeight="1">
      <c r="A458" s="50"/>
      <c r="B458" s="50"/>
      <c r="C458" s="50"/>
      <c r="D458" s="50"/>
      <c r="E458" s="50"/>
      <c r="F458" s="50"/>
      <c r="G458" s="51"/>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c r="AS458" s="50"/>
      <c r="AT458" s="50"/>
      <c r="AU458" s="50"/>
      <c r="AV458" s="50"/>
      <c r="AW458" s="50"/>
      <c r="AX458" s="50"/>
      <c r="AY458" s="50"/>
      <c r="AZ458" s="50"/>
      <c r="BA458" s="50"/>
      <c r="BB458" s="50"/>
      <c r="BC458" s="50"/>
      <c r="BD458" s="50"/>
      <c r="BE458" s="50"/>
      <c r="BF458" s="50"/>
      <c r="BG458" s="50"/>
      <c r="BH458" s="50"/>
      <c r="BI458" s="50"/>
      <c r="BJ458" s="50"/>
      <c r="BK458" s="50"/>
      <c r="BL458" s="50"/>
      <c r="BM458" s="50"/>
      <c r="BN458" s="50"/>
      <c r="BO458" s="50"/>
      <c r="BP458" s="50"/>
      <c r="BQ458" s="50"/>
      <c r="BR458" s="50"/>
      <c r="BS458" s="50"/>
      <c r="BT458" s="50"/>
      <c r="BU458" s="50"/>
      <c r="BV458" s="50"/>
      <c r="BW458" s="50"/>
      <c r="BX458" s="50"/>
      <c r="BY458" s="50"/>
      <c r="BZ458" s="50"/>
      <c r="CA458" s="50"/>
      <c r="CB458" s="50"/>
      <c r="CC458" s="50"/>
      <c r="CD458" s="52"/>
      <c r="CE458" s="50"/>
      <c r="CF458" s="50"/>
      <c r="CG458" s="50"/>
      <c r="CH458" s="50"/>
      <c r="CI458" s="50"/>
      <c r="CJ458" s="50"/>
      <c r="CK458" s="50"/>
      <c r="CL458" s="50"/>
      <c r="CM458" s="50"/>
      <c r="CN458" s="50"/>
      <c r="CO458" s="50"/>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c r="GE458" s="3"/>
      <c r="GF458" s="3"/>
      <c r="GG458" s="3"/>
      <c r="GH458" s="3"/>
      <c r="GI458" s="3"/>
      <c r="GJ458" s="3"/>
      <c r="GK458" s="3"/>
      <c r="GL458" s="3"/>
      <c r="GM458" s="3"/>
      <c r="GN458" s="3"/>
      <c r="GO458" s="3"/>
      <c r="GP458" s="3"/>
      <c r="GQ458" s="3"/>
      <c r="GR458" s="3"/>
      <c r="GS458" s="3"/>
      <c r="GT458" s="3"/>
      <c r="GU458" s="3"/>
      <c r="GV458" s="3"/>
      <c r="GW458" s="3"/>
      <c r="GX458" s="3"/>
      <c r="GY458" s="3"/>
      <c r="GZ458" s="3"/>
      <c r="HA458" s="3"/>
      <c r="HB458" s="3"/>
    </row>
    <row r="459" spans="1:210" ht="15.75" customHeight="1">
      <c r="A459" s="50"/>
      <c r="B459" s="50"/>
      <c r="C459" s="50"/>
      <c r="D459" s="50"/>
      <c r="E459" s="50"/>
      <c r="F459" s="50"/>
      <c r="G459" s="51"/>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c r="AR459" s="50"/>
      <c r="AS459" s="50"/>
      <c r="AT459" s="50"/>
      <c r="AU459" s="50"/>
      <c r="AV459" s="50"/>
      <c r="AW459" s="50"/>
      <c r="AX459" s="50"/>
      <c r="AY459" s="50"/>
      <c r="AZ459" s="50"/>
      <c r="BA459" s="50"/>
      <c r="BB459" s="50"/>
      <c r="BC459" s="50"/>
      <c r="BD459" s="50"/>
      <c r="BE459" s="50"/>
      <c r="BF459" s="50"/>
      <c r="BG459" s="50"/>
      <c r="BH459" s="50"/>
      <c r="BI459" s="50"/>
      <c r="BJ459" s="50"/>
      <c r="BK459" s="50"/>
      <c r="BL459" s="50"/>
      <c r="BM459" s="50"/>
      <c r="BN459" s="50"/>
      <c r="BO459" s="50"/>
      <c r="BP459" s="50"/>
      <c r="BQ459" s="50"/>
      <c r="BR459" s="50"/>
      <c r="BS459" s="50"/>
      <c r="BT459" s="50"/>
      <c r="BU459" s="50"/>
      <c r="BV459" s="50"/>
      <c r="BW459" s="50"/>
      <c r="BX459" s="50"/>
      <c r="BY459" s="50"/>
      <c r="BZ459" s="50"/>
      <c r="CA459" s="50"/>
      <c r="CB459" s="50"/>
      <c r="CC459" s="50"/>
      <c r="CD459" s="52"/>
      <c r="CE459" s="50"/>
      <c r="CF459" s="50"/>
      <c r="CG459" s="50"/>
      <c r="CH459" s="50"/>
      <c r="CI459" s="50"/>
      <c r="CJ459" s="50"/>
      <c r="CK459" s="50"/>
      <c r="CL459" s="50"/>
      <c r="CM459" s="50"/>
      <c r="CN459" s="50"/>
      <c r="CO459" s="50"/>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row>
    <row r="460" spans="1:210" ht="15.75" customHeight="1">
      <c r="A460" s="50"/>
      <c r="B460" s="50"/>
      <c r="C460" s="50"/>
      <c r="D460" s="50"/>
      <c r="E460" s="50"/>
      <c r="F460" s="50"/>
      <c r="G460" s="51"/>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c r="AS460" s="50"/>
      <c r="AT460" s="50"/>
      <c r="AU460" s="50"/>
      <c r="AV460" s="50"/>
      <c r="AW460" s="50"/>
      <c r="AX460" s="50"/>
      <c r="AY460" s="50"/>
      <c r="AZ460" s="50"/>
      <c r="BA460" s="50"/>
      <c r="BB460" s="50"/>
      <c r="BC460" s="50"/>
      <c r="BD460" s="50"/>
      <c r="BE460" s="50"/>
      <c r="BF460" s="50"/>
      <c r="BG460" s="50"/>
      <c r="BH460" s="50"/>
      <c r="BI460" s="50"/>
      <c r="BJ460" s="50"/>
      <c r="BK460" s="50"/>
      <c r="BL460" s="50"/>
      <c r="BM460" s="50"/>
      <c r="BN460" s="50"/>
      <c r="BO460" s="50"/>
      <c r="BP460" s="50"/>
      <c r="BQ460" s="50"/>
      <c r="BR460" s="50"/>
      <c r="BS460" s="50"/>
      <c r="BT460" s="50"/>
      <c r="BU460" s="50"/>
      <c r="BV460" s="50"/>
      <c r="BW460" s="50"/>
      <c r="BX460" s="50"/>
      <c r="BY460" s="50"/>
      <c r="BZ460" s="50"/>
      <c r="CA460" s="50"/>
      <c r="CB460" s="50"/>
      <c r="CC460" s="50"/>
      <c r="CD460" s="52"/>
      <c r="CE460" s="50"/>
      <c r="CF460" s="50"/>
      <c r="CG460" s="50"/>
      <c r="CH460" s="50"/>
      <c r="CI460" s="50"/>
      <c r="CJ460" s="50"/>
      <c r="CK460" s="50"/>
      <c r="CL460" s="50"/>
      <c r="CM460" s="50"/>
      <c r="CN460" s="50"/>
      <c r="CO460" s="50"/>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c r="GE460" s="3"/>
      <c r="GF460" s="3"/>
      <c r="GG460" s="3"/>
      <c r="GH460" s="3"/>
      <c r="GI460" s="3"/>
      <c r="GJ460" s="3"/>
      <c r="GK460" s="3"/>
      <c r="GL460" s="3"/>
      <c r="GM460" s="3"/>
      <c r="GN460" s="3"/>
      <c r="GO460" s="3"/>
      <c r="GP460" s="3"/>
      <c r="GQ460" s="3"/>
      <c r="GR460" s="3"/>
      <c r="GS460" s="3"/>
      <c r="GT460" s="3"/>
      <c r="GU460" s="3"/>
      <c r="GV460" s="3"/>
      <c r="GW460" s="3"/>
      <c r="GX460" s="3"/>
      <c r="GY460" s="3"/>
      <c r="GZ460" s="3"/>
      <c r="HA460" s="3"/>
      <c r="HB460" s="3"/>
    </row>
    <row r="461" spans="1:210" ht="15.75" customHeight="1">
      <c r="A461" s="50"/>
      <c r="B461" s="50"/>
      <c r="C461" s="50"/>
      <c r="D461" s="50"/>
      <c r="E461" s="50"/>
      <c r="F461" s="50"/>
      <c r="G461" s="51"/>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c r="AS461" s="50"/>
      <c r="AT461" s="50"/>
      <c r="AU461" s="50"/>
      <c r="AV461" s="50"/>
      <c r="AW461" s="50"/>
      <c r="AX461" s="50"/>
      <c r="AY461" s="50"/>
      <c r="AZ461" s="50"/>
      <c r="BA461" s="50"/>
      <c r="BB461" s="50"/>
      <c r="BC461" s="50"/>
      <c r="BD461" s="50"/>
      <c r="BE461" s="50"/>
      <c r="BF461" s="50"/>
      <c r="BG461" s="50"/>
      <c r="BH461" s="50"/>
      <c r="BI461" s="50"/>
      <c r="BJ461" s="50"/>
      <c r="BK461" s="50"/>
      <c r="BL461" s="50"/>
      <c r="BM461" s="50"/>
      <c r="BN461" s="50"/>
      <c r="BO461" s="50"/>
      <c r="BP461" s="50"/>
      <c r="BQ461" s="50"/>
      <c r="BR461" s="50"/>
      <c r="BS461" s="50"/>
      <c r="BT461" s="50"/>
      <c r="BU461" s="50"/>
      <c r="BV461" s="50"/>
      <c r="BW461" s="50"/>
      <c r="BX461" s="50"/>
      <c r="BY461" s="50"/>
      <c r="BZ461" s="50"/>
      <c r="CA461" s="50"/>
      <c r="CB461" s="50"/>
      <c r="CC461" s="50"/>
      <c r="CD461" s="52"/>
      <c r="CE461" s="50"/>
      <c r="CF461" s="50"/>
      <c r="CG461" s="50"/>
      <c r="CH461" s="50"/>
      <c r="CI461" s="50"/>
      <c r="CJ461" s="50"/>
      <c r="CK461" s="50"/>
      <c r="CL461" s="50"/>
      <c r="CM461" s="50"/>
      <c r="CN461" s="50"/>
      <c r="CO461" s="50"/>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c r="GE461" s="3"/>
      <c r="GF461" s="3"/>
      <c r="GG461" s="3"/>
      <c r="GH461" s="3"/>
      <c r="GI461" s="3"/>
      <c r="GJ461" s="3"/>
      <c r="GK461" s="3"/>
      <c r="GL461" s="3"/>
      <c r="GM461" s="3"/>
      <c r="GN461" s="3"/>
      <c r="GO461" s="3"/>
      <c r="GP461" s="3"/>
      <c r="GQ461" s="3"/>
      <c r="GR461" s="3"/>
      <c r="GS461" s="3"/>
      <c r="GT461" s="3"/>
      <c r="GU461" s="3"/>
      <c r="GV461" s="3"/>
      <c r="GW461" s="3"/>
      <c r="GX461" s="3"/>
      <c r="GY461" s="3"/>
      <c r="GZ461" s="3"/>
      <c r="HA461" s="3"/>
      <c r="HB461" s="3"/>
    </row>
    <row r="462" spans="1:210" ht="15.75" customHeight="1">
      <c r="A462" s="50"/>
      <c r="B462" s="50"/>
      <c r="C462" s="50"/>
      <c r="D462" s="50"/>
      <c r="E462" s="50"/>
      <c r="F462" s="50"/>
      <c r="G462" s="51"/>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c r="AS462" s="50"/>
      <c r="AT462" s="50"/>
      <c r="AU462" s="50"/>
      <c r="AV462" s="50"/>
      <c r="AW462" s="50"/>
      <c r="AX462" s="50"/>
      <c r="AY462" s="50"/>
      <c r="AZ462" s="50"/>
      <c r="BA462" s="50"/>
      <c r="BB462" s="50"/>
      <c r="BC462" s="50"/>
      <c r="BD462" s="50"/>
      <c r="BE462" s="50"/>
      <c r="BF462" s="50"/>
      <c r="BG462" s="50"/>
      <c r="BH462" s="50"/>
      <c r="BI462" s="50"/>
      <c r="BJ462" s="50"/>
      <c r="BK462" s="50"/>
      <c r="BL462" s="50"/>
      <c r="BM462" s="50"/>
      <c r="BN462" s="50"/>
      <c r="BO462" s="50"/>
      <c r="BP462" s="50"/>
      <c r="BQ462" s="50"/>
      <c r="BR462" s="50"/>
      <c r="BS462" s="50"/>
      <c r="BT462" s="50"/>
      <c r="BU462" s="50"/>
      <c r="BV462" s="50"/>
      <c r="BW462" s="50"/>
      <c r="BX462" s="50"/>
      <c r="BY462" s="50"/>
      <c r="BZ462" s="50"/>
      <c r="CA462" s="50"/>
      <c r="CB462" s="50"/>
      <c r="CC462" s="50"/>
      <c r="CD462" s="52"/>
      <c r="CE462" s="50"/>
      <c r="CF462" s="50"/>
      <c r="CG462" s="50"/>
      <c r="CH462" s="50"/>
      <c r="CI462" s="50"/>
      <c r="CJ462" s="50"/>
      <c r="CK462" s="50"/>
      <c r="CL462" s="50"/>
      <c r="CM462" s="50"/>
      <c r="CN462" s="50"/>
      <c r="CO462" s="50"/>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c r="GE462" s="3"/>
      <c r="GF462" s="3"/>
      <c r="GG462" s="3"/>
      <c r="GH462" s="3"/>
      <c r="GI462" s="3"/>
      <c r="GJ462" s="3"/>
      <c r="GK462" s="3"/>
      <c r="GL462" s="3"/>
      <c r="GM462" s="3"/>
      <c r="GN462" s="3"/>
      <c r="GO462" s="3"/>
      <c r="GP462" s="3"/>
      <c r="GQ462" s="3"/>
      <c r="GR462" s="3"/>
      <c r="GS462" s="3"/>
      <c r="GT462" s="3"/>
      <c r="GU462" s="3"/>
      <c r="GV462" s="3"/>
      <c r="GW462" s="3"/>
      <c r="GX462" s="3"/>
      <c r="GY462" s="3"/>
      <c r="GZ462" s="3"/>
      <c r="HA462" s="3"/>
      <c r="HB462" s="3"/>
    </row>
    <row r="463" spans="1:210" ht="15.75" customHeight="1">
      <c r="A463" s="50"/>
      <c r="B463" s="50"/>
      <c r="C463" s="50"/>
      <c r="D463" s="50"/>
      <c r="E463" s="50"/>
      <c r="F463" s="50"/>
      <c r="G463" s="51"/>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c r="AS463" s="50"/>
      <c r="AT463" s="50"/>
      <c r="AU463" s="50"/>
      <c r="AV463" s="50"/>
      <c r="AW463" s="50"/>
      <c r="AX463" s="50"/>
      <c r="AY463" s="50"/>
      <c r="AZ463" s="50"/>
      <c r="BA463" s="50"/>
      <c r="BB463" s="50"/>
      <c r="BC463" s="50"/>
      <c r="BD463" s="50"/>
      <c r="BE463" s="50"/>
      <c r="BF463" s="50"/>
      <c r="BG463" s="50"/>
      <c r="BH463" s="50"/>
      <c r="BI463" s="50"/>
      <c r="BJ463" s="50"/>
      <c r="BK463" s="50"/>
      <c r="BL463" s="50"/>
      <c r="BM463" s="50"/>
      <c r="BN463" s="50"/>
      <c r="BO463" s="50"/>
      <c r="BP463" s="50"/>
      <c r="BQ463" s="50"/>
      <c r="BR463" s="50"/>
      <c r="BS463" s="50"/>
      <c r="BT463" s="50"/>
      <c r="BU463" s="50"/>
      <c r="BV463" s="50"/>
      <c r="BW463" s="50"/>
      <c r="BX463" s="50"/>
      <c r="BY463" s="50"/>
      <c r="BZ463" s="50"/>
      <c r="CA463" s="50"/>
      <c r="CB463" s="50"/>
      <c r="CC463" s="50"/>
      <c r="CD463" s="52"/>
      <c r="CE463" s="50"/>
      <c r="CF463" s="50"/>
      <c r="CG463" s="50"/>
      <c r="CH463" s="50"/>
      <c r="CI463" s="50"/>
      <c r="CJ463" s="50"/>
      <c r="CK463" s="50"/>
      <c r="CL463" s="50"/>
      <c r="CM463" s="50"/>
      <c r="CN463" s="50"/>
      <c r="CO463" s="50"/>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c r="GE463" s="3"/>
      <c r="GF463" s="3"/>
      <c r="GG463" s="3"/>
      <c r="GH463" s="3"/>
      <c r="GI463" s="3"/>
      <c r="GJ463" s="3"/>
      <c r="GK463" s="3"/>
      <c r="GL463" s="3"/>
      <c r="GM463" s="3"/>
      <c r="GN463" s="3"/>
      <c r="GO463" s="3"/>
      <c r="GP463" s="3"/>
      <c r="GQ463" s="3"/>
      <c r="GR463" s="3"/>
      <c r="GS463" s="3"/>
      <c r="GT463" s="3"/>
      <c r="GU463" s="3"/>
      <c r="GV463" s="3"/>
      <c r="GW463" s="3"/>
      <c r="GX463" s="3"/>
      <c r="GY463" s="3"/>
      <c r="GZ463" s="3"/>
      <c r="HA463" s="3"/>
      <c r="HB463" s="3"/>
    </row>
    <row r="464" spans="1:210" ht="15.75" customHeight="1">
      <c r="A464" s="50"/>
      <c r="B464" s="50"/>
      <c r="C464" s="50"/>
      <c r="D464" s="50"/>
      <c r="E464" s="50"/>
      <c r="F464" s="50"/>
      <c r="G464" s="51"/>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c r="AS464" s="50"/>
      <c r="AT464" s="50"/>
      <c r="AU464" s="50"/>
      <c r="AV464" s="50"/>
      <c r="AW464" s="50"/>
      <c r="AX464" s="50"/>
      <c r="AY464" s="50"/>
      <c r="AZ464" s="50"/>
      <c r="BA464" s="50"/>
      <c r="BB464" s="50"/>
      <c r="BC464" s="50"/>
      <c r="BD464" s="50"/>
      <c r="BE464" s="50"/>
      <c r="BF464" s="50"/>
      <c r="BG464" s="50"/>
      <c r="BH464" s="50"/>
      <c r="BI464" s="50"/>
      <c r="BJ464" s="50"/>
      <c r="BK464" s="50"/>
      <c r="BL464" s="50"/>
      <c r="BM464" s="50"/>
      <c r="BN464" s="50"/>
      <c r="BO464" s="50"/>
      <c r="BP464" s="50"/>
      <c r="BQ464" s="50"/>
      <c r="BR464" s="50"/>
      <c r="BS464" s="50"/>
      <c r="BT464" s="50"/>
      <c r="BU464" s="50"/>
      <c r="BV464" s="50"/>
      <c r="BW464" s="50"/>
      <c r="BX464" s="50"/>
      <c r="BY464" s="50"/>
      <c r="BZ464" s="50"/>
      <c r="CA464" s="50"/>
      <c r="CB464" s="50"/>
      <c r="CC464" s="50"/>
      <c r="CD464" s="52"/>
      <c r="CE464" s="50"/>
      <c r="CF464" s="50"/>
      <c r="CG464" s="50"/>
      <c r="CH464" s="50"/>
      <c r="CI464" s="50"/>
      <c r="CJ464" s="50"/>
      <c r="CK464" s="50"/>
      <c r="CL464" s="50"/>
      <c r="CM464" s="50"/>
      <c r="CN464" s="50"/>
      <c r="CO464" s="50"/>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c r="GE464" s="3"/>
      <c r="GF464" s="3"/>
      <c r="GG464" s="3"/>
      <c r="GH464" s="3"/>
      <c r="GI464" s="3"/>
      <c r="GJ464" s="3"/>
      <c r="GK464" s="3"/>
      <c r="GL464" s="3"/>
      <c r="GM464" s="3"/>
      <c r="GN464" s="3"/>
      <c r="GO464" s="3"/>
      <c r="GP464" s="3"/>
      <c r="GQ464" s="3"/>
      <c r="GR464" s="3"/>
      <c r="GS464" s="3"/>
      <c r="GT464" s="3"/>
      <c r="GU464" s="3"/>
      <c r="GV464" s="3"/>
      <c r="GW464" s="3"/>
      <c r="GX464" s="3"/>
      <c r="GY464" s="3"/>
      <c r="GZ464" s="3"/>
      <c r="HA464" s="3"/>
      <c r="HB464" s="3"/>
    </row>
    <row r="465" spans="1:210" ht="15.75" customHeight="1">
      <c r="A465" s="50"/>
      <c r="B465" s="50"/>
      <c r="C465" s="50"/>
      <c r="D465" s="50"/>
      <c r="E465" s="50"/>
      <c r="F465" s="50"/>
      <c r="G465" s="51"/>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c r="AS465" s="50"/>
      <c r="AT465" s="50"/>
      <c r="AU465" s="50"/>
      <c r="AV465" s="50"/>
      <c r="AW465" s="50"/>
      <c r="AX465" s="50"/>
      <c r="AY465" s="50"/>
      <c r="AZ465" s="50"/>
      <c r="BA465" s="50"/>
      <c r="BB465" s="50"/>
      <c r="BC465" s="50"/>
      <c r="BD465" s="50"/>
      <c r="BE465" s="50"/>
      <c r="BF465" s="50"/>
      <c r="BG465" s="50"/>
      <c r="BH465" s="50"/>
      <c r="BI465" s="50"/>
      <c r="BJ465" s="50"/>
      <c r="BK465" s="50"/>
      <c r="BL465" s="50"/>
      <c r="BM465" s="50"/>
      <c r="BN465" s="50"/>
      <c r="BO465" s="50"/>
      <c r="BP465" s="50"/>
      <c r="BQ465" s="50"/>
      <c r="BR465" s="50"/>
      <c r="BS465" s="50"/>
      <c r="BT465" s="50"/>
      <c r="BU465" s="50"/>
      <c r="BV465" s="50"/>
      <c r="BW465" s="50"/>
      <c r="BX465" s="50"/>
      <c r="BY465" s="50"/>
      <c r="BZ465" s="50"/>
      <c r="CA465" s="50"/>
      <c r="CB465" s="50"/>
      <c r="CC465" s="50"/>
      <c r="CD465" s="52"/>
      <c r="CE465" s="50"/>
      <c r="CF465" s="50"/>
      <c r="CG465" s="50"/>
      <c r="CH465" s="50"/>
      <c r="CI465" s="50"/>
      <c r="CJ465" s="50"/>
      <c r="CK465" s="50"/>
      <c r="CL465" s="50"/>
      <c r="CM465" s="50"/>
      <c r="CN465" s="50"/>
      <c r="CO465" s="50"/>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c r="FS465" s="3"/>
      <c r="FT465" s="3"/>
      <c r="FU465" s="3"/>
      <c r="FV465" s="3"/>
      <c r="FW465" s="3"/>
      <c r="FX465" s="3"/>
      <c r="FY465" s="3"/>
      <c r="FZ465" s="3"/>
      <c r="GA465" s="3"/>
      <c r="GB465" s="3"/>
      <c r="GC465" s="3"/>
      <c r="GD465" s="3"/>
      <c r="GE465" s="3"/>
      <c r="GF465" s="3"/>
      <c r="GG465" s="3"/>
      <c r="GH465" s="3"/>
      <c r="GI465" s="3"/>
      <c r="GJ465" s="3"/>
      <c r="GK465" s="3"/>
      <c r="GL465" s="3"/>
      <c r="GM465" s="3"/>
      <c r="GN465" s="3"/>
      <c r="GO465" s="3"/>
      <c r="GP465" s="3"/>
      <c r="GQ465" s="3"/>
      <c r="GR465" s="3"/>
      <c r="GS465" s="3"/>
      <c r="GT465" s="3"/>
      <c r="GU465" s="3"/>
      <c r="GV465" s="3"/>
      <c r="GW465" s="3"/>
      <c r="GX465" s="3"/>
      <c r="GY465" s="3"/>
      <c r="GZ465" s="3"/>
      <c r="HA465" s="3"/>
      <c r="HB465" s="3"/>
    </row>
    <row r="466" spans="1:210" ht="15.75" customHeight="1">
      <c r="A466" s="50"/>
      <c r="B466" s="50"/>
      <c r="C466" s="50"/>
      <c r="D466" s="50"/>
      <c r="E466" s="50"/>
      <c r="F466" s="50"/>
      <c r="G466" s="51"/>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c r="AS466" s="50"/>
      <c r="AT466" s="50"/>
      <c r="AU466" s="50"/>
      <c r="AV466" s="50"/>
      <c r="AW466" s="50"/>
      <c r="AX466" s="50"/>
      <c r="AY466" s="50"/>
      <c r="AZ466" s="50"/>
      <c r="BA466" s="50"/>
      <c r="BB466" s="50"/>
      <c r="BC466" s="50"/>
      <c r="BD466" s="50"/>
      <c r="BE466" s="50"/>
      <c r="BF466" s="50"/>
      <c r="BG466" s="50"/>
      <c r="BH466" s="50"/>
      <c r="BI466" s="50"/>
      <c r="BJ466" s="50"/>
      <c r="BK466" s="50"/>
      <c r="BL466" s="50"/>
      <c r="BM466" s="50"/>
      <c r="BN466" s="50"/>
      <c r="BO466" s="50"/>
      <c r="BP466" s="50"/>
      <c r="BQ466" s="50"/>
      <c r="BR466" s="50"/>
      <c r="BS466" s="50"/>
      <c r="BT466" s="50"/>
      <c r="BU466" s="50"/>
      <c r="BV466" s="50"/>
      <c r="BW466" s="50"/>
      <c r="BX466" s="50"/>
      <c r="BY466" s="50"/>
      <c r="BZ466" s="50"/>
      <c r="CA466" s="50"/>
      <c r="CB466" s="50"/>
      <c r="CC466" s="50"/>
      <c r="CD466" s="52"/>
      <c r="CE466" s="50"/>
      <c r="CF466" s="50"/>
      <c r="CG466" s="50"/>
      <c r="CH466" s="50"/>
      <c r="CI466" s="50"/>
      <c r="CJ466" s="50"/>
      <c r="CK466" s="50"/>
      <c r="CL466" s="50"/>
      <c r="CM466" s="50"/>
      <c r="CN466" s="50"/>
      <c r="CO466" s="50"/>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c r="GE466" s="3"/>
      <c r="GF466" s="3"/>
      <c r="GG466" s="3"/>
      <c r="GH466" s="3"/>
      <c r="GI466" s="3"/>
      <c r="GJ466" s="3"/>
      <c r="GK466" s="3"/>
      <c r="GL466" s="3"/>
      <c r="GM466" s="3"/>
      <c r="GN466" s="3"/>
      <c r="GO466" s="3"/>
      <c r="GP466" s="3"/>
      <c r="GQ466" s="3"/>
      <c r="GR466" s="3"/>
      <c r="GS466" s="3"/>
      <c r="GT466" s="3"/>
      <c r="GU466" s="3"/>
      <c r="GV466" s="3"/>
      <c r="GW466" s="3"/>
      <c r="GX466" s="3"/>
      <c r="GY466" s="3"/>
      <c r="GZ466" s="3"/>
      <c r="HA466" s="3"/>
      <c r="HB466" s="3"/>
    </row>
    <row r="467" spans="1:210" ht="15.75" customHeight="1">
      <c r="A467" s="50"/>
      <c r="B467" s="50"/>
      <c r="C467" s="50"/>
      <c r="D467" s="50"/>
      <c r="E467" s="50"/>
      <c r="F467" s="50"/>
      <c r="G467" s="51"/>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c r="AS467" s="50"/>
      <c r="AT467" s="50"/>
      <c r="AU467" s="50"/>
      <c r="AV467" s="50"/>
      <c r="AW467" s="50"/>
      <c r="AX467" s="50"/>
      <c r="AY467" s="50"/>
      <c r="AZ467" s="50"/>
      <c r="BA467" s="50"/>
      <c r="BB467" s="50"/>
      <c r="BC467" s="50"/>
      <c r="BD467" s="50"/>
      <c r="BE467" s="50"/>
      <c r="BF467" s="50"/>
      <c r="BG467" s="50"/>
      <c r="BH467" s="50"/>
      <c r="BI467" s="50"/>
      <c r="BJ467" s="50"/>
      <c r="BK467" s="50"/>
      <c r="BL467" s="50"/>
      <c r="BM467" s="50"/>
      <c r="BN467" s="50"/>
      <c r="BO467" s="50"/>
      <c r="BP467" s="50"/>
      <c r="BQ467" s="50"/>
      <c r="BR467" s="50"/>
      <c r="BS467" s="50"/>
      <c r="BT467" s="50"/>
      <c r="BU467" s="50"/>
      <c r="BV467" s="50"/>
      <c r="BW467" s="50"/>
      <c r="BX467" s="50"/>
      <c r="BY467" s="50"/>
      <c r="BZ467" s="50"/>
      <c r="CA467" s="50"/>
      <c r="CB467" s="50"/>
      <c r="CC467" s="50"/>
      <c r="CD467" s="52"/>
      <c r="CE467" s="50"/>
      <c r="CF467" s="50"/>
      <c r="CG467" s="50"/>
      <c r="CH467" s="50"/>
      <c r="CI467" s="50"/>
      <c r="CJ467" s="50"/>
      <c r="CK467" s="50"/>
      <c r="CL467" s="50"/>
      <c r="CM467" s="50"/>
      <c r="CN467" s="50"/>
      <c r="CO467" s="50"/>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c r="GE467" s="3"/>
      <c r="GF467" s="3"/>
      <c r="GG467" s="3"/>
      <c r="GH467" s="3"/>
      <c r="GI467" s="3"/>
      <c r="GJ467" s="3"/>
      <c r="GK467" s="3"/>
      <c r="GL467" s="3"/>
      <c r="GM467" s="3"/>
      <c r="GN467" s="3"/>
      <c r="GO467" s="3"/>
      <c r="GP467" s="3"/>
      <c r="GQ467" s="3"/>
      <c r="GR467" s="3"/>
      <c r="GS467" s="3"/>
      <c r="GT467" s="3"/>
      <c r="GU467" s="3"/>
      <c r="GV467" s="3"/>
      <c r="GW467" s="3"/>
      <c r="GX467" s="3"/>
      <c r="GY467" s="3"/>
      <c r="GZ467" s="3"/>
      <c r="HA467" s="3"/>
      <c r="HB467" s="3"/>
    </row>
    <row r="468" spans="1:210" ht="15.75" customHeight="1">
      <c r="A468" s="50"/>
      <c r="B468" s="50"/>
      <c r="C468" s="50"/>
      <c r="D468" s="50"/>
      <c r="E468" s="50"/>
      <c r="F468" s="50"/>
      <c r="G468" s="51"/>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c r="AS468" s="50"/>
      <c r="AT468" s="50"/>
      <c r="AU468" s="50"/>
      <c r="AV468" s="50"/>
      <c r="AW468" s="50"/>
      <c r="AX468" s="50"/>
      <c r="AY468" s="50"/>
      <c r="AZ468" s="50"/>
      <c r="BA468" s="50"/>
      <c r="BB468" s="50"/>
      <c r="BC468" s="50"/>
      <c r="BD468" s="50"/>
      <c r="BE468" s="50"/>
      <c r="BF468" s="50"/>
      <c r="BG468" s="50"/>
      <c r="BH468" s="50"/>
      <c r="BI468" s="50"/>
      <c r="BJ468" s="50"/>
      <c r="BK468" s="50"/>
      <c r="BL468" s="50"/>
      <c r="BM468" s="50"/>
      <c r="BN468" s="50"/>
      <c r="BO468" s="50"/>
      <c r="BP468" s="50"/>
      <c r="BQ468" s="50"/>
      <c r="BR468" s="50"/>
      <c r="BS468" s="50"/>
      <c r="BT468" s="50"/>
      <c r="BU468" s="50"/>
      <c r="BV468" s="50"/>
      <c r="BW468" s="50"/>
      <c r="BX468" s="50"/>
      <c r="BY468" s="50"/>
      <c r="BZ468" s="50"/>
      <c r="CA468" s="50"/>
      <c r="CB468" s="50"/>
      <c r="CC468" s="50"/>
      <c r="CD468" s="52"/>
      <c r="CE468" s="50"/>
      <c r="CF468" s="50"/>
      <c r="CG468" s="50"/>
      <c r="CH468" s="50"/>
      <c r="CI468" s="50"/>
      <c r="CJ468" s="50"/>
      <c r="CK468" s="50"/>
      <c r="CL468" s="50"/>
      <c r="CM468" s="50"/>
      <c r="CN468" s="50"/>
      <c r="CO468" s="50"/>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c r="GE468" s="3"/>
      <c r="GF468" s="3"/>
      <c r="GG468" s="3"/>
      <c r="GH468" s="3"/>
      <c r="GI468" s="3"/>
      <c r="GJ468" s="3"/>
      <c r="GK468" s="3"/>
      <c r="GL468" s="3"/>
      <c r="GM468" s="3"/>
      <c r="GN468" s="3"/>
      <c r="GO468" s="3"/>
      <c r="GP468" s="3"/>
      <c r="GQ468" s="3"/>
      <c r="GR468" s="3"/>
      <c r="GS468" s="3"/>
      <c r="GT468" s="3"/>
      <c r="GU468" s="3"/>
      <c r="GV468" s="3"/>
      <c r="GW468" s="3"/>
      <c r="GX468" s="3"/>
      <c r="GY468" s="3"/>
      <c r="GZ468" s="3"/>
      <c r="HA468" s="3"/>
      <c r="HB468" s="3"/>
    </row>
    <row r="469" spans="1:210" ht="15.75" customHeight="1">
      <c r="A469" s="50"/>
      <c r="B469" s="50"/>
      <c r="C469" s="50"/>
      <c r="D469" s="50"/>
      <c r="E469" s="50"/>
      <c r="F469" s="50"/>
      <c r="G469" s="51"/>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c r="AR469" s="50"/>
      <c r="AS469" s="50"/>
      <c r="AT469" s="50"/>
      <c r="AU469" s="50"/>
      <c r="AV469" s="50"/>
      <c r="AW469" s="50"/>
      <c r="AX469" s="50"/>
      <c r="AY469" s="50"/>
      <c r="AZ469" s="50"/>
      <c r="BA469" s="50"/>
      <c r="BB469" s="50"/>
      <c r="BC469" s="50"/>
      <c r="BD469" s="50"/>
      <c r="BE469" s="50"/>
      <c r="BF469" s="50"/>
      <c r="BG469" s="50"/>
      <c r="BH469" s="50"/>
      <c r="BI469" s="50"/>
      <c r="BJ469" s="50"/>
      <c r="BK469" s="50"/>
      <c r="BL469" s="50"/>
      <c r="BM469" s="50"/>
      <c r="BN469" s="50"/>
      <c r="BO469" s="50"/>
      <c r="BP469" s="50"/>
      <c r="BQ469" s="50"/>
      <c r="BR469" s="50"/>
      <c r="BS469" s="50"/>
      <c r="BT469" s="50"/>
      <c r="BU469" s="50"/>
      <c r="BV469" s="50"/>
      <c r="BW469" s="50"/>
      <c r="BX469" s="50"/>
      <c r="BY469" s="50"/>
      <c r="BZ469" s="50"/>
      <c r="CA469" s="50"/>
      <c r="CB469" s="50"/>
      <c r="CC469" s="50"/>
      <c r="CD469" s="52"/>
      <c r="CE469" s="50"/>
      <c r="CF469" s="50"/>
      <c r="CG469" s="50"/>
      <c r="CH469" s="50"/>
      <c r="CI469" s="50"/>
      <c r="CJ469" s="50"/>
      <c r="CK469" s="50"/>
      <c r="CL469" s="50"/>
      <c r="CM469" s="50"/>
      <c r="CN469" s="50"/>
      <c r="CO469" s="50"/>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c r="GE469" s="3"/>
      <c r="GF469" s="3"/>
      <c r="GG469" s="3"/>
      <c r="GH469" s="3"/>
      <c r="GI469" s="3"/>
      <c r="GJ469" s="3"/>
      <c r="GK469" s="3"/>
      <c r="GL469" s="3"/>
      <c r="GM469" s="3"/>
      <c r="GN469" s="3"/>
      <c r="GO469" s="3"/>
      <c r="GP469" s="3"/>
      <c r="GQ469" s="3"/>
      <c r="GR469" s="3"/>
      <c r="GS469" s="3"/>
      <c r="GT469" s="3"/>
      <c r="GU469" s="3"/>
      <c r="GV469" s="3"/>
      <c r="GW469" s="3"/>
      <c r="GX469" s="3"/>
      <c r="GY469" s="3"/>
      <c r="GZ469" s="3"/>
      <c r="HA469" s="3"/>
      <c r="HB469" s="3"/>
    </row>
    <row r="470" spans="1:210" ht="15.75" customHeight="1">
      <c r="A470" s="50"/>
      <c r="B470" s="50"/>
      <c r="C470" s="50"/>
      <c r="D470" s="50"/>
      <c r="E470" s="50"/>
      <c r="F470" s="50"/>
      <c r="G470" s="51"/>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c r="AS470" s="50"/>
      <c r="AT470" s="50"/>
      <c r="AU470" s="50"/>
      <c r="AV470" s="50"/>
      <c r="AW470" s="50"/>
      <c r="AX470" s="50"/>
      <c r="AY470" s="50"/>
      <c r="AZ470" s="50"/>
      <c r="BA470" s="50"/>
      <c r="BB470" s="50"/>
      <c r="BC470" s="50"/>
      <c r="BD470" s="50"/>
      <c r="BE470" s="50"/>
      <c r="BF470" s="50"/>
      <c r="BG470" s="50"/>
      <c r="BH470" s="50"/>
      <c r="BI470" s="50"/>
      <c r="BJ470" s="50"/>
      <c r="BK470" s="50"/>
      <c r="BL470" s="50"/>
      <c r="BM470" s="50"/>
      <c r="BN470" s="50"/>
      <c r="BO470" s="50"/>
      <c r="BP470" s="50"/>
      <c r="BQ470" s="50"/>
      <c r="BR470" s="50"/>
      <c r="BS470" s="50"/>
      <c r="BT470" s="50"/>
      <c r="BU470" s="50"/>
      <c r="BV470" s="50"/>
      <c r="BW470" s="50"/>
      <c r="BX470" s="50"/>
      <c r="BY470" s="50"/>
      <c r="BZ470" s="50"/>
      <c r="CA470" s="50"/>
      <c r="CB470" s="50"/>
      <c r="CC470" s="50"/>
      <c r="CD470" s="52"/>
      <c r="CE470" s="50"/>
      <c r="CF470" s="50"/>
      <c r="CG470" s="50"/>
      <c r="CH470" s="50"/>
      <c r="CI470" s="50"/>
      <c r="CJ470" s="50"/>
      <c r="CK470" s="50"/>
      <c r="CL470" s="50"/>
      <c r="CM470" s="50"/>
      <c r="CN470" s="50"/>
      <c r="CO470" s="50"/>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c r="GE470" s="3"/>
      <c r="GF470" s="3"/>
      <c r="GG470" s="3"/>
      <c r="GH470" s="3"/>
      <c r="GI470" s="3"/>
      <c r="GJ470" s="3"/>
      <c r="GK470" s="3"/>
      <c r="GL470" s="3"/>
      <c r="GM470" s="3"/>
      <c r="GN470" s="3"/>
      <c r="GO470" s="3"/>
      <c r="GP470" s="3"/>
      <c r="GQ470" s="3"/>
      <c r="GR470" s="3"/>
      <c r="GS470" s="3"/>
      <c r="GT470" s="3"/>
      <c r="GU470" s="3"/>
      <c r="GV470" s="3"/>
      <c r="GW470" s="3"/>
      <c r="GX470" s="3"/>
      <c r="GY470" s="3"/>
      <c r="GZ470" s="3"/>
      <c r="HA470" s="3"/>
      <c r="HB470" s="3"/>
    </row>
    <row r="471" spans="1:210" ht="15.75" customHeight="1">
      <c r="A471" s="50"/>
      <c r="B471" s="50"/>
      <c r="C471" s="50"/>
      <c r="D471" s="50"/>
      <c r="E471" s="50"/>
      <c r="F471" s="50"/>
      <c r="G471" s="51"/>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c r="AS471" s="50"/>
      <c r="AT471" s="50"/>
      <c r="AU471" s="50"/>
      <c r="AV471" s="50"/>
      <c r="AW471" s="50"/>
      <c r="AX471" s="50"/>
      <c r="AY471" s="50"/>
      <c r="AZ471" s="50"/>
      <c r="BA471" s="50"/>
      <c r="BB471" s="50"/>
      <c r="BC471" s="50"/>
      <c r="BD471" s="50"/>
      <c r="BE471" s="50"/>
      <c r="BF471" s="50"/>
      <c r="BG471" s="50"/>
      <c r="BH471" s="50"/>
      <c r="BI471" s="50"/>
      <c r="BJ471" s="50"/>
      <c r="BK471" s="50"/>
      <c r="BL471" s="50"/>
      <c r="BM471" s="50"/>
      <c r="BN471" s="50"/>
      <c r="BO471" s="50"/>
      <c r="BP471" s="50"/>
      <c r="BQ471" s="50"/>
      <c r="BR471" s="50"/>
      <c r="BS471" s="50"/>
      <c r="BT471" s="50"/>
      <c r="BU471" s="50"/>
      <c r="BV471" s="50"/>
      <c r="BW471" s="50"/>
      <c r="BX471" s="50"/>
      <c r="BY471" s="50"/>
      <c r="BZ471" s="50"/>
      <c r="CA471" s="50"/>
      <c r="CB471" s="50"/>
      <c r="CC471" s="50"/>
      <c r="CD471" s="52"/>
      <c r="CE471" s="50"/>
      <c r="CF471" s="50"/>
      <c r="CG471" s="50"/>
      <c r="CH471" s="50"/>
      <c r="CI471" s="50"/>
      <c r="CJ471" s="50"/>
      <c r="CK471" s="50"/>
      <c r="CL471" s="50"/>
      <c r="CM471" s="50"/>
      <c r="CN471" s="50"/>
      <c r="CO471" s="50"/>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3"/>
      <c r="HA471" s="3"/>
      <c r="HB471" s="3"/>
    </row>
    <row r="472" spans="1:210" ht="15.75" customHeight="1">
      <c r="A472" s="50"/>
      <c r="B472" s="50"/>
      <c r="C472" s="50"/>
      <c r="D472" s="50"/>
      <c r="E472" s="50"/>
      <c r="F472" s="50"/>
      <c r="G472" s="51"/>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c r="AS472" s="50"/>
      <c r="AT472" s="50"/>
      <c r="AU472" s="50"/>
      <c r="AV472" s="50"/>
      <c r="AW472" s="50"/>
      <c r="AX472" s="50"/>
      <c r="AY472" s="50"/>
      <c r="AZ472" s="50"/>
      <c r="BA472" s="50"/>
      <c r="BB472" s="50"/>
      <c r="BC472" s="50"/>
      <c r="BD472" s="50"/>
      <c r="BE472" s="50"/>
      <c r="BF472" s="50"/>
      <c r="BG472" s="50"/>
      <c r="BH472" s="50"/>
      <c r="BI472" s="50"/>
      <c r="BJ472" s="50"/>
      <c r="BK472" s="50"/>
      <c r="BL472" s="50"/>
      <c r="BM472" s="50"/>
      <c r="BN472" s="50"/>
      <c r="BO472" s="50"/>
      <c r="BP472" s="50"/>
      <c r="BQ472" s="50"/>
      <c r="BR472" s="50"/>
      <c r="BS472" s="50"/>
      <c r="BT472" s="50"/>
      <c r="BU472" s="50"/>
      <c r="BV472" s="50"/>
      <c r="BW472" s="50"/>
      <c r="BX472" s="50"/>
      <c r="BY472" s="50"/>
      <c r="BZ472" s="50"/>
      <c r="CA472" s="50"/>
      <c r="CB472" s="50"/>
      <c r="CC472" s="50"/>
      <c r="CD472" s="52"/>
      <c r="CE472" s="50"/>
      <c r="CF472" s="50"/>
      <c r="CG472" s="50"/>
      <c r="CH472" s="50"/>
      <c r="CI472" s="50"/>
      <c r="CJ472" s="50"/>
      <c r="CK472" s="50"/>
      <c r="CL472" s="50"/>
      <c r="CM472" s="50"/>
      <c r="CN472" s="50"/>
      <c r="CO472" s="50"/>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c r="GE472" s="3"/>
      <c r="GF472" s="3"/>
      <c r="GG472" s="3"/>
      <c r="GH472" s="3"/>
      <c r="GI472" s="3"/>
      <c r="GJ472" s="3"/>
      <c r="GK472" s="3"/>
      <c r="GL472" s="3"/>
      <c r="GM472" s="3"/>
      <c r="GN472" s="3"/>
      <c r="GO472" s="3"/>
      <c r="GP472" s="3"/>
      <c r="GQ472" s="3"/>
      <c r="GR472" s="3"/>
      <c r="GS472" s="3"/>
      <c r="GT472" s="3"/>
      <c r="GU472" s="3"/>
      <c r="GV472" s="3"/>
      <c r="GW472" s="3"/>
      <c r="GX472" s="3"/>
      <c r="GY472" s="3"/>
      <c r="GZ472" s="3"/>
      <c r="HA472" s="3"/>
      <c r="HB472" s="3"/>
    </row>
    <row r="473" spans="1:210" ht="15.75" customHeight="1">
      <c r="A473" s="50"/>
      <c r="B473" s="50"/>
      <c r="C473" s="50"/>
      <c r="D473" s="50"/>
      <c r="E473" s="50"/>
      <c r="F473" s="50"/>
      <c r="G473" s="51"/>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c r="AS473" s="50"/>
      <c r="AT473" s="50"/>
      <c r="AU473" s="50"/>
      <c r="AV473" s="50"/>
      <c r="AW473" s="50"/>
      <c r="AX473" s="50"/>
      <c r="AY473" s="50"/>
      <c r="AZ473" s="50"/>
      <c r="BA473" s="50"/>
      <c r="BB473" s="50"/>
      <c r="BC473" s="50"/>
      <c r="BD473" s="50"/>
      <c r="BE473" s="50"/>
      <c r="BF473" s="50"/>
      <c r="BG473" s="50"/>
      <c r="BH473" s="50"/>
      <c r="BI473" s="50"/>
      <c r="BJ473" s="50"/>
      <c r="BK473" s="50"/>
      <c r="BL473" s="50"/>
      <c r="BM473" s="50"/>
      <c r="BN473" s="50"/>
      <c r="BO473" s="50"/>
      <c r="BP473" s="50"/>
      <c r="BQ473" s="50"/>
      <c r="BR473" s="50"/>
      <c r="BS473" s="50"/>
      <c r="BT473" s="50"/>
      <c r="BU473" s="50"/>
      <c r="BV473" s="50"/>
      <c r="BW473" s="50"/>
      <c r="BX473" s="50"/>
      <c r="BY473" s="50"/>
      <c r="BZ473" s="50"/>
      <c r="CA473" s="50"/>
      <c r="CB473" s="50"/>
      <c r="CC473" s="50"/>
      <c r="CD473" s="52"/>
      <c r="CE473" s="50"/>
      <c r="CF473" s="50"/>
      <c r="CG473" s="50"/>
      <c r="CH473" s="50"/>
      <c r="CI473" s="50"/>
      <c r="CJ473" s="50"/>
      <c r="CK473" s="50"/>
      <c r="CL473" s="50"/>
      <c r="CM473" s="50"/>
      <c r="CN473" s="50"/>
      <c r="CO473" s="50"/>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c r="GE473" s="3"/>
      <c r="GF473" s="3"/>
      <c r="GG473" s="3"/>
      <c r="GH473" s="3"/>
      <c r="GI473" s="3"/>
      <c r="GJ473" s="3"/>
      <c r="GK473" s="3"/>
      <c r="GL473" s="3"/>
      <c r="GM473" s="3"/>
      <c r="GN473" s="3"/>
      <c r="GO473" s="3"/>
      <c r="GP473" s="3"/>
      <c r="GQ473" s="3"/>
      <c r="GR473" s="3"/>
      <c r="GS473" s="3"/>
      <c r="GT473" s="3"/>
      <c r="GU473" s="3"/>
      <c r="GV473" s="3"/>
      <c r="GW473" s="3"/>
      <c r="GX473" s="3"/>
      <c r="GY473" s="3"/>
      <c r="GZ473" s="3"/>
      <c r="HA473" s="3"/>
      <c r="HB473" s="3"/>
    </row>
    <row r="474" spans="1:210" ht="15.75" customHeight="1">
      <c r="A474" s="50"/>
      <c r="B474" s="50"/>
      <c r="C474" s="50"/>
      <c r="D474" s="50"/>
      <c r="E474" s="50"/>
      <c r="F474" s="50"/>
      <c r="G474" s="51"/>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c r="AS474" s="50"/>
      <c r="AT474" s="50"/>
      <c r="AU474" s="50"/>
      <c r="AV474" s="50"/>
      <c r="AW474" s="50"/>
      <c r="AX474" s="50"/>
      <c r="AY474" s="50"/>
      <c r="AZ474" s="50"/>
      <c r="BA474" s="50"/>
      <c r="BB474" s="50"/>
      <c r="BC474" s="50"/>
      <c r="BD474" s="50"/>
      <c r="BE474" s="50"/>
      <c r="BF474" s="50"/>
      <c r="BG474" s="50"/>
      <c r="BH474" s="50"/>
      <c r="BI474" s="50"/>
      <c r="BJ474" s="50"/>
      <c r="BK474" s="50"/>
      <c r="BL474" s="50"/>
      <c r="BM474" s="50"/>
      <c r="BN474" s="50"/>
      <c r="BO474" s="50"/>
      <c r="BP474" s="50"/>
      <c r="BQ474" s="50"/>
      <c r="BR474" s="50"/>
      <c r="BS474" s="50"/>
      <c r="BT474" s="50"/>
      <c r="BU474" s="50"/>
      <c r="BV474" s="50"/>
      <c r="BW474" s="50"/>
      <c r="BX474" s="50"/>
      <c r="BY474" s="50"/>
      <c r="BZ474" s="50"/>
      <c r="CA474" s="50"/>
      <c r="CB474" s="50"/>
      <c r="CC474" s="50"/>
      <c r="CD474" s="52"/>
      <c r="CE474" s="50"/>
      <c r="CF474" s="50"/>
      <c r="CG474" s="50"/>
      <c r="CH474" s="50"/>
      <c r="CI474" s="50"/>
      <c r="CJ474" s="50"/>
      <c r="CK474" s="50"/>
      <c r="CL474" s="50"/>
      <c r="CM474" s="50"/>
      <c r="CN474" s="50"/>
      <c r="CO474" s="50"/>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c r="GE474" s="3"/>
      <c r="GF474" s="3"/>
      <c r="GG474" s="3"/>
      <c r="GH474" s="3"/>
      <c r="GI474" s="3"/>
      <c r="GJ474" s="3"/>
      <c r="GK474" s="3"/>
      <c r="GL474" s="3"/>
      <c r="GM474" s="3"/>
      <c r="GN474" s="3"/>
      <c r="GO474" s="3"/>
      <c r="GP474" s="3"/>
      <c r="GQ474" s="3"/>
      <c r="GR474" s="3"/>
      <c r="GS474" s="3"/>
      <c r="GT474" s="3"/>
      <c r="GU474" s="3"/>
      <c r="GV474" s="3"/>
      <c r="GW474" s="3"/>
      <c r="GX474" s="3"/>
      <c r="GY474" s="3"/>
      <c r="GZ474" s="3"/>
      <c r="HA474" s="3"/>
      <c r="HB474" s="3"/>
    </row>
    <row r="475" spans="1:210" ht="15.75" customHeight="1">
      <c r="A475" s="50"/>
      <c r="B475" s="50"/>
      <c r="C475" s="50"/>
      <c r="D475" s="50"/>
      <c r="E475" s="50"/>
      <c r="F475" s="50"/>
      <c r="G475" s="51"/>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c r="AS475" s="50"/>
      <c r="AT475" s="50"/>
      <c r="AU475" s="50"/>
      <c r="AV475" s="50"/>
      <c r="AW475" s="50"/>
      <c r="AX475" s="50"/>
      <c r="AY475" s="50"/>
      <c r="AZ475" s="50"/>
      <c r="BA475" s="50"/>
      <c r="BB475" s="50"/>
      <c r="BC475" s="50"/>
      <c r="BD475" s="50"/>
      <c r="BE475" s="50"/>
      <c r="BF475" s="50"/>
      <c r="BG475" s="50"/>
      <c r="BH475" s="50"/>
      <c r="BI475" s="50"/>
      <c r="BJ475" s="50"/>
      <c r="BK475" s="50"/>
      <c r="BL475" s="50"/>
      <c r="BM475" s="50"/>
      <c r="BN475" s="50"/>
      <c r="BO475" s="50"/>
      <c r="BP475" s="50"/>
      <c r="BQ475" s="50"/>
      <c r="BR475" s="50"/>
      <c r="BS475" s="50"/>
      <c r="BT475" s="50"/>
      <c r="BU475" s="50"/>
      <c r="BV475" s="50"/>
      <c r="BW475" s="50"/>
      <c r="BX475" s="50"/>
      <c r="BY475" s="50"/>
      <c r="BZ475" s="50"/>
      <c r="CA475" s="50"/>
      <c r="CB475" s="50"/>
      <c r="CC475" s="50"/>
      <c r="CD475" s="52"/>
      <c r="CE475" s="50"/>
      <c r="CF475" s="50"/>
      <c r="CG475" s="50"/>
      <c r="CH475" s="50"/>
      <c r="CI475" s="50"/>
      <c r="CJ475" s="50"/>
      <c r="CK475" s="50"/>
      <c r="CL475" s="50"/>
      <c r="CM475" s="50"/>
      <c r="CN475" s="50"/>
      <c r="CO475" s="50"/>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row>
    <row r="476" spans="1:210" ht="15.75" customHeight="1">
      <c r="A476" s="50"/>
      <c r="B476" s="50"/>
      <c r="C476" s="50"/>
      <c r="D476" s="50"/>
      <c r="E476" s="50"/>
      <c r="F476" s="50"/>
      <c r="G476" s="51"/>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c r="AS476" s="50"/>
      <c r="AT476" s="50"/>
      <c r="AU476" s="50"/>
      <c r="AV476" s="50"/>
      <c r="AW476" s="50"/>
      <c r="AX476" s="50"/>
      <c r="AY476" s="50"/>
      <c r="AZ476" s="50"/>
      <c r="BA476" s="50"/>
      <c r="BB476" s="50"/>
      <c r="BC476" s="50"/>
      <c r="BD476" s="50"/>
      <c r="BE476" s="50"/>
      <c r="BF476" s="50"/>
      <c r="BG476" s="50"/>
      <c r="BH476" s="50"/>
      <c r="BI476" s="50"/>
      <c r="BJ476" s="50"/>
      <c r="BK476" s="50"/>
      <c r="BL476" s="50"/>
      <c r="BM476" s="50"/>
      <c r="BN476" s="50"/>
      <c r="BO476" s="50"/>
      <c r="BP476" s="50"/>
      <c r="BQ476" s="50"/>
      <c r="BR476" s="50"/>
      <c r="BS476" s="50"/>
      <c r="BT476" s="50"/>
      <c r="BU476" s="50"/>
      <c r="BV476" s="50"/>
      <c r="BW476" s="50"/>
      <c r="BX476" s="50"/>
      <c r="BY476" s="50"/>
      <c r="BZ476" s="50"/>
      <c r="CA476" s="50"/>
      <c r="CB476" s="50"/>
      <c r="CC476" s="50"/>
      <c r="CD476" s="52"/>
      <c r="CE476" s="50"/>
      <c r="CF476" s="50"/>
      <c r="CG476" s="50"/>
      <c r="CH476" s="50"/>
      <c r="CI476" s="50"/>
      <c r="CJ476" s="50"/>
      <c r="CK476" s="50"/>
      <c r="CL476" s="50"/>
      <c r="CM476" s="50"/>
      <c r="CN476" s="50"/>
      <c r="CO476" s="50"/>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c r="GE476" s="3"/>
      <c r="GF476" s="3"/>
      <c r="GG476" s="3"/>
      <c r="GH476" s="3"/>
      <c r="GI476" s="3"/>
      <c r="GJ476" s="3"/>
      <c r="GK476" s="3"/>
      <c r="GL476" s="3"/>
      <c r="GM476" s="3"/>
      <c r="GN476" s="3"/>
      <c r="GO476" s="3"/>
      <c r="GP476" s="3"/>
      <c r="GQ476" s="3"/>
      <c r="GR476" s="3"/>
      <c r="GS476" s="3"/>
      <c r="GT476" s="3"/>
      <c r="GU476" s="3"/>
      <c r="GV476" s="3"/>
      <c r="GW476" s="3"/>
      <c r="GX476" s="3"/>
      <c r="GY476" s="3"/>
      <c r="GZ476" s="3"/>
      <c r="HA476" s="3"/>
      <c r="HB476" s="3"/>
    </row>
    <row r="477" spans="1:210" ht="15.75" customHeight="1">
      <c r="A477" s="50"/>
      <c r="B477" s="50"/>
      <c r="C477" s="50"/>
      <c r="D477" s="50"/>
      <c r="E477" s="50"/>
      <c r="F477" s="50"/>
      <c r="G477" s="51"/>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c r="AS477" s="50"/>
      <c r="AT477" s="50"/>
      <c r="AU477" s="50"/>
      <c r="AV477" s="50"/>
      <c r="AW477" s="50"/>
      <c r="AX477" s="50"/>
      <c r="AY477" s="50"/>
      <c r="AZ477" s="50"/>
      <c r="BA477" s="50"/>
      <c r="BB477" s="50"/>
      <c r="BC477" s="50"/>
      <c r="BD477" s="50"/>
      <c r="BE477" s="50"/>
      <c r="BF477" s="50"/>
      <c r="BG477" s="50"/>
      <c r="BH477" s="50"/>
      <c r="BI477" s="50"/>
      <c r="BJ477" s="50"/>
      <c r="BK477" s="50"/>
      <c r="BL477" s="50"/>
      <c r="BM477" s="50"/>
      <c r="BN477" s="50"/>
      <c r="BO477" s="50"/>
      <c r="BP477" s="50"/>
      <c r="BQ477" s="50"/>
      <c r="BR477" s="50"/>
      <c r="BS477" s="50"/>
      <c r="BT477" s="50"/>
      <c r="BU477" s="50"/>
      <c r="BV477" s="50"/>
      <c r="BW477" s="50"/>
      <c r="BX477" s="50"/>
      <c r="BY477" s="50"/>
      <c r="BZ477" s="50"/>
      <c r="CA477" s="50"/>
      <c r="CB477" s="50"/>
      <c r="CC477" s="50"/>
      <c r="CD477" s="52"/>
      <c r="CE477" s="50"/>
      <c r="CF477" s="50"/>
      <c r="CG477" s="50"/>
      <c r="CH477" s="50"/>
      <c r="CI477" s="50"/>
      <c r="CJ477" s="50"/>
      <c r="CK477" s="50"/>
      <c r="CL477" s="50"/>
      <c r="CM477" s="50"/>
      <c r="CN477" s="50"/>
      <c r="CO477" s="50"/>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c r="GE477" s="3"/>
      <c r="GF477" s="3"/>
      <c r="GG477" s="3"/>
      <c r="GH477" s="3"/>
      <c r="GI477" s="3"/>
      <c r="GJ477" s="3"/>
      <c r="GK477" s="3"/>
      <c r="GL477" s="3"/>
      <c r="GM477" s="3"/>
      <c r="GN477" s="3"/>
      <c r="GO477" s="3"/>
      <c r="GP477" s="3"/>
      <c r="GQ477" s="3"/>
      <c r="GR477" s="3"/>
      <c r="GS477" s="3"/>
      <c r="GT477" s="3"/>
      <c r="GU477" s="3"/>
      <c r="GV477" s="3"/>
      <c r="GW477" s="3"/>
      <c r="GX477" s="3"/>
      <c r="GY477" s="3"/>
      <c r="GZ477" s="3"/>
      <c r="HA477" s="3"/>
      <c r="HB477" s="3"/>
    </row>
    <row r="478" spans="1:210" ht="15.75" customHeight="1">
      <c r="A478" s="50"/>
      <c r="B478" s="50"/>
      <c r="C478" s="50"/>
      <c r="D478" s="50"/>
      <c r="E478" s="50"/>
      <c r="F478" s="50"/>
      <c r="G478" s="51"/>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c r="AS478" s="50"/>
      <c r="AT478" s="50"/>
      <c r="AU478" s="50"/>
      <c r="AV478" s="50"/>
      <c r="AW478" s="50"/>
      <c r="AX478" s="50"/>
      <c r="AY478" s="50"/>
      <c r="AZ478" s="50"/>
      <c r="BA478" s="50"/>
      <c r="BB478" s="50"/>
      <c r="BC478" s="50"/>
      <c r="BD478" s="50"/>
      <c r="BE478" s="50"/>
      <c r="BF478" s="50"/>
      <c r="BG478" s="50"/>
      <c r="BH478" s="50"/>
      <c r="BI478" s="50"/>
      <c r="BJ478" s="50"/>
      <c r="BK478" s="50"/>
      <c r="BL478" s="50"/>
      <c r="BM478" s="50"/>
      <c r="BN478" s="50"/>
      <c r="BO478" s="50"/>
      <c r="BP478" s="50"/>
      <c r="BQ478" s="50"/>
      <c r="BR478" s="50"/>
      <c r="BS478" s="50"/>
      <c r="BT478" s="50"/>
      <c r="BU478" s="50"/>
      <c r="BV478" s="50"/>
      <c r="BW478" s="50"/>
      <c r="BX478" s="50"/>
      <c r="BY478" s="50"/>
      <c r="BZ478" s="50"/>
      <c r="CA478" s="50"/>
      <c r="CB478" s="50"/>
      <c r="CC478" s="50"/>
      <c r="CD478" s="52"/>
      <c r="CE478" s="50"/>
      <c r="CF478" s="50"/>
      <c r="CG478" s="50"/>
      <c r="CH478" s="50"/>
      <c r="CI478" s="50"/>
      <c r="CJ478" s="50"/>
      <c r="CK478" s="50"/>
      <c r="CL478" s="50"/>
      <c r="CM478" s="50"/>
      <c r="CN478" s="50"/>
      <c r="CO478" s="50"/>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c r="GE478" s="3"/>
      <c r="GF478" s="3"/>
      <c r="GG478" s="3"/>
      <c r="GH478" s="3"/>
      <c r="GI478" s="3"/>
      <c r="GJ478" s="3"/>
      <c r="GK478" s="3"/>
      <c r="GL478" s="3"/>
      <c r="GM478" s="3"/>
      <c r="GN478" s="3"/>
      <c r="GO478" s="3"/>
      <c r="GP478" s="3"/>
      <c r="GQ478" s="3"/>
      <c r="GR478" s="3"/>
      <c r="GS478" s="3"/>
      <c r="GT478" s="3"/>
      <c r="GU478" s="3"/>
      <c r="GV478" s="3"/>
      <c r="GW478" s="3"/>
      <c r="GX478" s="3"/>
      <c r="GY478" s="3"/>
      <c r="GZ478" s="3"/>
      <c r="HA478" s="3"/>
      <c r="HB478" s="3"/>
    </row>
    <row r="479" spans="1:210" ht="15.75" customHeight="1">
      <c r="A479" s="50"/>
      <c r="B479" s="50"/>
      <c r="C479" s="50"/>
      <c r="D479" s="50"/>
      <c r="E479" s="50"/>
      <c r="F479" s="50"/>
      <c r="G479" s="51"/>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c r="AS479" s="50"/>
      <c r="AT479" s="50"/>
      <c r="AU479" s="50"/>
      <c r="AV479" s="50"/>
      <c r="AW479" s="50"/>
      <c r="AX479" s="50"/>
      <c r="AY479" s="50"/>
      <c r="AZ479" s="50"/>
      <c r="BA479" s="50"/>
      <c r="BB479" s="50"/>
      <c r="BC479" s="50"/>
      <c r="BD479" s="50"/>
      <c r="BE479" s="50"/>
      <c r="BF479" s="50"/>
      <c r="BG479" s="50"/>
      <c r="BH479" s="50"/>
      <c r="BI479" s="50"/>
      <c r="BJ479" s="50"/>
      <c r="BK479" s="50"/>
      <c r="BL479" s="50"/>
      <c r="BM479" s="50"/>
      <c r="BN479" s="50"/>
      <c r="BO479" s="50"/>
      <c r="BP479" s="50"/>
      <c r="BQ479" s="50"/>
      <c r="BR479" s="50"/>
      <c r="BS479" s="50"/>
      <c r="BT479" s="50"/>
      <c r="BU479" s="50"/>
      <c r="BV479" s="50"/>
      <c r="BW479" s="50"/>
      <c r="BX479" s="50"/>
      <c r="BY479" s="50"/>
      <c r="BZ479" s="50"/>
      <c r="CA479" s="50"/>
      <c r="CB479" s="50"/>
      <c r="CC479" s="50"/>
      <c r="CD479" s="52"/>
      <c r="CE479" s="50"/>
      <c r="CF479" s="50"/>
      <c r="CG479" s="50"/>
      <c r="CH479" s="50"/>
      <c r="CI479" s="50"/>
      <c r="CJ479" s="50"/>
      <c r="CK479" s="50"/>
      <c r="CL479" s="50"/>
      <c r="CM479" s="50"/>
      <c r="CN479" s="50"/>
      <c r="CO479" s="50"/>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row>
    <row r="480" spans="1:210" ht="15.75" customHeight="1">
      <c r="A480" s="50"/>
      <c r="B480" s="50"/>
      <c r="C480" s="50"/>
      <c r="D480" s="50"/>
      <c r="E480" s="50"/>
      <c r="F480" s="50"/>
      <c r="G480" s="51"/>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c r="AS480" s="50"/>
      <c r="AT480" s="50"/>
      <c r="AU480" s="50"/>
      <c r="AV480" s="50"/>
      <c r="AW480" s="50"/>
      <c r="AX480" s="50"/>
      <c r="AY480" s="50"/>
      <c r="AZ480" s="50"/>
      <c r="BA480" s="50"/>
      <c r="BB480" s="50"/>
      <c r="BC480" s="50"/>
      <c r="BD480" s="50"/>
      <c r="BE480" s="50"/>
      <c r="BF480" s="50"/>
      <c r="BG480" s="50"/>
      <c r="BH480" s="50"/>
      <c r="BI480" s="50"/>
      <c r="BJ480" s="50"/>
      <c r="BK480" s="50"/>
      <c r="BL480" s="50"/>
      <c r="BM480" s="50"/>
      <c r="BN480" s="50"/>
      <c r="BO480" s="50"/>
      <c r="BP480" s="50"/>
      <c r="BQ480" s="50"/>
      <c r="BR480" s="50"/>
      <c r="BS480" s="50"/>
      <c r="BT480" s="50"/>
      <c r="BU480" s="50"/>
      <c r="BV480" s="50"/>
      <c r="BW480" s="50"/>
      <c r="BX480" s="50"/>
      <c r="BY480" s="50"/>
      <c r="BZ480" s="50"/>
      <c r="CA480" s="50"/>
      <c r="CB480" s="50"/>
      <c r="CC480" s="50"/>
      <c r="CD480" s="52"/>
      <c r="CE480" s="50"/>
      <c r="CF480" s="50"/>
      <c r="CG480" s="50"/>
      <c r="CH480" s="50"/>
      <c r="CI480" s="50"/>
      <c r="CJ480" s="50"/>
      <c r="CK480" s="50"/>
      <c r="CL480" s="50"/>
      <c r="CM480" s="50"/>
      <c r="CN480" s="50"/>
      <c r="CO480" s="50"/>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row>
    <row r="481" spans="1:210" ht="15.75" customHeight="1">
      <c r="A481" s="50"/>
      <c r="B481" s="50"/>
      <c r="C481" s="50"/>
      <c r="D481" s="50"/>
      <c r="E481" s="50"/>
      <c r="F481" s="50"/>
      <c r="G481" s="51"/>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c r="AS481" s="50"/>
      <c r="AT481" s="50"/>
      <c r="AU481" s="50"/>
      <c r="AV481" s="50"/>
      <c r="AW481" s="50"/>
      <c r="AX481" s="50"/>
      <c r="AY481" s="50"/>
      <c r="AZ481" s="50"/>
      <c r="BA481" s="50"/>
      <c r="BB481" s="50"/>
      <c r="BC481" s="50"/>
      <c r="BD481" s="50"/>
      <c r="BE481" s="50"/>
      <c r="BF481" s="50"/>
      <c r="BG481" s="50"/>
      <c r="BH481" s="50"/>
      <c r="BI481" s="50"/>
      <c r="BJ481" s="50"/>
      <c r="BK481" s="50"/>
      <c r="BL481" s="50"/>
      <c r="BM481" s="50"/>
      <c r="BN481" s="50"/>
      <c r="BO481" s="50"/>
      <c r="BP481" s="50"/>
      <c r="BQ481" s="50"/>
      <c r="BR481" s="50"/>
      <c r="BS481" s="50"/>
      <c r="BT481" s="50"/>
      <c r="BU481" s="50"/>
      <c r="BV481" s="50"/>
      <c r="BW481" s="50"/>
      <c r="BX481" s="50"/>
      <c r="BY481" s="50"/>
      <c r="BZ481" s="50"/>
      <c r="CA481" s="50"/>
      <c r="CB481" s="50"/>
      <c r="CC481" s="50"/>
      <c r="CD481" s="52"/>
      <c r="CE481" s="50"/>
      <c r="CF481" s="50"/>
      <c r="CG481" s="50"/>
      <c r="CH481" s="50"/>
      <c r="CI481" s="50"/>
      <c r="CJ481" s="50"/>
      <c r="CK481" s="50"/>
      <c r="CL481" s="50"/>
      <c r="CM481" s="50"/>
      <c r="CN481" s="50"/>
      <c r="CO481" s="50"/>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c r="GE481" s="3"/>
      <c r="GF481" s="3"/>
      <c r="GG481" s="3"/>
      <c r="GH481" s="3"/>
      <c r="GI481" s="3"/>
      <c r="GJ481" s="3"/>
      <c r="GK481" s="3"/>
      <c r="GL481" s="3"/>
      <c r="GM481" s="3"/>
      <c r="GN481" s="3"/>
      <c r="GO481" s="3"/>
      <c r="GP481" s="3"/>
      <c r="GQ481" s="3"/>
      <c r="GR481" s="3"/>
      <c r="GS481" s="3"/>
      <c r="GT481" s="3"/>
      <c r="GU481" s="3"/>
      <c r="GV481" s="3"/>
      <c r="GW481" s="3"/>
      <c r="GX481" s="3"/>
      <c r="GY481" s="3"/>
      <c r="GZ481" s="3"/>
      <c r="HA481" s="3"/>
      <c r="HB481" s="3"/>
    </row>
    <row r="482" spans="1:210" ht="15.75" customHeight="1">
      <c r="A482" s="50"/>
      <c r="B482" s="50"/>
      <c r="C482" s="50"/>
      <c r="D482" s="50"/>
      <c r="E482" s="50"/>
      <c r="F482" s="50"/>
      <c r="G482" s="51"/>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c r="AS482" s="50"/>
      <c r="AT482" s="50"/>
      <c r="AU482" s="50"/>
      <c r="AV482" s="50"/>
      <c r="AW482" s="50"/>
      <c r="AX482" s="50"/>
      <c r="AY482" s="50"/>
      <c r="AZ482" s="50"/>
      <c r="BA482" s="50"/>
      <c r="BB482" s="50"/>
      <c r="BC482" s="50"/>
      <c r="BD482" s="50"/>
      <c r="BE482" s="50"/>
      <c r="BF482" s="50"/>
      <c r="BG482" s="50"/>
      <c r="BH482" s="50"/>
      <c r="BI482" s="50"/>
      <c r="BJ482" s="50"/>
      <c r="BK482" s="50"/>
      <c r="BL482" s="50"/>
      <c r="BM482" s="50"/>
      <c r="BN482" s="50"/>
      <c r="BO482" s="50"/>
      <c r="BP482" s="50"/>
      <c r="BQ482" s="50"/>
      <c r="BR482" s="50"/>
      <c r="BS482" s="50"/>
      <c r="BT482" s="50"/>
      <c r="BU482" s="50"/>
      <c r="BV482" s="50"/>
      <c r="BW482" s="50"/>
      <c r="BX482" s="50"/>
      <c r="BY482" s="50"/>
      <c r="BZ482" s="50"/>
      <c r="CA482" s="50"/>
      <c r="CB482" s="50"/>
      <c r="CC482" s="50"/>
      <c r="CD482" s="52"/>
      <c r="CE482" s="50"/>
      <c r="CF482" s="50"/>
      <c r="CG482" s="50"/>
      <c r="CH482" s="50"/>
      <c r="CI482" s="50"/>
      <c r="CJ482" s="50"/>
      <c r="CK482" s="50"/>
      <c r="CL482" s="50"/>
      <c r="CM482" s="50"/>
      <c r="CN482" s="50"/>
      <c r="CO482" s="50"/>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row>
    <row r="483" spans="1:210" ht="15.75" customHeight="1">
      <c r="A483" s="50"/>
      <c r="B483" s="50"/>
      <c r="C483" s="50"/>
      <c r="D483" s="50"/>
      <c r="E483" s="50"/>
      <c r="F483" s="50"/>
      <c r="G483" s="51"/>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c r="AS483" s="50"/>
      <c r="AT483" s="50"/>
      <c r="AU483" s="50"/>
      <c r="AV483" s="50"/>
      <c r="AW483" s="50"/>
      <c r="AX483" s="50"/>
      <c r="AY483" s="50"/>
      <c r="AZ483" s="50"/>
      <c r="BA483" s="50"/>
      <c r="BB483" s="50"/>
      <c r="BC483" s="50"/>
      <c r="BD483" s="50"/>
      <c r="BE483" s="50"/>
      <c r="BF483" s="50"/>
      <c r="BG483" s="50"/>
      <c r="BH483" s="50"/>
      <c r="BI483" s="50"/>
      <c r="BJ483" s="50"/>
      <c r="BK483" s="50"/>
      <c r="BL483" s="50"/>
      <c r="BM483" s="50"/>
      <c r="BN483" s="50"/>
      <c r="BO483" s="50"/>
      <c r="BP483" s="50"/>
      <c r="BQ483" s="50"/>
      <c r="BR483" s="50"/>
      <c r="BS483" s="50"/>
      <c r="BT483" s="50"/>
      <c r="BU483" s="50"/>
      <c r="BV483" s="50"/>
      <c r="BW483" s="50"/>
      <c r="BX483" s="50"/>
      <c r="BY483" s="50"/>
      <c r="BZ483" s="50"/>
      <c r="CA483" s="50"/>
      <c r="CB483" s="50"/>
      <c r="CC483" s="50"/>
      <c r="CD483" s="52"/>
      <c r="CE483" s="50"/>
      <c r="CF483" s="50"/>
      <c r="CG483" s="50"/>
      <c r="CH483" s="50"/>
      <c r="CI483" s="50"/>
      <c r="CJ483" s="50"/>
      <c r="CK483" s="50"/>
      <c r="CL483" s="50"/>
      <c r="CM483" s="50"/>
      <c r="CN483" s="50"/>
      <c r="CO483" s="50"/>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row>
    <row r="484" spans="1:210" ht="15.75" customHeight="1">
      <c r="A484" s="50"/>
      <c r="B484" s="50"/>
      <c r="C484" s="50"/>
      <c r="D484" s="50"/>
      <c r="E484" s="50"/>
      <c r="F484" s="50"/>
      <c r="G484" s="51"/>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c r="AS484" s="50"/>
      <c r="AT484" s="50"/>
      <c r="AU484" s="50"/>
      <c r="AV484" s="50"/>
      <c r="AW484" s="50"/>
      <c r="AX484" s="50"/>
      <c r="AY484" s="50"/>
      <c r="AZ484" s="50"/>
      <c r="BA484" s="50"/>
      <c r="BB484" s="50"/>
      <c r="BC484" s="50"/>
      <c r="BD484" s="50"/>
      <c r="BE484" s="50"/>
      <c r="BF484" s="50"/>
      <c r="BG484" s="50"/>
      <c r="BH484" s="50"/>
      <c r="BI484" s="50"/>
      <c r="BJ484" s="50"/>
      <c r="BK484" s="50"/>
      <c r="BL484" s="50"/>
      <c r="BM484" s="50"/>
      <c r="BN484" s="50"/>
      <c r="BO484" s="50"/>
      <c r="BP484" s="50"/>
      <c r="BQ484" s="50"/>
      <c r="BR484" s="50"/>
      <c r="BS484" s="50"/>
      <c r="BT484" s="50"/>
      <c r="BU484" s="50"/>
      <c r="BV484" s="50"/>
      <c r="BW484" s="50"/>
      <c r="BX484" s="50"/>
      <c r="BY484" s="50"/>
      <c r="BZ484" s="50"/>
      <c r="CA484" s="50"/>
      <c r="CB484" s="50"/>
      <c r="CC484" s="50"/>
      <c r="CD484" s="52"/>
      <c r="CE484" s="50"/>
      <c r="CF484" s="50"/>
      <c r="CG484" s="50"/>
      <c r="CH484" s="50"/>
      <c r="CI484" s="50"/>
      <c r="CJ484" s="50"/>
      <c r="CK484" s="50"/>
      <c r="CL484" s="50"/>
      <c r="CM484" s="50"/>
      <c r="CN484" s="50"/>
      <c r="CO484" s="50"/>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row>
    <row r="485" spans="1:210" ht="15.75" customHeight="1">
      <c r="A485" s="50"/>
      <c r="B485" s="50"/>
      <c r="C485" s="50"/>
      <c r="D485" s="50"/>
      <c r="E485" s="50"/>
      <c r="F485" s="50"/>
      <c r="G485" s="51"/>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c r="AS485" s="50"/>
      <c r="AT485" s="50"/>
      <c r="AU485" s="50"/>
      <c r="AV485" s="50"/>
      <c r="AW485" s="50"/>
      <c r="AX485" s="50"/>
      <c r="AY485" s="50"/>
      <c r="AZ485" s="50"/>
      <c r="BA485" s="50"/>
      <c r="BB485" s="50"/>
      <c r="BC485" s="50"/>
      <c r="BD485" s="50"/>
      <c r="BE485" s="50"/>
      <c r="BF485" s="50"/>
      <c r="BG485" s="50"/>
      <c r="BH485" s="50"/>
      <c r="BI485" s="50"/>
      <c r="BJ485" s="50"/>
      <c r="BK485" s="50"/>
      <c r="BL485" s="50"/>
      <c r="BM485" s="50"/>
      <c r="BN485" s="50"/>
      <c r="BO485" s="50"/>
      <c r="BP485" s="50"/>
      <c r="BQ485" s="50"/>
      <c r="BR485" s="50"/>
      <c r="BS485" s="50"/>
      <c r="BT485" s="50"/>
      <c r="BU485" s="50"/>
      <c r="BV485" s="50"/>
      <c r="BW485" s="50"/>
      <c r="BX485" s="50"/>
      <c r="BY485" s="50"/>
      <c r="BZ485" s="50"/>
      <c r="CA485" s="50"/>
      <c r="CB485" s="50"/>
      <c r="CC485" s="50"/>
      <c r="CD485" s="52"/>
      <c r="CE485" s="50"/>
      <c r="CF485" s="50"/>
      <c r="CG485" s="50"/>
      <c r="CH485" s="50"/>
      <c r="CI485" s="50"/>
      <c r="CJ485" s="50"/>
      <c r="CK485" s="50"/>
      <c r="CL485" s="50"/>
      <c r="CM485" s="50"/>
      <c r="CN485" s="50"/>
      <c r="CO485" s="50"/>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row>
    <row r="486" spans="1:210" ht="15.75" customHeight="1">
      <c r="A486" s="50"/>
      <c r="B486" s="50"/>
      <c r="C486" s="50"/>
      <c r="D486" s="50"/>
      <c r="E486" s="50"/>
      <c r="F486" s="50"/>
      <c r="G486" s="51"/>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c r="AS486" s="50"/>
      <c r="AT486" s="50"/>
      <c r="AU486" s="50"/>
      <c r="AV486" s="50"/>
      <c r="AW486" s="50"/>
      <c r="AX486" s="50"/>
      <c r="AY486" s="50"/>
      <c r="AZ486" s="50"/>
      <c r="BA486" s="50"/>
      <c r="BB486" s="50"/>
      <c r="BC486" s="50"/>
      <c r="BD486" s="50"/>
      <c r="BE486" s="50"/>
      <c r="BF486" s="50"/>
      <c r="BG486" s="50"/>
      <c r="BH486" s="50"/>
      <c r="BI486" s="50"/>
      <c r="BJ486" s="50"/>
      <c r="BK486" s="50"/>
      <c r="BL486" s="50"/>
      <c r="BM486" s="50"/>
      <c r="BN486" s="50"/>
      <c r="BO486" s="50"/>
      <c r="BP486" s="50"/>
      <c r="BQ486" s="50"/>
      <c r="BR486" s="50"/>
      <c r="BS486" s="50"/>
      <c r="BT486" s="50"/>
      <c r="BU486" s="50"/>
      <c r="BV486" s="50"/>
      <c r="BW486" s="50"/>
      <c r="BX486" s="50"/>
      <c r="BY486" s="50"/>
      <c r="BZ486" s="50"/>
      <c r="CA486" s="50"/>
      <c r="CB486" s="50"/>
      <c r="CC486" s="50"/>
      <c r="CD486" s="52"/>
      <c r="CE486" s="50"/>
      <c r="CF486" s="50"/>
      <c r="CG486" s="50"/>
      <c r="CH486" s="50"/>
      <c r="CI486" s="50"/>
      <c r="CJ486" s="50"/>
      <c r="CK486" s="50"/>
      <c r="CL486" s="50"/>
      <c r="CM486" s="50"/>
      <c r="CN486" s="50"/>
      <c r="CO486" s="50"/>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row>
    <row r="487" spans="1:210" ht="15.75" customHeight="1">
      <c r="A487" s="50"/>
      <c r="B487" s="50"/>
      <c r="C487" s="50"/>
      <c r="D487" s="50"/>
      <c r="E487" s="50"/>
      <c r="F487" s="50"/>
      <c r="G487" s="51"/>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c r="AS487" s="50"/>
      <c r="AT487" s="50"/>
      <c r="AU487" s="50"/>
      <c r="AV487" s="50"/>
      <c r="AW487" s="50"/>
      <c r="AX487" s="50"/>
      <c r="AY487" s="50"/>
      <c r="AZ487" s="50"/>
      <c r="BA487" s="50"/>
      <c r="BB487" s="50"/>
      <c r="BC487" s="50"/>
      <c r="BD487" s="50"/>
      <c r="BE487" s="50"/>
      <c r="BF487" s="50"/>
      <c r="BG487" s="50"/>
      <c r="BH487" s="50"/>
      <c r="BI487" s="50"/>
      <c r="BJ487" s="50"/>
      <c r="BK487" s="50"/>
      <c r="BL487" s="50"/>
      <c r="BM487" s="50"/>
      <c r="BN487" s="50"/>
      <c r="BO487" s="50"/>
      <c r="BP487" s="50"/>
      <c r="BQ487" s="50"/>
      <c r="BR487" s="50"/>
      <c r="BS487" s="50"/>
      <c r="BT487" s="50"/>
      <c r="BU487" s="50"/>
      <c r="BV487" s="50"/>
      <c r="BW487" s="50"/>
      <c r="BX487" s="50"/>
      <c r="BY487" s="50"/>
      <c r="BZ487" s="50"/>
      <c r="CA487" s="50"/>
      <c r="CB487" s="50"/>
      <c r="CC487" s="50"/>
      <c r="CD487" s="52"/>
      <c r="CE487" s="50"/>
      <c r="CF487" s="50"/>
      <c r="CG487" s="50"/>
      <c r="CH487" s="50"/>
      <c r="CI487" s="50"/>
      <c r="CJ487" s="50"/>
      <c r="CK487" s="50"/>
      <c r="CL487" s="50"/>
      <c r="CM487" s="50"/>
      <c r="CN487" s="50"/>
      <c r="CO487" s="50"/>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row>
    <row r="488" spans="1:210" ht="15.75" customHeight="1">
      <c r="A488" s="50"/>
      <c r="B488" s="50"/>
      <c r="C488" s="50"/>
      <c r="D488" s="50"/>
      <c r="E488" s="50"/>
      <c r="F488" s="50"/>
      <c r="G488" s="51"/>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c r="AR488" s="50"/>
      <c r="AS488" s="50"/>
      <c r="AT488" s="50"/>
      <c r="AU488" s="50"/>
      <c r="AV488" s="50"/>
      <c r="AW488" s="50"/>
      <c r="AX488" s="50"/>
      <c r="AY488" s="50"/>
      <c r="AZ488" s="50"/>
      <c r="BA488" s="50"/>
      <c r="BB488" s="50"/>
      <c r="BC488" s="50"/>
      <c r="BD488" s="50"/>
      <c r="BE488" s="50"/>
      <c r="BF488" s="50"/>
      <c r="BG488" s="50"/>
      <c r="BH488" s="50"/>
      <c r="BI488" s="50"/>
      <c r="BJ488" s="50"/>
      <c r="BK488" s="50"/>
      <c r="BL488" s="50"/>
      <c r="BM488" s="50"/>
      <c r="BN488" s="50"/>
      <c r="BO488" s="50"/>
      <c r="BP488" s="50"/>
      <c r="BQ488" s="50"/>
      <c r="BR488" s="50"/>
      <c r="BS488" s="50"/>
      <c r="BT488" s="50"/>
      <c r="BU488" s="50"/>
      <c r="BV488" s="50"/>
      <c r="BW488" s="50"/>
      <c r="BX488" s="50"/>
      <c r="BY488" s="50"/>
      <c r="BZ488" s="50"/>
      <c r="CA488" s="50"/>
      <c r="CB488" s="50"/>
      <c r="CC488" s="50"/>
      <c r="CD488" s="52"/>
      <c r="CE488" s="50"/>
      <c r="CF488" s="50"/>
      <c r="CG488" s="50"/>
      <c r="CH488" s="50"/>
      <c r="CI488" s="50"/>
      <c r="CJ488" s="50"/>
      <c r="CK488" s="50"/>
      <c r="CL488" s="50"/>
      <c r="CM488" s="50"/>
      <c r="CN488" s="50"/>
      <c r="CO488" s="50"/>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row>
    <row r="489" spans="1:210" ht="15.75" customHeight="1">
      <c r="A489" s="50"/>
      <c r="B489" s="50"/>
      <c r="C489" s="50"/>
      <c r="D489" s="50"/>
      <c r="E489" s="50"/>
      <c r="F489" s="50"/>
      <c r="G489" s="51"/>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c r="AS489" s="50"/>
      <c r="AT489" s="50"/>
      <c r="AU489" s="50"/>
      <c r="AV489" s="50"/>
      <c r="AW489" s="50"/>
      <c r="AX489" s="50"/>
      <c r="AY489" s="50"/>
      <c r="AZ489" s="50"/>
      <c r="BA489" s="50"/>
      <c r="BB489" s="50"/>
      <c r="BC489" s="50"/>
      <c r="BD489" s="50"/>
      <c r="BE489" s="50"/>
      <c r="BF489" s="50"/>
      <c r="BG489" s="50"/>
      <c r="BH489" s="50"/>
      <c r="BI489" s="50"/>
      <c r="BJ489" s="50"/>
      <c r="BK489" s="50"/>
      <c r="BL489" s="50"/>
      <c r="BM489" s="50"/>
      <c r="BN489" s="50"/>
      <c r="BO489" s="50"/>
      <c r="BP489" s="50"/>
      <c r="BQ489" s="50"/>
      <c r="BR489" s="50"/>
      <c r="BS489" s="50"/>
      <c r="BT489" s="50"/>
      <c r="BU489" s="50"/>
      <c r="BV489" s="50"/>
      <c r="BW489" s="50"/>
      <c r="BX489" s="50"/>
      <c r="BY489" s="50"/>
      <c r="BZ489" s="50"/>
      <c r="CA489" s="50"/>
      <c r="CB489" s="50"/>
      <c r="CC489" s="50"/>
      <c r="CD489" s="52"/>
      <c r="CE489" s="50"/>
      <c r="CF489" s="50"/>
      <c r="CG489" s="50"/>
      <c r="CH489" s="50"/>
      <c r="CI489" s="50"/>
      <c r="CJ489" s="50"/>
      <c r="CK489" s="50"/>
      <c r="CL489" s="50"/>
      <c r="CM489" s="50"/>
      <c r="CN489" s="50"/>
      <c r="CO489" s="50"/>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row>
    <row r="490" spans="1:210" ht="15.75" customHeight="1">
      <c r="A490" s="50"/>
      <c r="B490" s="50"/>
      <c r="C490" s="50"/>
      <c r="D490" s="50"/>
      <c r="E490" s="50"/>
      <c r="F490" s="50"/>
      <c r="G490" s="51"/>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c r="AS490" s="50"/>
      <c r="AT490" s="50"/>
      <c r="AU490" s="50"/>
      <c r="AV490" s="50"/>
      <c r="AW490" s="50"/>
      <c r="AX490" s="50"/>
      <c r="AY490" s="50"/>
      <c r="AZ490" s="50"/>
      <c r="BA490" s="50"/>
      <c r="BB490" s="50"/>
      <c r="BC490" s="50"/>
      <c r="BD490" s="50"/>
      <c r="BE490" s="50"/>
      <c r="BF490" s="50"/>
      <c r="BG490" s="50"/>
      <c r="BH490" s="50"/>
      <c r="BI490" s="50"/>
      <c r="BJ490" s="50"/>
      <c r="BK490" s="50"/>
      <c r="BL490" s="50"/>
      <c r="BM490" s="50"/>
      <c r="BN490" s="50"/>
      <c r="BO490" s="50"/>
      <c r="BP490" s="50"/>
      <c r="BQ490" s="50"/>
      <c r="BR490" s="50"/>
      <c r="BS490" s="50"/>
      <c r="BT490" s="50"/>
      <c r="BU490" s="50"/>
      <c r="BV490" s="50"/>
      <c r="BW490" s="50"/>
      <c r="BX490" s="50"/>
      <c r="BY490" s="50"/>
      <c r="BZ490" s="50"/>
      <c r="CA490" s="50"/>
      <c r="CB490" s="50"/>
      <c r="CC490" s="50"/>
      <c r="CD490" s="52"/>
      <c r="CE490" s="50"/>
      <c r="CF490" s="50"/>
      <c r="CG490" s="50"/>
      <c r="CH490" s="50"/>
      <c r="CI490" s="50"/>
      <c r="CJ490" s="50"/>
      <c r="CK490" s="50"/>
      <c r="CL490" s="50"/>
      <c r="CM490" s="50"/>
      <c r="CN490" s="50"/>
      <c r="CO490" s="50"/>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row>
    <row r="491" spans="1:210" ht="15.75" customHeight="1">
      <c r="A491" s="50"/>
      <c r="B491" s="50"/>
      <c r="C491" s="50"/>
      <c r="D491" s="50"/>
      <c r="E491" s="50"/>
      <c r="F491" s="50"/>
      <c r="G491" s="51"/>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c r="AS491" s="50"/>
      <c r="AT491" s="50"/>
      <c r="AU491" s="50"/>
      <c r="AV491" s="50"/>
      <c r="AW491" s="50"/>
      <c r="AX491" s="50"/>
      <c r="AY491" s="50"/>
      <c r="AZ491" s="50"/>
      <c r="BA491" s="50"/>
      <c r="BB491" s="50"/>
      <c r="BC491" s="50"/>
      <c r="BD491" s="50"/>
      <c r="BE491" s="50"/>
      <c r="BF491" s="50"/>
      <c r="BG491" s="50"/>
      <c r="BH491" s="50"/>
      <c r="BI491" s="50"/>
      <c r="BJ491" s="50"/>
      <c r="BK491" s="50"/>
      <c r="BL491" s="50"/>
      <c r="BM491" s="50"/>
      <c r="BN491" s="50"/>
      <c r="BO491" s="50"/>
      <c r="BP491" s="50"/>
      <c r="BQ491" s="50"/>
      <c r="BR491" s="50"/>
      <c r="BS491" s="50"/>
      <c r="BT491" s="50"/>
      <c r="BU491" s="50"/>
      <c r="BV491" s="50"/>
      <c r="BW491" s="50"/>
      <c r="BX491" s="50"/>
      <c r="BY491" s="50"/>
      <c r="BZ491" s="50"/>
      <c r="CA491" s="50"/>
      <c r="CB491" s="50"/>
      <c r="CC491" s="50"/>
      <c r="CD491" s="52"/>
      <c r="CE491" s="50"/>
      <c r="CF491" s="50"/>
      <c r="CG491" s="50"/>
      <c r="CH491" s="50"/>
      <c r="CI491" s="50"/>
      <c r="CJ491" s="50"/>
      <c r="CK491" s="50"/>
      <c r="CL491" s="50"/>
      <c r="CM491" s="50"/>
      <c r="CN491" s="50"/>
      <c r="CO491" s="50"/>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row>
    <row r="492" spans="1:210" ht="15.75" customHeight="1">
      <c r="A492" s="50"/>
      <c r="B492" s="50"/>
      <c r="C492" s="50"/>
      <c r="D492" s="50"/>
      <c r="E492" s="50"/>
      <c r="F492" s="50"/>
      <c r="G492" s="51"/>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c r="AS492" s="50"/>
      <c r="AT492" s="50"/>
      <c r="AU492" s="50"/>
      <c r="AV492" s="50"/>
      <c r="AW492" s="50"/>
      <c r="AX492" s="50"/>
      <c r="AY492" s="50"/>
      <c r="AZ492" s="50"/>
      <c r="BA492" s="50"/>
      <c r="BB492" s="50"/>
      <c r="BC492" s="50"/>
      <c r="BD492" s="50"/>
      <c r="BE492" s="50"/>
      <c r="BF492" s="50"/>
      <c r="BG492" s="50"/>
      <c r="BH492" s="50"/>
      <c r="BI492" s="50"/>
      <c r="BJ492" s="50"/>
      <c r="BK492" s="50"/>
      <c r="BL492" s="50"/>
      <c r="BM492" s="50"/>
      <c r="BN492" s="50"/>
      <c r="BO492" s="50"/>
      <c r="BP492" s="50"/>
      <c r="BQ492" s="50"/>
      <c r="BR492" s="50"/>
      <c r="BS492" s="50"/>
      <c r="BT492" s="50"/>
      <c r="BU492" s="50"/>
      <c r="BV492" s="50"/>
      <c r="BW492" s="50"/>
      <c r="BX492" s="50"/>
      <c r="BY492" s="50"/>
      <c r="BZ492" s="50"/>
      <c r="CA492" s="50"/>
      <c r="CB492" s="50"/>
      <c r="CC492" s="50"/>
      <c r="CD492" s="52"/>
      <c r="CE492" s="50"/>
      <c r="CF492" s="50"/>
      <c r="CG492" s="50"/>
      <c r="CH492" s="50"/>
      <c r="CI492" s="50"/>
      <c r="CJ492" s="50"/>
      <c r="CK492" s="50"/>
      <c r="CL492" s="50"/>
      <c r="CM492" s="50"/>
      <c r="CN492" s="50"/>
      <c r="CO492" s="50"/>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row>
    <row r="493" spans="1:210" ht="15.75" customHeight="1">
      <c r="A493" s="50"/>
      <c r="B493" s="50"/>
      <c r="C493" s="50"/>
      <c r="D493" s="50"/>
      <c r="E493" s="50"/>
      <c r="F493" s="50"/>
      <c r="G493" s="51"/>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c r="AS493" s="50"/>
      <c r="AT493" s="50"/>
      <c r="AU493" s="50"/>
      <c r="AV493" s="50"/>
      <c r="AW493" s="50"/>
      <c r="AX493" s="50"/>
      <c r="AY493" s="50"/>
      <c r="AZ493" s="50"/>
      <c r="BA493" s="50"/>
      <c r="BB493" s="50"/>
      <c r="BC493" s="50"/>
      <c r="BD493" s="50"/>
      <c r="BE493" s="50"/>
      <c r="BF493" s="50"/>
      <c r="BG493" s="50"/>
      <c r="BH493" s="50"/>
      <c r="BI493" s="50"/>
      <c r="BJ493" s="50"/>
      <c r="BK493" s="50"/>
      <c r="BL493" s="50"/>
      <c r="BM493" s="50"/>
      <c r="BN493" s="50"/>
      <c r="BO493" s="50"/>
      <c r="BP493" s="50"/>
      <c r="BQ493" s="50"/>
      <c r="BR493" s="50"/>
      <c r="BS493" s="50"/>
      <c r="BT493" s="50"/>
      <c r="BU493" s="50"/>
      <c r="BV493" s="50"/>
      <c r="BW493" s="50"/>
      <c r="BX493" s="50"/>
      <c r="BY493" s="50"/>
      <c r="BZ493" s="50"/>
      <c r="CA493" s="50"/>
      <c r="CB493" s="50"/>
      <c r="CC493" s="50"/>
      <c r="CD493" s="52"/>
      <c r="CE493" s="50"/>
      <c r="CF493" s="50"/>
      <c r="CG493" s="50"/>
      <c r="CH493" s="50"/>
      <c r="CI493" s="50"/>
      <c r="CJ493" s="50"/>
      <c r="CK493" s="50"/>
      <c r="CL493" s="50"/>
      <c r="CM493" s="50"/>
      <c r="CN493" s="50"/>
      <c r="CO493" s="50"/>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row>
    <row r="494" spans="1:210" ht="15.75" customHeight="1">
      <c r="A494" s="50"/>
      <c r="B494" s="50"/>
      <c r="C494" s="50"/>
      <c r="D494" s="50"/>
      <c r="E494" s="50"/>
      <c r="F494" s="50"/>
      <c r="G494" s="51"/>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c r="AS494" s="50"/>
      <c r="AT494" s="50"/>
      <c r="AU494" s="50"/>
      <c r="AV494" s="50"/>
      <c r="AW494" s="50"/>
      <c r="AX494" s="50"/>
      <c r="AY494" s="50"/>
      <c r="AZ494" s="50"/>
      <c r="BA494" s="50"/>
      <c r="BB494" s="50"/>
      <c r="BC494" s="50"/>
      <c r="BD494" s="50"/>
      <c r="BE494" s="50"/>
      <c r="BF494" s="50"/>
      <c r="BG494" s="50"/>
      <c r="BH494" s="50"/>
      <c r="BI494" s="50"/>
      <c r="BJ494" s="50"/>
      <c r="BK494" s="50"/>
      <c r="BL494" s="50"/>
      <c r="BM494" s="50"/>
      <c r="BN494" s="50"/>
      <c r="BO494" s="50"/>
      <c r="BP494" s="50"/>
      <c r="BQ494" s="50"/>
      <c r="BR494" s="50"/>
      <c r="BS494" s="50"/>
      <c r="BT494" s="50"/>
      <c r="BU494" s="50"/>
      <c r="BV494" s="50"/>
      <c r="BW494" s="50"/>
      <c r="BX494" s="50"/>
      <c r="BY494" s="50"/>
      <c r="BZ494" s="50"/>
      <c r="CA494" s="50"/>
      <c r="CB494" s="50"/>
      <c r="CC494" s="50"/>
      <c r="CD494" s="52"/>
      <c r="CE494" s="50"/>
      <c r="CF494" s="50"/>
      <c r="CG494" s="50"/>
      <c r="CH494" s="50"/>
      <c r="CI494" s="50"/>
      <c r="CJ494" s="50"/>
      <c r="CK494" s="50"/>
      <c r="CL494" s="50"/>
      <c r="CM494" s="50"/>
      <c r="CN494" s="50"/>
      <c r="CO494" s="50"/>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row>
    <row r="495" spans="1:210" ht="15.75" customHeight="1">
      <c r="A495" s="50"/>
      <c r="B495" s="50"/>
      <c r="C495" s="50"/>
      <c r="D495" s="50"/>
      <c r="E495" s="50"/>
      <c r="F495" s="50"/>
      <c r="G495" s="51"/>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c r="AS495" s="50"/>
      <c r="AT495" s="50"/>
      <c r="AU495" s="50"/>
      <c r="AV495" s="50"/>
      <c r="AW495" s="50"/>
      <c r="AX495" s="50"/>
      <c r="AY495" s="50"/>
      <c r="AZ495" s="50"/>
      <c r="BA495" s="50"/>
      <c r="BB495" s="50"/>
      <c r="BC495" s="50"/>
      <c r="BD495" s="50"/>
      <c r="BE495" s="50"/>
      <c r="BF495" s="50"/>
      <c r="BG495" s="50"/>
      <c r="BH495" s="50"/>
      <c r="BI495" s="50"/>
      <c r="BJ495" s="50"/>
      <c r="BK495" s="50"/>
      <c r="BL495" s="50"/>
      <c r="BM495" s="50"/>
      <c r="BN495" s="50"/>
      <c r="BO495" s="50"/>
      <c r="BP495" s="50"/>
      <c r="BQ495" s="50"/>
      <c r="BR495" s="50"/>
      <c r="BS495" s="50"/>
      <c r="BT495" s="50"/>
      <c r="BU495" s="50"/>
      <c r="BV495" s="50"/>
      <c r="BW495" s="50"/>
      <c r="BX495" s="50"/>
      <c r="BY495" s="50"/>
      <c r="BZ495" s="50"/>
      <c r="CA495" s="50"/>
      <c r="CB495" s="50"/>
      <c r="CC495" s="50"/>
      <c r="CD495" s="52"/>
      <c r="CE495" s="50"/>
      <c r="CF495" s="50"/>
      <c r="CG495" s="50"/>
      <c r="CH495" s="50"/>
      <c r="CI495" s="50"/>
      <c r="CJ495" s="50"/>
      <c r="CK495" s="50"/>
      <c r="CL495" s="50"/>
      <c r="CM495" s="50"/>
      <c r="CN495" s="50"/>
      <c r="CO495" s="50"/>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row>
    <row r="496" spans="1:210" ht="15.75" customHeight="1">
      <c r="A496" s="50"/>
      <c r="B496" s="50"/>
      <c r="C496" s="50"/>
      <c r="D496" s="50"/>
      <c r="E496" s="50"/>
      <c r="F496" s="50"/>
      <c r="G496" s="51"/>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c r="AS496" s="50"/>
      <c r="AT496" s="50"/>
      <c r="AU496" s="50"/>
      <c r="AV496" s="50"/>
      <c r="AW496" s="50"/>
      <c r="AX496" s="50"/>
      <c r="AY496" s="50"/>
      <c r="AZ496" s="50"/>
      <c r="BA496" s="50"/>
      <c r="BB496" s="50"/>
      <c r="BC496" s="50"/>
      <c r="BD496" s="50"/>
      <c r="BE496" s="50"/>
      <c r="BF496" s="50"/>
      <c r="BG496" s="50"/>
      <c r="BH496" s="50"/>
      <c r="BI496" s="50"/>
      <c r="BJ496" s="50"/>
      <c r="BK496" s="50"/>
      <c r="BL496" s="50"/>
      <c r="BM496" s="50"/>
      <c r="BN496" s="50"/>
      <c r="BO496" s="50"/>
      <c r="BP496" s="50"/>
      <c r="BQ496" s="50"/>
      <c r="BR496" s="50"/>
      <c r="BS496" s="50"/>
      <c r="BT496" s="50"/>
      <c r="BU496" s="50"/>
      <c r="BV496" s="50"/>
      <c r="BW496" s="50"/>
      <c r="BX496" s="50"/>
      <c r="BY496" s="50"/>
      <c r="BZ496" s="50"/>
      <c r="CA496" s="50"/>
      <c r="CB496" s="50"/>
      <c r="CC496" s="50"/>
      <c r="CD496" s="52"/>
      <c r="CE496" s="50"/>
      <c r="CF496" s="50"/>
      <c r="CG496" s="50"/>
      <c r="CH496" s="50"/>
      <c r="CI496" s="50"/>
      <c r="CJ496" s="50"/>
      <c r="CK496" s="50"/>
      <c r="CL496" s="50"/>
      <c r="CM496" s="50"/>
      <c r="CN496" s="50"/>
      <c r="CO496" s="50"/>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row>
    <row r="497" spans="1:210" ht="15.75" customHeight="1">
      <c r="A497" s="50"/>
      <c r="B497" s="50"/>
      <c r="C497" s="50"/>
      <c r="D497" s="50"/>
      <c r="E497" s="50"/>
      <c r="F497" s="50"/>
      <c r="G497" s="51"/>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c r="AS497" s="50"/>
      <c r="AT497" s="50"/>
      <c r="AU497" s="50"/>
      <c r="AV497" s="50"/>
      <c r="AW497" s="50"/>
      <c r="AX497" s="50"/>
      <c r="AY497" s="50"/>
      <c r="AZ497" s="50"/>
      <c r="BA497" s="50"/>
      <c r="BB497" s="50"/>
      <c r="BC497" s="50"/>
      <c r="BD497" s="50"/>
      <c r="BE497" s="50"/>
      <c r="BF497" s="50"/>
      <c r="BG497" s="50"/>
      <c r="BH497" s="50"/>
      <c r="BI497" s="50"/>
      <c r="BJ497" s="50"/>
      <c r="BK497" s="50"/>
      <c r="BL497" s="50"/>
      <c r="BM497" s="50"/>
      <c r="BN497" s="50"/>
      <c r="BO497" s="50"/>
      <c r="BP497" s="50"/>
      <c r="BQ497" s="50"/>
      <c r="BR497" s="50"/>
      <c r="BS497" s="50"/>
      <c r="BT497" s="50"/>
      <c r="BU497" s="50"/>
      <c r="BV497" s="50"/>
      <c r="BW497" s="50"/>
      <c r="BX497" s="50"/>
      <c r="BY497" s="50"/>
      <c r="BZ497" s="50"/>
      <c r="CA497" s="50"/>
      <c r="CB497" s="50"/>
      <c r="CC497" s="50"/>
      <c r="CD497" s="52"/>
      <c r="CE497" s="50"/>
      <c r="CF497" s="50"/>
      <c r="CG497" s="50"/>
      <c r="CH497" s="50"/>
      <c r="CI497" s="50"/>
      <c r="CJ497" s="50"/>
      <c r="CK497" s="50"/>
      <c r="CL497" s="50"/>
      <c r="CM497" s="50"/>
      <c r="CN497" s="50"/>
      <c r="CO497" s="50"/>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row>
    <row r="498" spans="1:210" ht="15.75" customHeight="1">
      <c r="A498" s="50"/>
      <c r="B498" s="50"/>
      <c r="C498" s="50"/>
      <c r="D498" s="50"/>
      <c r="E498" s="50"/>
      <c r="F498" s="50"/>
      <c r="G498" s="51"/>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c r="AS498" s="50"/>
      <c r="AT498" s="50"/>
      <c r="AU498" s="50"/>
      <c r="AV498" s="50"/>
      <c r="AW498" s="50"/>
      <c r="AX498" s="50"/>
      <c r="AY498" s="50"/>
      <c r="AZ498" s="50"/>
      <c r="BA498" s="50"/>
      <c r="BB498" s="50"/>
      <c r="BC498" s="50"/>
      <c r="BD498" s="50"/>
      <c r="BE498" s="50"/>
      <c r="BF498" s="50"/>
      <c r="BG498" s="50"/>
      <c r="BH498" s="50"/>
      <c r="BI498" s="50"/>
      <c r="BJ498" s="50"/>
      <c r="BK498" s="50"/>
      <c r="BL498" s="50"/>
      <c r="BM498" s="50"/>
      <c r="BN498" s="50"/>
      <c r="BO498" s="50"/>
      <c r="BP498" s="50"/>
      <c r="BQ498" s="50"/>
      <c r="BR498" s="50"/>
      <c r="BS498" s="50"/>
      <c r="BT498" s="50"/>
      <c r="BU498" s="50"/>
      <c r="BV498" s="50"/>
      <c r="BW498" s="50"/>
      <c r="BX498" s="50"/>
      <c r="BY498" s="50"/>
      <c r="BZ498" s="50"/>
      <c r="CA498" s="50"/>
      <c r="CB498" s="50"/>
      <c r="CC498" s="50"/>
      <c r="CD498" s="52"/>
      <c r="CE498" s="50"/>
      <c r="CF498" s="50"/>
      <c r="CG498" s="50"/>
      <c r="CH498" s="50"/>
      <c r="CI498" s="50"/>
      <c r="CJ498" s="50"/>
      <c r="CK498" s="50"/>
      <c r="CL498" s="50"/>
      <c r="CM498" s="50"/>
      <c r="CN498" s="50"/>
      <c r="CO498" s="50"/>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row>
    <row r="499" spans="1:210" ht="15.75" customHeight="1">
      <c r="A499" s="50"/>
      <c r="B499" s="50"/>
      <c r="C499" s="50"/>
      <c r="D499" s="50"/>
      <c r="E499" s="50"/>
      <c r="F499" s="50"/>
      <c r="G499" s="51"/>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c r="AS499" s="50"/>
      <c r="AT499" s="50"/>
      <c r="AU499" s="50"/>
      <c r="AV499" s="50"/>
      <c r="AW499" s="50"/>
      <c r="AX499" s="50"/>
      <c r="AY499" s="50"/>
      <c r="AZ499" s="50"/>
      <c r="BA499" s="50"/>
      <c r="BB499" s="50"/>
      <c r="BC499" s="50"/>
      <c r="BD499" s="50"/>
      <c r="BE499" s="50"/>
      <c r="BF499" s="50"/>
      <c r="BG499" s="50"/>
      <c r="BH499" s="50"/>
      <c r="BI499" s="50"/>
      <c r="BJ499" s="50"/>
      <c r="BK499" s="50"/>
      <c r="BL499" s="50"/>
      <c r="BM499" s="50"/>
      <c r="BN499" s="50"/>
      <c r="BO499" s="50"/>
      <c r="BP499" s="50"/>
      <c r="BQ499" s="50"/>
      <c r="BR499" s="50"/>
      <c r="BS499" s="50"/>
      <c r="BT499" s="50"/>
      <c r="BU499" s="50"/>
      <c r="BV499" s="50"/>
      <c r="BW499" s="50"/>
      <c r="BX499" s="50"/>
      <c r="BY499" s="50"/>
      <c r="BZ499" s="50"/>
      <c r="CA499" s="50"/>
      <c r="CB499" s="50"/>
      <c r="CC499" s="50"/>
      <c r="CD499" s="52"/>
      <c r="CE499" s="50"/>
      <c r="CF499" s="50"/>
      <c r="CG499" s="50"/>
      <c r="CH499" s="50"/>
      <c r="CI499" s="50"/>
      <c r="CJ499" s="50"/>
      <c r="CK499" s="50"/>
      <c r="CL499" s="50"/>
      <c r="CM499" s="50"/>
      <c r="CN499" s="50"/>
      <c r="CO499" s="50"/>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row>
    <row r="500" spans="1:210" ht="15.75" customHeight="1">
      <c r="A500" s="50"/>
      <c r="B500" s="50"/>
      <c r="C500" s="50"/>
      <c r="D500" s="50"/>
      <c r="E500" s="50"/>
      <c r="F500" s="50"/>
      <c r="G500" s="51"/>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c r="AS500" s="50"/>
      <c r="AT500" s="50"/>
      <c r="AU500" s="50"/>
      <c r="AV500" s="50"/>
      <c r="AW500" s="50"/>
      <c r="AX500" s="50"/>
      <c r="AY500" s="50"/>
      <c r="AZ500" s="50"/>
      <c r="BA500" s="50"/>
      <c r="BB500" s="50"/>
      <c r="BC500" s="50"/>
      <c r="BD500" s="50"/>
      <c r="BE500" s="50"/>
      <c r="BF500" s="50"/>
      <c r="BG500" s="50"/>
      <c r="BH500" s="50"/>
      <c r="BI500" s="50"/>
      <c r="BJ500" s="50"/>
      <c r="BK500" s="50"/>
      <c r="BL500" s="50"/>
      <c r="BM500" s="50"/>
      <c r="BN500" s="50"/>
      <c r="BO500" s="50"/>
      <c r="BP500" s="50"/>
      <c r="BQ500" s="50"/>
      <c r="BR500" s="50"/>
      <c r="BS500" s="50"/>
      <c r="BT500" s="50"/>
      <c r="BU500" s="50"/>
      <c r="BV500" s="50"/>
      <c r="BW500" s="50"/>
      <c r="BX500" s="50"/>
      <c r="BY500" s="50"/>
      <c r="BZ500" s="50"/>
      <c r="CA500" s="50"/>
      <c r="CB500" s="50"/>
      <c r="CC500" s="50"/>
      <c r="CD500" s="52"/>
      <c r="CE500" s="50"/>
      <c r="CF500" s="50"/>
      <c r="CG500" s="50"/>
      <c r="CH500" s="50"/>
      <c r="CI500" s="50"/>
      <c r="CJ500" s="50"/>
      <c r="CK500" s="50"/>
      <c r="CL500" s="50"/>
      <c r="CM500" s="50"/>
      <c r="CN500" s="50"/>
      <c r="CO500" s="50"/>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row>
    <row r="501" spans="1:210" ht="15.75" customHeight="1">
      <c r="A501" s="50"/>
      <c r="B501" s="50"/>
      <c r="C501" s="50"/>
      <c r="D501" s="50"/>
      <c r="E501" s="50"/>
      <c r="F501" s="50"/>
      <c r="G501" s="51"/>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c r="AS501" s="50"/>
      <c r="AT501" s="50"/>
      <c r="AU501" s="50"/>
      <c r="AV501" s="50"/>
      <c r="AW501" s="50"/>
      <c r="AX501" s="50"/>
      <c r="AY501" s="50"/>
      <c r="AZ501" s="50"/>
      <c r="BA501" s="50"/>
      <c r="BB501" s="50"/>
      <c r="BC501" s="50"/>
      <c r="BD501" s="50"/>
      <c r="BE501" s="50"/>
      <c r="BF501" s="50"/>
      <c r="BG501" s="50"/>
      <c r="BH501" s="50"/>
      <c r="BI501" s="50"/>
      <c r="BJ501" s="50"/>
      <c r="BK501" s="50"/>
      <c r="BL501" s="50"/>
      <c r="BM501" s="50"/>
      <c r="BN501" s="50"/>
      <c r="BO501" s="50"/>
      <c r="BP501" s="50"/>
      <c r="BQ501" s="50"/>
      <c r="BR501" s="50"/>
      <c r="BS501" s="50"/>
      <c r="BT501" s="50"/>
      <c r="BU501" s="50"/>
      <c r="BV501" s="50"/>
      <c r="BW501" s="50"/>
      <c r="BX501" s="50"/>
      <c r="BY501" s="50"/>
      <c r="BZ501" s="50"/>
      <c r="CA501" s="50"/>
      <c r="CB501" s="50"/>
      <c r="CC501" s="50"/>
      <c r="CD501" s="52"/>
      <c r="CE501" s="50"/>
      <c r="CF501" s="50"/>
      <c r="CG501" s="50"/>
      <c r="CH501" s="50"/>
      <c r="CI501" s="50"/>
      <c r="CJ501" s="50"/>
      <c r="CK501" s="50"/>
      <c r="CL501" s="50"/>
      <c r="CM501" s="50"/>
      <c r="CN501" s="50"/>
      <c r="CO501" s="50"/>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row>
    <row r="502" spans="1:210" ht="15.75" customHeight="1">
      <c r="A502" s="50"/>
      <c r="B502" s="50"/>
      <c r="C502" s="50"/>
      <c r="D502" s="50"/>
      <c r="E502" s="50"/>
      <c r="F502" s="50"/>
      <c r="G502" s="51"/>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c r="AS502" s="50"/>
      <c r="AT502" s="50"/>
      <c r="AU502" s="50"/>
      <c r="AV502" s="50"/>
      <c r="AW502" s="50"/>
      <c r="AX502" s="50"/>
      <c r="AY502" s="50"/>
      <c r="AZ502" s="50"/>
      <c r="BA502" s="50"/>
      <c r="BB502" s="50"/>
      <c r="BC502" s="50"/>
      <c r="BD502" s="50"/>
      <c r="BE502" s="50"/>
      <c r="BF502" s="50"/>
      <c r="BG502" s="50"/>
      <c r="BH502" s="50"/>
      <c r="BI502" s="50"/>
      <c r="BJ502" s="50"/>
      <c r="BK502" s="50"/>
      <c r="BL502" s="50"/>
      <c r="BM502" s="50"/>
      <c r="BN502" s="50"/>
      <c r="BO502" s="50"/>
      <c r="BP502" s="50"/>
      <c r="BQ502" s="50"/>
      <c r="BR502" s="50"/>
      <c r="BS502" s="50"/>
      <c r="BT502" s="50"/>
      <c r="BU502" s="50"/>
      <c r="BV502" s="50"/>
      <c r="BW502" s="50"/>
      <c r="BX502" s="50"/>
      <c r="BY502" s="50"/>
      <c r="BZ502" s="50"/>
      <c r="CA502" s="50"/>
      <c r="CB502" s="50"/>
      <c r="CC502" s="50"/>
      <c r="CD502" s="52"/>
      <c r="CE502" s="50"/>
      <c r="CF502" s="50"/>
      <c r="CG502" s="50"/>
      <c r="CH502" s="50"/>
      <c r="CI502" s="50"/>
      <c r="CJ502" s="50"/>
      <c r="CK502" s="50"/>
      <c r="CL502" s="50"/>
      <c r="CM502" s="50"/>
      <c r="CN502" s="50"/>
      <c r="CO502" s="50"/>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row>
    <row r="503" spans="1:210" ht="15.75" customHeight="1">
      <c r="A503" s="50"/>
      <c r="B503" s="50"/>
      <c r="C503" s="50"/>
      <c r="D503" s="50"/>
      <c r="E503" s="50"/>
      <c r="F503" s="50"/>
      <c r="G503" s="51"/>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c r="AS503" s="50"/>
      <c r="AT503" s="50"/>
      <c r="AU503" s="50"/>
      <c r="AV503" s="50"/>
      <c r="AW503" s="50"/>
      <c r="AX503" s="50"/>
      <c r="AY503" s="50"/>
      <c r="AZ503" s="50"/>
      <c r="BA503" s="50"/>
      <c r="BB503" s="50"/>
      <c r="BC503" s="50"/>
      <c r="BD503" s="50"/>
      <c r="BE503" s="50"/>
      <c r="BF503" s="50"/>
      <c r="BG503" s="50"/>
      <c r="BH503" s="50"/>
      <c r="BI503" s="50"/>
      <c r="BJ503" s="50"/>
      <c r="BK503" s="50"/>
      <c r="BL503" s="50"/>
      <c r="BM503" s="50"/>
      <c r="BN503" s="50"/>
      <c r="BO503" s="50"/>
      <c r="BP503" s="50"/>
      <c r="BQ503" s="50"/>
      <c r="BR503" s="50"/>
      <c r="BS503" s="50"/>
      <c r="BT503" s="50"/>
      <c r="BU503" s="50"/>
      <c r="BV503" s="50"/>
      <c r="BW503" s="50"/>
      <c r="BX503" s="50"/>
      <c r="BY503" s="50"/>
      <c r="BZ503" s="50"/>
      <c r="CA503" s="50"/>
      <c r="CB503" s="50"/>
      <c r="CC503" s="50"/>
      <c r="CD503" s="52"/>
      <c r="CE503" s="50"/>
      <c r="CF503" s="50"/>
      <c r="CG503" s="50"/>
      <c r="CH503" s="50"/>
      <c r="CI503" s="50"/>
      <c r="CJ503" s="50"/>
      <c r="CK503" s="50"/>
      <c r="CL503" s="50"/>
      <c r="CM503" s="50"/>
      <c r="CN503" s="50"/>
      <c r="CO503" s="50"/>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c r="GE503" s="3"/>
      <c r="GF503" s="3"/>
      <c r="GG503" s="3"/>
      <c r="GH503" s="3"/>
      <c r="GI503" s="3"/>
      <c r="GJ503" s="3"/>
      <c r="GK503" s="3"/>
      <c r="GL503" s="3"/>
      <c r="GM503" s="3"/>
      <c r="GN503" s="3"/>
      <c r="GO503" s="3"/>
      <c r="GP503" s="3"/>
      <c r="GQ503" s="3"/>
      <c r="GR503" s="3"/>
      <c r="GS503" s="3"/>
      <c r="GT503" s="3"/>
      <c r="GU503" s="3"/>
      <c r="GV503" s="3"/>
      <c r="GW503" s="3"/>
      <c r="GX503" s="3"/>
      <c r="GY503" s="3"/>
      <c r="GZ503" s="3"/>
      <c r="HA503" s="3"/>
      <c r="HB503" s="3"/>
    </row>
    <row r="504" spans="1:210" ht="15.75" customHeight="1">
      <c r="A504" s="50"/>
      <c r="B504" s="50"/>
      <c r="C504" s="50"/>
      <c r="D504" s="50"/>
      <c r="E504" s="50"/>
      <c r="F504" s="50"/>
      <c r="G504" s="51"/>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c r="AS504" s="50"/>
      <c r="AT504" s="50"/>
      <c r="AU504" s="50"/>
      <c r="AV504" s="50"/>
      <c r="AW504" s="50"/>
      <c r="AX504" s="50"/>
      <c r="AY504" s="50"/>
      <c r="AZ504" s="50"/>
      <c r="BA504" s="50"/>
      <c r="BB504" s="50"/>
      <c r="BC504" s="50"/>
      <c r="BD504" s="50"/>
      <c r="BE504" s="50"/>
      <c r="BF504" s="50"/>
      <c r="BG504" s="50"/>
      <c r="BH504" s="50"/>
      <c r="BI504" s="50"/>
      <c r="BJ504" s="50"/>
      <c r="BK504" s="50"/>
      <c r="BL504" s="50"/>
      <c r="BM504" s="50"/>
      <c r="BN504" s="50"/>
      <c r="BO504" s="50"/>
      <c r="BP504" s="50"/>
      <c r="BQ504" s="50"/>
      <c r="BR504" s="50"/>
      <c r="BS504" s="50"/>
      <c r="BT504" s="50"/>
      <c r="BU504" s="50"/>
      <c r="BV504" s="50"/>
      <c r="BW504" s="50"/>
      <c r="BX504" s="50"/>
      <c r="BY504" s="50"/>
      <c r="BZ504" s="50"/>
      <c r="CA504" s="50"/>
      <c r="CB504" s="50"/>
      <c r="CC504" s="50"/>
      <c r="CD504" s="52"/>
      <c r="CE504" s="50"/>
      <c r="CF504" s="50"/>
      <c r="CG504" s="50"/>
      <c r="CH504" s="50"/>
      <c r="CI504" s="50"/>
      <c r="CJ504" s="50"/>
      <c r="CK504" s="50"/>
      <c r="CL504" s="50"/>
      <c r="CM504" s="50"/>
      <c r="CN504" s="50"/>
      <c r="CO504" s="50"/>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c r="GE504" s="3"/>
      <c r="GF504" s="3"/>
      <c r="GG504" s="3"/>
      <c r="GH504" s="3"/>
      <c r="GI504" s="3"/>
      <c r="GJ504" s="3"/>
      <c r="GK504" s="3"/>
      <c r="GL504" s="3"/>
      <c r="GM504" s="3"/>
      <c r="GN504" s="3"/>
      <c r="GO504" s="3"/>
      <c r="GP504" s="3"/>
      <c r="GQ504" s="3"/>
      <c r="GR504" s="3"/>
      <c r="GS504" s="3"/>
      <c r="GT504" s="3"/>
      <c r="GU504" s="3"/>
      <c r="GV504" s="3"/>
      <c r="GW504" s="3"/>
      <c r="GX504" s="3"/>
      <c r="GY504" s="3"/>
      <c r="GZ504" s="3"/>
      <c r="HA504" s="3"/>
      <c r="HB504" s="3"/>
    </row>
    <row r="505" spans="1:210" ht="15.75" customHeight="1">
      <c r="A505" s="50"/>
      <c r="B505" s="50"/>
      <c r="C505" s="50"/>
      <c r="D505" s="50"/>
      <c r="E505" s="50"/>
      <c r="F505" s="50"/>
      <c r="G505" s="51"/>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c r="AS505" s="50"/>
      <c r="AT505" s="50"/>
      <c r="AU505" s="50"/>
      <c r="AV505" s="50"/>
      <c r="AW505" s="50"/>
      <c r="AX505" s="50"/>
      <c r="AY505" s="50"/>
      <c r="AZ505" s="50"/>
      <c r="BA505" s="50"/>
      <c r="BB505" s="50"/>
      <c r="BC505" s="50"/>
      <c r="BD505" s="50"/>
      <c r="BE505" s="50"/>
      <c r="BF505" s="50"/>
      <c r="BG505" s="50"/>
      <c r="BH505" s="50"/>
      <c r="BI505" s="50"/>
      <c r="BJ505" s="50"/>
      <c r="BK505" s="50"/>
      <c r="BL505" s="50"/>
      <c r="BM505" s="50"/>
      <c r="BN505" s="50"/>
      <c r="BO505" s="50"/>
      <c r="BP505" s="50"/>
      <c r="BQ505" s="50"/>
      <c r="BR505" s="50"/>
      <c r="BS505" s="50"/>
      <c r="BT505" s="50"/>
      <c r="BU505" s="50"/>
      <c r="BV505" s="50"/>
      <c r="BW505" s="50"/>
      <c r="BX505" s="50"/>
      <c r="BY505" s="50"/>
      <c r="BZ505" s="50"/>
      <c r="CA505" s="50"/>
      <c r="CB505" s="50"/>
      <c r="CC505" s="50"/>
      <c r="CD505" s="52"/>
      <c r="CE505" s="50"/>
      <c r="CF505" s="50"/>
      <c r="CG505" s="50"/>
      <c r="CH505" s="50"/>
      <c r="CI505" s="50"/>
      <c r="CJ505" s="50"/>
      <c r="CK505" s="50"/>
      <c r="CL505" s="50"/>
      <c r="CM505" s="50"/>
      <c r="CN505" s="50"/>
      <c r="CO505" s="50"/>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c r="GE505" s="3"/>
      <c r="GF505" s="3"/>
      <c r="GG505" s="3"/>
      <c r="GH505" s="3"/>
      <c r="GI505" s="3"/>
      <c r="GJ505" s="3"/>
      <c r="GK505" s="3"/>
      <c r="GL505" s="3"/>
      <c r="GM505" s="3"/>
      <c r="GN505" s="3"/>
      <c r="GO505" s="3"/>
      <c r="GP505" s="3"/>
      <c r="GQ505" s="3"/>
      <c r="GR505" s="3"/>
      <c r="GS505" s="3"/>
      <c r="GT505" s="3"/>
      <c r="GU505" s="3"/>
      <c r="GV505" s="3"/>
      <c r="GW505" s="3"/>
      <c r="GX505" s="3"/>
      <c r="GY505" s="3"/>
      <c r="GZ505" s="3"/>
      <c r="HA505" s="3"/>
      <c r="HB505" s="3"/>
    </row>
    <row r="506" spans="1:210" ht="15.75" customHeight="1">
      <c r="A506" s="50"/>
      <c r="B506" s="50"/>
      <c r="C506" s="50"/>
      <c r="D506" s="50"/>
      <c r="E506" s="50"/>
      <c r="F506" s="50"/>
      <c r="G506" s="51"/>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c r="AS506" s="50"/>
      <c r="AT506" s="50"/>
      <c r="AU506" s="50"/>
      <c r="AV506" s="50"/>
      <c r="AW506" s="50"/>
      <c r="AX506" s="50"/>
      <c r="AY506" s="50"/>
      <c r="AZ506" s="50"/>
      <c r="BA506" s="50"/>
      <c r="BB506" s="50"/>
      <c r="BC506" s="50"/>
      <c r="BD506" s="50"/>
      <c r="BE506" s="50"/>
      <c r="BF506" s="50"/>
      <c r="BG506" s="50"/>
      <c r="BH506" s="50"/>
      <c r="BI506" s="50"/>
      <c r="BJ506" s="50"/>
      <c r="BK506" s="50"/>
      <c r="BL506" s="50"/>
      <c r="BM506" s="50"/>
      <c r="BN506" s="50"/>
      <c r="BO506" s="50"/>
      <c r="BP506" s="50"/>
      <c r="BQ506" s="50"/>
      <c r="BR506" s="50"/>
      <c r="BS506" s="50"/>
      <c r="BT506" s="50"/>
      <c r="BU506" s="50"/>
      <c r="BV506" s="50"/>
      <c r="BW506" s="50"/>
      <c r="BX506" s="50"/>
      <c r="BY506" s="50"/>
      <c r="BZ506" s="50"/>
      <c r="CA506" s="50"/>
      <c r="CB506" s="50"/>
      <c r="CC506" s="50"/>
      <c r="CD506" s="52"/>
      <c r="CE506" s="50"/>
      <c r="CF506" s="50"/>
      <c r="CG506" s="50"/>
      <c r="CH506" s="50"/>
      <c r="CI506" s="50"/>
      <c r="CJ506" s="50"/>
      <c r="CK506" s="50"/>
      <c r="CL506" s="50"/>
      <c r="CM506" s="50"/>
      <c r="CN506" s="50"/>
      <c r="CO506" s="50"/>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c r="GE506" s="3"/>
      <c r="GF506" s="3"/>
      <c r="GG506" s="3"/>
      <c r="GH506" s="3"/>
      <c r="GI506" s="3"/>
      <c r="GJ506" s="3"/>
      <c r="GK506" s="3"/>
      <c r="GL506" s="3"/>
      <c r="GM506" s="3"/>
      <c r="GN506" s="3"/>
      <c r="GO506" s="3"/>
      <c r="GP506" s="3"/>
      <c r="GQ506" s="3"/>
      <c r="GR506" s="3"/>
      <c r="GS506" s="3"/>
      <c r="GT506" s="3"/>
      <c r="GU506" s="3"/>
      <c r="GV506" s="3"/>
      <c r="GW506" s="3"/>
      <c r="GX506" s="3"/>
      <c r="GY506" s="3"/>
      <c r="GZ506" s="3"/>
      <c r="HA506" s="3"/>
      <c r="HB506" s="3"/>
    </row>
    <row r="507" spans="1:210" ht="15.75" customHeight="1">
      <c r="A507" s="50"/>
      <c r="B507" s="50"/>
      <c r="C507" s="50"/>
      <c r="D507" s="50"/>
      <c r="E507" s="50"/>
      <c r="F507" s="50"/>
      <c r="G507" s="51"/>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c r="AR507" s="50"/>
      <c r="AS507" s="50"/>
      <c r="AT507" s="50"/>
      <c r="AU507" s="50"/>
      <c r="AV507" s="50"/>
      <c r="AW507" s="50"/>
      <c r="AX507" s="50"/>
      <c r="AY507" s="50"/>
      <c r="AZ507" s="50"/>
      <c r="BA507" s="50"/>
      <c r="BB507" s="50"/>
      <c r="BC507" s="50"/>
      <c r="BD507" s="50"/>
      <c r="BE507" s="50"/>
      <c r="BF507" s="50"/>
      <c r="BG507" s="50"/>
      <c r="BH507" s="50"/>
      <c r="BI507" s="50"/>
      <c r="BJ507" s="50"/>
      <c r="BK507" s="50"/>
      <c r="BL507" s="50"/>
      <c r="BM507" s="50"/>
      <c r="BN507" s="50"/>
      <c r="BO507" s="50"/>
      <c r="BP507" s="50"/>
      <c r="BQ507" s="50"/>
      <c r="BR507" s="50"/>
      <c r="BS507" s="50"/>
      <c r="BT507" s="50"/>
      <c r="BU507" s="50"/>
      <c r="BV507" s="50"/>
      <c r="BW507" s="50"/>
      <c r="BX507" s="50"/>
      <c r="BY507" s="50"/>
      <c r="BZ507" s="50"/>
      <c r="CA507" s="50"/>
      <c r="CB507" s="50"/>
      <c r="CC507" s="50"/>
      <c r="CD507" s="52"/>
      <c r="CE507" s="50"/>
      <c r="CF507" s="50"/>
      <c r="CG507" s="50"/>
      <c r="CH507" s="50"/>
      <c r="CI507" s="50"/>
      <c r="CJ507" s="50"/>
      <c r="CK507" s="50"/>
      <c r="CL507" s="50"/>
      <c r="CM507" s="50"/>
      <c r="CN507" s="50"/>
      <c r="CO507" s="50"/>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c r="GE507" s="3"/>
      <c r="GF507" s="3"/>
      <c r="GG507" s="3"/>
      <c r="GH507" s="3"/>
      <c r="GI507" s="3"/>
      <c r="GJ507" s="3"/>
      <c r="GK507" s="3"/>
      <c r="GL507" s="3"/>
      <c r="GM507" s="3"/>
      <c r="GN507" s="3"/>
      <c r="GO507" s="3"/>
      <c r="GP507" s="3"/>
      <c r="GQ507" s="3"/>
      <c r="GR507" s="3"/>
      <c r="GS507" s="3"/>
      <c r="GT507" s="3"/>
      <c r="GU507" s="3"/>
      <c r="GV507" s="3"/>
      <c r="GW507" s="3"/>
      <c r="GX507" s="3"/>
      <c r="GY507" s="3"/>
      <c r="GZ507" s="3"/>
      <c r="HA507" s="3"/>
      <c r="HB507" s="3"/>
    </row>
    <row r="508" spans="1:210" ht="15.75" customHeight="1">
      <c r="A508" s="50"/>
      <c r="B508" s="50"/>
      <c r="C508" s="50"/>
      <c r="D508" s="50"/>
      <c r="E508" s="50"/>
      <c r="F508" s="50"/>
      <c r="G508" s="51"/>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c r="AS508" s="50"/>
      <c r="AT508" s="50"/>
      <c r="AU508" s="50"/>
      <c r="AV508" s="50"/>
      <c r="AW508" s="50"/>
      <c r="AX508" s="50"/>
      <c r="AY508" s="50"/>
      <c r="AZ508" s="50"/>
      <c r="BA508" s="50"/>
      <c r="BB508" s="50"/>
      <c r="BC508" s="50"/>
      <c r="BD508" s="50"/>
      <c r="BE508" s="50"/>
      <c r="BF508" s="50"/>
      <c r="BG508" s="50"/>
      <c r="BH508" s="50"/>
      <c r="BI508" s="50"/>
      <c r="BJ508" s="50"/>
      <c r="BK508" s="50"/>
      <c r="BL508" s="50"/>
      <c r="BM508" s="50"/>
      <c r="BN508" s="50"/>
      <c r="BO508" s="50"/>
      <c r="BP508" s="50"/>
      <c r="BQ508" s="50"/>
      <c r="BR508" s="50"/>
      <c r="BS508" s="50"/>
      <c r="BT508" s="50"/>
      <c r="BU508" s="50"/>
      <c r="BV508" s="50"/>
      <c r="BW508" s="50"/>
      <c r="BX508" s="50"/>
      <c r="BY508" s="50"/>
      <c r="BZ508" s="50"/>
      <c r="CA508" s="50"/>
      <c r="CB508" s="50"/>
      <c r="CC508" s="50"/>
      <c r="CD508" s="52"/>
      <c r="CE508" s="50"/>
      <c r="CF508" s="50"/>
      <c r="CG508" s="50"/>
      <c r="CH508" s="50"/>
      <c r="CI508" s="50"/>
      <c r="CJ508" s="50"/>
      <c r="CK508" s="50"/>
      <c r="CL508" s="50"/>
      <c r="CM508" s="50"/>
      <c r="CN508" s="50"/>
      <c r="CO508" s="50"/>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c r="GE508" s="3"/>
      <c r="GF508" s="3"/>
      <c r="GG508" s="3"/>
      <c r="GH508" s="3"/>
      <c r="GI508" s="3"/>
      <c r="GJ508" s="3"/>
      <c r="GK508" s="3"/>
      <c r="GL508" s="3"/>
      <c r="GM508" s="3"/>
      <c r="GN508" s="3"/>
      <c r="GO508" s="3"/>
      <c r="GP508" s="3"/>
      <c r="GQ508" s="3"/>
      <c r="GR508" s="3"/>
      <c r="GS508" s="3"/>
      <c r="GT508" s="3"/>
      <c r="GU508" s="3"/>
      <c r="GV508" s="3"/>
      <c r="GW508" s="3"/>
      <c r="GX508" s="3"/>
      <c r="GY508" s="3"/>
      <c r="GZ508" s="3"/>
      <c r="HA508" s="3"/>
      <c r="HB508" s="3"/>
    </row>
    <row r="509" spans="1:210" ht="15.75" customHeight="1">
      <c r="A509" s="50"/>
      <c r="B509" s="50"/>
      <c r="C509" s="50"/>
      <c r="D509" s="50"/>
      <c r="E509" s="50"/>
      <c r="F509" s="50"/>
      <c r="G509" s="51"/>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c r="AS509" s="50"/>
      <c r="AT509" s="50"/>
      <c r="AU509" s="50"/>
      <c r="AV509" s="50"/>
      <c r="AW509" s="50"/>
      <c r="AX509" s="50"/>
      <c r="AY509" s="50"/>
      <c r="AZ509" s="50"/>
      <c r="BA509" s="50"/>
      <c r="BB509" s="50"/>
      <c r="BC509" s="50"/>
      <c r="BD509" s="50"/>
      <c r="BE509" s="50"/>
      <c r="BF509" s="50"/>
      <c r="BG509" s="50"/>
      <c r="BH509" s="50"/>
      <c r="BI509" s="50"/>
      <c r="BJ509" s="50"/>
      <c r="BK509" s="50"/>
      <c r="BL509" s="50"/>
      <c r="BM509" s="50"/>
      <c r="BN509" s="50"/>
      <c r="BO509" s="50"/>
      <c r="BP509" s="50"/>
      <c r="BQ509" s="50"/>
      <c r="BR509" s="50"/>
      <c r="BS509" s="50"/>
      <c r="BT509" s="50"/>
      <c r="BU509" s="50"/>
      <c r="BV509" s="50"/>
      <c r="BW509" s="50"/>
      <c r="BX509" s="50"/>
      <c r="BY509" s="50"/>
      <c r="BZ509" s="50"/>
      <c r="CA509" s="50"/>
      <c r="CB509" s="50"/>
      <c r="CC509" s="50"/>
      <c r="CD509" s="52"/>
      <c r="CE509" s="50"/>
      <c r="CF509" s="50"/>
      <c r="CG509" s="50"/>
      <c r="CH509" s="50"/>
      <c r="CI509" s="50"/>
      <c r="CJ509" s="50"/>
      <c r="CK509" s="50"/>
      <c r="CL509" s="50"/>
      <c r="CM509" s="50"/>
      <c r="CN509" s="50"/>
      <c r="CO509" s="50"/>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c r="GE509" s="3"/>
      <c r="GF509" s="3"/>
      <c r="GG509" s="3"/>
      <c r="GH509" s="3"/>
      <c r="GI509" s="3"/>
      <c r="GJ509" s="3"/>
      <c r="GK509" s="3"/>
      <c r="GL509" s="3"/>
      <c r="GM509" s="3"/>
      <c r="GN509" s="3"/>
      <c r="GO509" s="3"/>
      <c r="GP509" s="3"/>
      <c r="GQ509" s="3"/>
      <c r="GR509" s="3"/>
      <c r="GS509" s="3"/>
      <c r="GT509" s="3"/>
      <c r="GU509" s="3"/>
      <c r="GV509" s="3"/>
      <c r="GW509" s="3"/>
      <c r="GX509" s="3"/>
      <c r="GY509" s="3"/>
      <c r="GZ509" s="3"/>
      <c r="HA509" s="3"/>
      <c r="HB509" s="3"/>
    </row>
    <row r="510" spans="1:210" ht="15.75" customHeight="1">
      <c r="A510" s="50"/>
      <c r="B510" s="50"/>
      <c r="C510" s="50"/>
      <c r="D510" s="50"/>
      <c r="E510" s="50"/>
      <c r="F510" s="50"/>
      <c r="G510" s="51"/>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c r="AS510" s="50"/>
      <c r="AT510" s="50"/>
      <c r="AU510" s="50"/>
      <c r="AV510" s="50"/>
      <c r="AW510" s="50"/>
      <c r="AX510" s="50"/>
      <c r="AY510" s="50"/>
      <c r="AZ510" s="50"/>
      <c r="BA510" s="50"/>
      <c r="BB510" s="50"/>
      <c r="BC510" s="50"/>
      <c r="BD510" s="50"/>
      <c r="BE510" s="50"/>
      <c r="BF510" s="50"/>
      <c r="BG510" s="50"/>
      <c r="BH510" s="50"/>
      <c r="BI510" s="50"/>
      <c r="BJ510" s="50"/>
      <c r="BK510" s="50"/>
      <c r="BL510" s="50"/>
      <c r="BM510" s="50"/>
      <c r="BN510" s="50"/>
      <c r="BO510" s="50"/>
      <c r="BP510" s="50"/>
      <c r="BQ510" s="50"/>
      <c r="BR510" s="50"/>
      <c r="BS510" s="50"/>
      <c r="BT510" s="50"/>
      <c r="BU510" s="50"/>
      <c r="BV510" s="50"/>
      <c r="BW510" s="50"/>
      <c r="BX510" s="50"/>
      <c r="BY510" s="50"/>
      <c r="BZ510" s="50"/>
      <c r="CA510" s="50"/>
      <c r="CB510" s="50"/>
      <c r="CC510" s="50"/>
      <c r="CD510" s="52"/>
      <c r="CE510" s="50"/>
      <c r="CF510" s="50"/>
      <c r="CG510" s="50"/>
      <c r="CH510" s="50"/>
      <c r="CI510" s="50"/>
      <c r="CJ510" s="50"/>
      <c r="CK510" s="50"/>
      <c r="CL510" s="50"/>
      <c r="CM510" s="50"/>
      <c r="CN510" s="50"/>
      <c r="CO510" s="50"/>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c r="GE510" s="3"/>
      <c r="GF510" s="3"/>
      <c r="GG510" s="3"/>
      <c r="GH510" s="3"/>
      <c r="GI510" s="3"/>
      <c r="GJ510" s="3"/>
      <c r="GK510" s="3"/>
      <c r="GL510" s="3"/>
      <c r="GM510" s="3"/>
      <c r="GN510" s="3"/>
      <c r="GO510" s="3"/>
      <c r="GP510" s="3"/>
      <c r="GQ510" s="3"/>
      <c r="GR510" s="3"/>
      <c r="GS510" s="3"/>
      <c r="GT510" s="3"/>
      <c r="GU510" s="3"/>
      <c r="GV510" s="3"/>
      <c r="GW510" s="3"/>
      <c r="GX510" s="3"/>
      <c r="GY510" s="3"/>
      <c r="GZ510" s="3"/>
      <c r="HA510" s="3"/>
      <c r="HB510" s="3"/>
    </row>
    <row r="511" spans="1:210" ht="15.75" customHeight="1">
      <c r="A511" s="50"/>
      <c r="B511" s="50"/>
      <c r="C511" s="50"/>
      <c r="D511" s="50"/>
      <c r="E511" s="50"/>
      <c r="F511" s="50"/>
      <c r="G511" s="51"/>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c r="AS511" s="50"/>
      <c r="AT511" s="50"/>
      <c r="AU511" s="50"/>
      <c r="AV511" s="50"/>
      <c r="AW511" s="50"/>
      <c r="AX511" s="50"/>
      <c r="AY511" s="50"/>
      <c r="AZ511" s="50"/>
      <c r="BA511" s="50"/>
      <c r="BB511" s="50"/>
      <c r="BC511" s="50"/>
      <c r="BD511" s="50"/>
      <c r="BE511" s="50"/>
      <c r="BF511" s="50"/>
      <c r="BG511" s="50"/>
      <c r="BH511" s="50"/>
      <c r="BI511" s="50"/>
      <c r="BJ511" s="50"/>
      <c r="BK511" s="50"/>
      <c r="BL511" s="50"/>
      <c r="BM511" s="50"/>
      <c r="BN511" s="50"/>
      <c r="BO511" s="50"/>
      <c r="BP511" s="50"/>
      <c r="BQ511" s="50"/>
      <c r="BR511" s="50"/>
      <c r="BS511" s="50"/>
      <c r="BT511" s="50"/>
      <c r="BU511" s="50"/>
      <c r="BV511" s="50"/>
      <c r="BW511" s="50"/>
      <c r="BX511" s="50"/>
      <c r="BY511" s="50"/>
      <c r="BZ511" s="50"/>
      <c r="CA511" s="50"/>
      <c r="CB511" s="50"/>
      <c r="CC511" s="50"/>
      <c r="CD511" s="52"/>
      <c r="CE511" s="50"/>
      <c r="CF511" s="50"/>
      <c r="CG511" s="50"/>
      <c r="CH511" s="50"/>
      <c r="CI511" s="50"/>
      <c r="CJ511" s="50"/>
      <c r="CK511" s="50"/>
      <c r="CL511" s="50"/>
      <c r="CM511" s="50"/>
      <c r="CN511" s="50"/>
      <c r="CO511" s="50"/>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c r="GE511" s="3"/>
      <c r="GF511" s="3"/>
      <c r="GG511" s="3"/>
      <c r="GH511" s="3"/>
      <c r="GI511" s="3"/>
      <c r="GJ511" s="3"/>
      <c r="GK511" s="3"/>
      <c r="GL511" s="3"/>
      <c r="GM511" s="3"/>
      <c r="GN511" s="3"/>
      <c r="GO511" s="3"/>
      <c r="GP511" s="3"/>
      <c r="GQ511" s="3"/>
      <c r="GR511" s="3"/>
      <c r="GS511" s="3"/>
      <c r="GT511" s="3"/>
      <c r="GU511" s="3"/>
      <c r="GV511" s="3"/>
      <c r="GW511" s="3"/>
      <c r="GX511" s="3"/>
      <c r="GY511" s="3"/>
      <c r="GZ511" s="3"/>
      <c r="HA511" s="3"/>
      <c r="HB511" s="3"/>
    </row>
    <row r="512" spans="1:210" ht="15.75" customHeight="1">
      <c r="A512" s="50"/>
      <c r="B512" s="50"/>
      <c r="C512" s="50"/>
      <c r="D512" s="50"/>
      <c r="E512" s="50"/>
      <c r="F512" s="50"/>
      <c r="G512" s="51"/>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c r="AS512" s="50"/>
      <c r="AT512" s="50"/>
      <c r="AU512" s="50"/>
      <c r="AV512" s="50"/>
      <c r="AW512" s="50"/>
      <c r="AX512" s="50"/>
      <c r="AY512" s="50"/>
      <c r="AZ512" s="50"/>
      <c r="BA512" s="50"/>
      <c r="BB512" s="50"/>
      <c r="BC512" s="50"/>
      <c r="BD512" s="50"/>
      <c r="BE512" s="50"/>
      <c r="BF512" s="50"/>
      <c r="BG512" s="50"/>
      <c r="BH512" s="50"/>
      <c r="BI512" s="50"/>
      <c r="BJ512" s="50"/>
      <c r="BK512" s="50"/>
      <c r="BL512" s="50"/>
      <c r="BM512" s="50"/>
      <c r="BN512" s="50"/>
      <c r="BO512" s="50"/>
      <c r="BP512" s="50"/>
      <c r="BQ512" s="50"/>
      <c r="BR512" s="50"/>
      <c r="BS512" s="50"/>
      <c r="BT512" s="50"/>
      <c r="BU512" s="50"/>
      <c r="BV512" s="50"/>
      <c r="BW512" s="50"/>
      <c r="BX512" s="50"/>
      <c r="BY512" s="50"/>
      <c r="BZ512" s="50"/>
      <c r="CA512" s="50"/>
      <c r="CB512" s="50"/>
      <c r="CC512" s="50"/>
      <c r="CD512" s="52"/>
      <c r="CE512" s="50"/>
      <c r="CF512" s="50"/>
      <c r="CG512" s="50"/>
      <c r="CH512" s="50"/>
      <c r="CI512" s="50"/>
      <c r="CJ512" s="50"/>
      <c r="CK512" s="50"/>
      <c r="CL512" s="50"/>
      <c r="CM512" s="50"/>
      <c r="CN512" s="50"/>
      <c r="CO512" s="50"/>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c r="GE512" s="3"/>
      <c r="GF512" s="3"/>
      <c r="GG512" s="3"/>
      <c r="GH512" s="3"/>
      <c r="GI512" s="3"/>
      <c r="GJ512" s="3"/>
      <c r="GK512" s="3"/>
      <c r="GL512" s="3"/>
      <c r="GM512" s="3"/>
      <c r="GN512" s="3"/>
      <c r="GO512" s="3"/>
      <c r="GP512" s="3"/>
      <c r="GQ512" s="3"/>
      <c r="GR512" s="3"/>
      <c r="GS512" s="3"/>
      <c r="GT512" s="3"/>
      <c r="GU512" s="3"/>
      <c r="GV512" s="3"/>
      <c r="GW512" s="3"/>
      <c r="GX512" s="3"/>
      <c r="GY512" s="3"/>
      <c r="GZ512" s="3"/>
      <c r="HA512" s="3"/>
      <c r="HB512" s="3"/>
    </row>
    <row r="513" spans="1:210" ht="15.75" customHeight="1">
      <c r="A513" s="50"/>
      <c r="B513" s="50"/>
      <c r="C513" s="50"/>
      <c r="D513" s="50"/>
      <c r="E513" s="50"/>
      <c r="F513" s="50"/>
      <c r="G513" s="51"/>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c r="AS513" s="50"/>
      <c r="AT513" s="50"/>
      <c r="AU513" s="50"/>
      <c r="AV513" s="50"/>
      <c r="AW513" s="50"/>
      <c r="AX513" s="50"/>
      <c r="AY513" s="50"/>
      <c r="AZ513" s="50"/>
      <c r="BA513" s="50"/>
      <c r="BB513" s="50"/>
      <c r="BC513" s="50"/>
      <c r="BD513" s="50"/>
      <c r="BE513" s="50"/>
      <c r="BF513" s="50"/>
      <c r="BG513" s="50"/>
      <c r="BH513" s="50"/>
      <c r="BI513" s="50"/>
      <c r="BJ513" s="50"/>
      <c r="BK513" s="50"/>
      <c r="BL513" s="50"/>
      <c r="BM513" s="50"/>
      <c r="BN513" s="50"/>
      <c r="BO513" s="50"/>
      <c r="BP513" s="50"/>
      <c r="BQ513" s="50"/>
      <c r="BR513" s="50"/>
      <c r="BS513" s="50"/>
      <c r="BT513" s="50"/>
      <c r="BU513" s="50"/>
      <c r="BV513" s="50"/>
      <c r="BW513" s="50"/>
      <c r="BX513" s="50"/>
      <c r="BY513" s="50"/>
      <c r="BZ513" s="50"/>
      <c r="CA513" s="50"/>
      <c r="CB513" s="50"/>
      <c r="CC513" s="50"/>
      <c r="CD513" s="52"/>
      <c r="CE513" s="50"/>
      <c r="CF513" s="50"/>
      <c r="CG513" s="50"/>
      <c r="CH513" s="50"/>
      <c r="CI513" s="50"/>
      <c r="CJ513" s="50"/>
      <c r="CK513" s="50"/>
      <c r="CL513" s="50"/>
      <c r="CM513" s="50"/>
      <c r="CN513" s="50"/>
      <c r="CO513" s="50"/>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c r="GE513" s="3"/>
      <c r="GF513" s="3"/>
      <c r="GG513" s="3"/>
      <c r="GH513" s="3"/>
      <c r="GI513" s="3"/>
      <c r="GJ513" s="3"/>
      <c r="GK513" s="3"/>
      <c r="GL513" s="3"/>
      <c r="GM513" s="3"/>
      <c r="GN513" s="3"/>
      <c r="GO513" s="3"/>
      <c r="GP513" s="3"/>
      <c r="GQ513" s="3"/>
      <c r="GR513" s="3"/>
      <c r="GS513" s="3"/>
      <c r="GT513" s="3"/>
      <c r="GU513" s="3"/>
      <c r="GV513" s="3"/>
      <c r="GW513" s="3"/>
      <c r="GX513" s="3"/>
      <c r="GY513" s="3"/>
      <c r="GZ513" s="3"/>
      <c r="HA513" s="3"/>
      <c r="HB513" s="3"/>
    </row>
    <row r="514" spans="1:210" ht="15.75" customHeight="1">
      <c r="A514" s="50"/>
      <c r="B514" s="50"/>
      <c r="C514" s="50"/>
      <c r="D514" s="50"/>
      <c r="E514" s="50"/>
      <c r="F514" s="50"/>
      <c r="G514" s="51"/>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c r="AS514" s="50"/>
      <c r="AT514" s="50"/>
      <c r="AU514" s="50"/>
      <c r="AV514" s="50"/>
      <c r="AW514" s="50"/>
      <c r="AX514" s="50"/>
      <c r="AY514" s="50"/>
      <c r="AZ514" s="50"/>
      <c r="BA514" s="50"/>
      <c r="BB514" s="50"/>
      <c r="BC514" s="50"/>
      <c r="BD514" s="50"/>
      <c r="BE514" s="50"/>
      <c r="BF514" s="50"/>
      <c r="BG514" s="50"/>
      <c r="BH514" s="50"/>
      <c r="BI514" s="50"/>
      <c r="BJ514" s="50"/>
      <c r="BK514" s="50"/>
      <c r="BL514" s="50"/>
      <c r="BM514" s="50"/>
      <c r="BN514" s="50"/>
      <c r="BO514" s="50"/>
      <c r="BP514" s="50"/>
      <c r="BQ514" s="50"/>
      <c r="BR514" s="50"/>
      <c r="BS514" s="50"/>
      <c r="BT514" s="50"/>
      <c r="BU514" s="50"/>
      <c r="BV514" s="50"/>
      <c r="BW514" s="50"/>
      <c r="BX514" s="50"/>
      <c r="BY514" s="50"/>
      <c r="BZ514" s="50"/>
      <c r="CA514" s="50"/>
      <c r="CB514" s="50"/>
      <c r="CC514" s="50"/>
      <c r="CD514" s="52"/>
      <c r="CE514" s="50"/>
      <c r="CF514" s="50"/>
      <c r="CG514" s="50"/>
      <c r="CH514" s="50"/>
      <c r="CI514" s="50"/>
      <c r="CJ514" s="50"/>
      <c r="CK514" s="50"/>
      <c r="CL514" s="50"/>
      <c r="CM514" s="50"/>
      <c r="CN514" s="50"/>
      <c r="CO514" s="50"/>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c r="GE514" s="3"/>
      <c r="GF514" s="3"/>
      <c r="GG514" s="3"/>
      <c r="GH514" s="3"/>
      <c r="GI514" s="3"/>
      <c r="GJ514" s="3"/>
      <c r="GK514" s="3"/>
      <c r="GL514" s="3"/>
      <c r="GM514" s="3"/>
      <c r="GN514" s="3"/>
      <c r="GO514" s="3"/>
      <c r="GP514" s="3"/>
      <c r="GQ514" s="3"/>
      <c r="GR514" s="3"/>
      <c r="GS514" s="3"/>
      <c r="GT514" s="3"/>
      <c r="GU514" s="3"/>
      <c r="GV514" s="3"/>
      <c r="GW514" s="3"/>
      <c r="GX514" s="3"/>
      <c r="GY514" s="3"/>
      <c r="GZ514" s="3"/>
      <c r="HA514" s="3"/>
      <c r="HB514" s="3"/>
    </row>
    <row r="515" spans="1:210" ht="15.75" customHeight="1">
      <c r="A515" s="50"/>
      <c r="B515" s="50"/>
      <c r="C515" s="50"/>
      <c r="D515" s="50"/>
      <c r="E515" s="50"/>
      <c r="F515" s="50"/>
      <c r="G515" s="51"/>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c r="AS515" s="50"/>
      <c r="AT515" s="50"/>
      <c r="AU515" s="50"/>
      <c r="AV515" s="50"/>
      <c r="AW515" s="50"/>
      <c r="AX515" s="50"/>
      <c r="AY515" s="50"/>
      <c r="AZ515" s="50"/>
      <c r="BA515" s="50"/>
      <c r="BB515" s="50"/>
      <c r="BC515" s="50"/>
      <c r="BD515" s="50"/>
      <c r="BE515" s="50"/>
      <c r="BF515" s="50"/>
      <c r="BG515" s="50"/>
      <c r="BH515" s="50"/>
      <c r="BI515" s="50"/>
      <c r="BJ515" s="50"/>
      <c r="BK515" s="50"/>
      <c r="BL515" s="50"/>
      <c r="BM515" s="50"/>
      <c r="BN515" s="50"/>
      <c r="BO515" s="50"/>
      <c r="BP515" s="50"/>
      <c r="BQ515" s="50"/>
      <c r="BR515" s="50"/>
      <c r="BS515" s="50"/>
      <c r="BT515" s="50"/>
      <c r="BU515" s="50"/>
      <c r="BV515" s="50"/>
      <c r="BW515" s="50"/>
      <c r="BX515" s="50"/>
      <c r="BY515" s="50"/>
      <c r="BZ515" s="50"/>
      <c r="CA515" s="50"/>
      <c r="CB515" s="50"/>
      <c r="CC515" s="50"/>
      <c r="CD515" s="52"/>
      <c r="CE515" s="50"/>
      <c r="CF515" s="50"/>
      <c r="CG515" s="50"/>
      <c r="CH515" s="50"/>
      <c r="CI515" s="50"/>
      <c r="CJ515" s="50"/>
      <c r="CK515" s="50"/>
      <c r="CL515" s="50"/>
      <c r="CM515" s="50"/>
      <c r="CN515" s="50"/>
      <c r="CO515" s="50"/>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c r="GE515" s="3"/>
      <c r="GF515" s="3"/>
      <c r="GG515" s="3"/>
      <c r="GH515" s="3"/>
      <c r="GI515" s="3"/>
      <c r="GJ515" s="3"/>
      <c r="GK515" s="3"/>
      <c r="GL515" s="3"/>
      <c r="GM515" s="3"/>
      <c r="GN515" s="3"/>
      <c r="GO515" s="3"/>
      <c r="GP515" s="3"/>
      <c r="GQ515" s="3"/>
      <c r="GR515" s="3"/>
      <c r="GS515" s="3"/>
      <c r="GT515" s="3"/>
      <c r="GU515" s="3"/>
      <c r="GV515" s="3"/>
      <c r="GW515" s="3"/>
      <c r="GX515" s="3"/>
      <c r="GY515" s="3"/>
      <c r="GZ515" s="3"/>
      <c r="HA515" s="3"/>
      <c r="HB515" s="3"/>
    </row>
    <row r="516" spans="1:210" ht="15.75" customHeight="1">
      <c r="A516" s="50"/>
      <c r="B516" s="50"/>
      <c r="C516" s="50"/>
      <c r="D516" s="50"/>
      <c r="E516" s="50"/>
      <c r="F516" s="50"/>
      <c r="G516" s="51"/>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c r="AS516" s="50"/>
      <c r="AT516" s="50"/>
      <c r="AU516" s="50"/>
      <c r="AV516" s="50"/>
      <c r="AW516" s="50"/>
      <c r="AX516" s="50"/>
      <c r="AY516" s="50"/>
      <c r="AZ516" s="50"/>
      <c r="BA516" s="50"/>
      <c r="BB516" s="50"/>
      <c r="BC516" s="50"/>
      <c r="BD516" s="50"/>
      <c r="BE516" s="50"/>
      <c r="BF516" s="50"/>
      <c r="BG516" s="50"/>
      <c r="BH516" s="50"/>
      <c r="BI516" s="50"/>
      <c r="BJ516" s="50"/>
      <c r="BK516" s="50"/>
      <c r="BL516" s="50"/>
      <c r="BM516" s="50"/>
      <c r="BN516" s="50"/>
      <c r="BO516" s="50"/>
      <c r="BP516" s="50"/>
      <c r="BQ516" s="50"/>
      <c r="BR516" s="50"/>
      <c r="BS516" s="50"/>
      <c r="BT516" s="50"/>
      <c r="BU516" s="50"/>
      <c r="BV516" s="50"/>
      <c r="BW516" s="50"/>
      <c r="BX516" s="50"/>
      <c r="BY516" s="50"/>
      <c r="BZ516" s="50"/>
      <c r="CA516" s="50"/>
      <c r="CB516" s="50"/>
      <c r="CC516" s="50"/>
      <c r="CD516" s="52"/>
      <c r="CE516" s="50"/>
      <c r="CF516" s="50"/>
      <c r="CG516" s="50"/>
      <c r="CH516" s="50"/>
      <c r="CI516" s="50"/>
      <c r="CJ516" s="50"/>
      <c r="CK516" s="50"/>
      <c r="CL516" s="50"/>
      <c r="CM516" s="50"/>
      <c r="CN516" s="50"/>
      <c r="CO516" s="50"/>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c r="GE516" s="3"/>
      <c r="GF516" s="3"/>
      <c r="GG516" s="3"/>
      <c r="GH516" s="3"/>
      <c r="GI516" s="3"/>
      <c r="GJ516" s="3"/>
      <c r="GK516" s="3"/>
      <c r="GL516" s="3"/>
      <c r="GM516" s="3"/>
      <c r="GN516" s="3"/>
      <c r="GO516" s="3"/>
      <c r="GP516" s="3"/>
      <c r="GQ516" s="3"/>
      <c r="GR516" s="3"/>
      <c r="GS516" s="3"/>
      <c r="GT516" s="3"/>
      <c r="GU516" s="3"/>
      <c r="GV516" s="3"/>
      <c r="GW516" s="3"/>
      <c r="GX516" s="3"/>
      <c r="GY516" s="3"/>
      <c r="GZ516" s="3"/>
      <c r="HA516" s="3"/>
      <c r="HB516" s="3"/>
    </row>
    <row r="517" spans="1:210" ht="15.75" customHeight="1">
      <c r="A517" s="50"/>
      <c r="B517" s="50"/>
      <c r="C517" s="50"/>
      <c r="D517" s="50"/>
      <c r="E517" s="50"/>
      <c r="F517" s="50"/>
      <c r="G517" s="51"/>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c r="AS517" s="50"/>
      <c r="AT517" s="50"/>
      <c r="AU517" s="50"/>
      <c r="AV517" s="50"/>
      <c r="AW517" s="50"/>
      <c r="AX517" s="50"/>
      <c r="AY517" s="50"/>
      <c r="AZ517" s="50"/>
      <c r="BA517" s="50"/>
      <c r="BB517" s="50"/>
      <c r="BC517" s="50"/>
      <c r="BD517" s="50"/>
      <c r="BE517" s="50"/>
      <c r="BF517" s="50"/>
      <c r="BG517" s="50"/>
      <c r="BH517" s="50"/>
      <c r="BI517" s="50"/>
      <c r="BJ517" s="50"/>
      <c r="BK517" s="50"/>
      <c r="BL517" s="50"/>
      <c r="BM517" s="50"/>
      <c r="BN517" s="50"/>
      <c r="BO517" s="50"/>
      <c r="BP517" s="50"/>
      <c r="BQ517" s="50"/>
      <c r="BR517" s="50"/>
      <c r="BS517" s="50"/>
      <c r="BT517" s="50"/>
      <c r="BU517" s="50"/>
      <c r="BV517" s="50"/>
      <c r="BW517" s="50"/>
      <c r="BX517" s="50"/>
      <c r="BY517" s="50"/>
      <c r="BZ517" s="50"/>
      <c r="CA517" s="50"/>
      <c r="CB517" s="50"/>
      <c r="CC517" s="50"/>
      <c r="CD517" s="52"/>
      <c r="CE517" s="50"/>
      <c r="CF517" s="50"/>
      <c r="CG517" s="50"/>
      <c r="CH517" s="50"/>
      <c r="CI517" s="50"/>
      <c r="CJ517" s="50"/>
      <c r="CK517" s="50"/>
      <c r="CL517" s="50"/>
      <c r="CM517" s="50"/>
      <c r="CN517" s="50"/>
      <c r="CO517" s="50"/>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c r="GE517" s="3"/>
      <c r="GF517" s="3"/>
      <c r="GG517" s="3"/>
      <c r="GH517" s="3"/>
      <c r="GI517" s="3"/>
      <c r="GJ517" s="3"/>
      <c r="GK517" s="3"/>
      <c r="GL517" s="3"/>
      <c r="GM517" s="3"/>
      <c r="GN517" s="3"/>
      <c r="GO517" s="3"/>
      <c r="GP517" s="3"/>
      <c r="GQ517" s="3"/>
      <c r="GR517" s="3"/>
      <c r="GS517" s="3"/>
      <c r="GT517" s="3"/>
      <c r="GU517" s="3"/>
      <c r="GV517" s="3"/>
      <c r="GW517" s="3"/>
      <c r="GX517" s="3"/>
      <c r="GY517" s="3"/>
      <c r="GZ517" s="3"/>
      <c r="HA517" s="3"/>
      <c r="HB517" s="3"/>
    </row>
    <row r="518" spans="1:210" ht="15.75" customHeight="1">
      <c r="A518" s="50"/>
      <c r="B518" s="50"/>
      <c r="C518" s="50"/>
      <c r="D518" s="50"/>
      <c r="E518" s="50"/>
      <c r="F518" s="50"/>
      <c r="G518" s="51"/>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c r="AS518" s="50"/>
      <c r="AT518" s="50"/>
      <c r="AU518" s="50"/>
      <c r="AV518" s="50"/>
      <c r="AW518" s="50"/>
      <c r="AX518" s="50"/>
      <c r="AY518" s="50"/>
      <c r="AZ518" s="50"/>
      <c r="BA518" s="50"/>
      <c r="BB518" s="50"/>
      <c r="BC518" s="50"/>
      <c r="BD518" s="50"/>
      <c r="BE518" s="50"/>
      <c r="BF518" s="50"/>
      <c r="BG518" s="50"/>
      <c r="BH518" s="50"/>
      <c r="BI518" s="50"/>
      <c r="BJ518" s="50"/>
      <c r="BK518" s="50"/>
      <c r="BL518" s="50"/>
      <c r="BM518" s="50"/>
      <c r="BN518" s="50"/>
      <c r="BO518" s="50"/>
      <c r="BP518" s="50"/>
      <c r="BQ518" s="50"/>
      <c r="BR518" s="50"/>
      <c r="BS518" s="50"/>
      <c r="BT518" s="50"/>
      <c r="BU518" s="50"/>
      <c r="BV518" s="50"/>
      <c r="BW518" s="50"/>
      <c r="BX518" s="50"/>
      <c r="BY518" s="50"/>
      <c r="BZ518" s="50"/>
      <c r="CA518" s="50"/>
      <c r="CB518" s="50"/>
      <c r="CC518" s="50"/>
      <c r="CD518" s="52"/>
      <c r="CE518" s="50"/>
      <c r="CF518" s="50"/>
      <c r="CG518" s="50"/>
      <c r="CH518" s="50"/>
      <c r="CI518" s="50"/>
      <c r="CJ518" s="50"/>
      <c r="CK518" s="50"/>
      <c r="CL518" s="50"/>
      <c r="CM518" s="50"/>
      <c r="CN518" s="50"/>
      <c r="CO518" s="50"/>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c r="GE518" s="3"/>
      <c r="GF518" s="3"/>
      <c r="GG518" s="3"/>
      <c r="GH518" s="3"/>
      <c r="GI518" s="3"/>
      <c r="GJ518" s="3"/>
      <c r="GK518" s="3"/>
      <c r="GL518" s="3"/>
      <c r="GM518" s="3"/>
      <c r="GN518" s="3"/>
      <c r="GO518" s="3"/>
      <c r="GP518" s="3"/>
      <c r="GQ518" s="3"/>
      <c r="GR518" s="3"/>
      <c r="GS518" s="3"/>
      <c r="GT518" s="3"/>
      <c r="GU518" s="3"/>
      <c r="GV518" s="3"/>
      <c r="GW518" s="3"/>
      <c r="GX518" s="3"/>
      <c r="GY518" s="3"/>
      <c r="GZ518" s="3"/>
      <c r="HA518" s="3"/>
      <c r="HB518" s="3"/>
    </row>
    <row r="519" spans="1:210" ht="15.75" customHeight="1">
      <c r="A519" s="50"/>
      <c r="B519" s="50"/>
      <c r="C519" s="50"/>
      <c r="D519" s="50"/>
      <c r="E519" s="50"/>
      <c r="F519" s="50"/>
      <c r="G519" s="51"/>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c r="AV519" s="50"/>
      <c r="AW519" s="50"/>
      <c r="AX519" s="50"/>
      <c r="AY519" s="50"/>
      <c r="AZ519" s="50"/>
      <c r="BA519" s="50"/>
      <c r="BB519" s="50"/>
      <c r="BC519" s="50"/>
      <c r="BD519" s="50"/>
      <c r="BE519" s="50"/>
      <c r="BF519" s="50"/>
      <c r="BG519" s="50"/>
      <c r="BH519" s="50"/>
      <c r="BI519" s="50"/>
      <c r="BJ519" s="50"/>
      <c r="BK519" s="50"/>
      <c r="BL519" s="50"/>
      <c r="BM519" s="50"/>
      <c r="BN519" s="50"/>
      <c r="BO519" s="50"/>
      <c r="BP519" s="50"/>
      <c r="BQ519" s="50"/>
      <c r="BR519" s="50"/>
      <c r="BS519" s="50"/>
      <c r="BT519" s="50"/>
      <c r="BU519" s="50"/>
      <c r="BV519" s="50"/>
      <c r="BW519" s="50"/>
      <c r="BX519" s="50"/>
      <c r="BY519" s="50"/>
      <c r="BZ519" s="50"/>
      <c r="CA519" s="50"/>
      <c r="CB519" s="50"/>
      <c r="CC519" s="50"/>
      <c r="CD519" s="52"/>
      <c r="CE519" s="50"/>
      <c r="CF519" s="50"/>
      <c r="CG519" s="50"/>
      <c r="CH519" s="50"/>
      <c r="CI519" s="50"/>
      <c r="CJ519" s="50"/>
      <c r="CK519" s="50"/>
      <c r="CL519" s="50"/>
      <c r="CM519" s="50"/>
      <c r="CN519" s="50"/>
      <c r="CO519" s="50"/>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c r="GE519" s="3"/>
      <c r="GF519" s="3"/>
      <c r="GG519" s="3"/>
      <c r="GH519" s="3"/>
      <c r="GI519" s="3"/>
      <c r="GJ519" s="3"/>
      <c r="GK519" s="3"/>
      <c r="GL519" s="3"/>
      <c r="GM519" s="3"/>
      <c r="GN519" s="3"/>
      <c r="GO519" s="3"/>
      <c r="GP519" s="3"/>
      <c r="GQ519" s="3"/>
      <c r="GR519" s="3"/>
      <c r="GS519" s="3"/>
      <c r="GT519" s="3"/>
      <c r="GU519" s="3"/>
      <c r="GV519" s="3"/>
      <c r="GW519" s="3"/>
      <c r="GX519" s="3"/>
      <c r="GY519" s="3"/>
      <c r="GZ519" s="3"/>
      <c r="HA519" s="3"/>
      <c r="HB519" s="3"/>
    </row>
    <row r="520" spans="1:210" ht="15.75" customHeight="1">
      <c r="A520" s="50"/>
      <c r="B520" s="50"/>
      <c r="C520" s="50"/>
      <c r="D520" s="50"/>
      <c r="E520" s="50"/>
      <c r="F520" s="50"/>
      <c r="G520" s="51"/>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c r="AS520" s="50"/>
      <c r="AT520" s="50"/>
      <c r="AU520" s="50"/>
      <c r="AV520" s="50"/>
      <c r="AW520" s="50"/>
      <c r="AX520" s="50"/>
      <c r="AY520" s="50"/>
      <c r="AZ520" s="50"/>
      <c r="BA520" s="50"/>
      <c r="BB520" s="50"/>
      <c r="BC520" s="50"/>
      <c r="BD520" s="50"/>
      <c r="BE520" s="50"/>
      <c r="BF520" s="50"/>
      <c r="BG520" s="50"/>
      <c r="BH520" s="50"/>
      <c r="BI520" s="50"/>
      <c r="BJ520" s="50"/>
      <c r="BK520" s="50"/>
      <c r="BL520" s="50"/>
      <c r="BM520" s="50"/>
      <c r="BN520" s="50"/>
      <c r="BO520" s="50"/>
      <c r="BP520" s="50"/>
      <c r="BQ520" s="50"/>
      <c r="BR520" s="50"/>
      <c r="BS520" s="50"/>
      <c r="BT520" s="50"/>
      <c r="BU520" s="50"/>
      <c r="BV520" s="50"/>
      <c r="BW520" s="50"/>
      <c r="BX520" s="50"/>
      <c r="BY520" s="50"/>
      <c r="BZ520" s="50"/>
      <c r="CA520" s="50"/>
      <c r="CB520" s="50"/>
      <c r="CC520" s="50"/>
      <c r="CD520" s="52"/>
      <c r="CE520" s="50"/>
      <c r="CF520" s="50"/>
      <c r="CG520" s="50"/>
      <c r="CH520" s="50"/>
      <c r="CI520" s="50"/>
      <c r="CJ520" s="50"/>
      <c r="CK520" s="50"/>
      <c r="CL520" s="50"/>
      <c r="CM520" s="50"/>
      <c r="CN520" s="50"/>
      <c r="CO520" s="50"/>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c r="GE520" s="3"/>
      <c r="GF520" s="3"/>
      <c r="GG520" s="3"/>
      <c r="GH520" s="3"/>
      <c r="GI520" s="3"/>
      <c r="GJ520" s="3"/>
      <c r="GK520" s="3"/>
      <c r="GL520" s="3"/>
      <c r="GM520" s="3"/>
      <c r="GN520" s="3"/>
      <c r="GO520" s="3"/>
      <c r="GP520" s="3"/>
      <c r="GQ520" s="3"/>
      <c r="GR520" s="3"/>
      <c r="GS520" s="3"/>
      <c r="GT520" s="3"/>
      <c r="GU520" s="3"/>
      <c r="GV520" s="3"/>
      <c r="GW520" s="3"/>
      <c r="GX520" s="3"/>
      <c r="GY520" s="3"/>
      <c r="GZ520" s="3"/>
      <c r="HA520" s="3"/>
      <c r="HB520" s="3"/>
    </row>
    <row r="521" spans="1:210" ht="15.75" customHeight="1">
      <c r="A521" s="50"/>
      <c r="B521" s="50"/>
      <c r="C521" s="50"/>
      <c r="D521" s="50"/>
      <c r="E521" s="50"/>
      <c r="F521" s="50"/>
      <c r="G521" s="51"/>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c r="AS521" s="50"/>
      <c r="AT521" s="50"/>
      <c r="AU521" s="50"/>
      <c r="AV521" s="50"/>
      <c r="AW521" s="50"/>
      <c r="AX521" s="50"/>
      <c r="AY521" s="50"/>
      <c r="AZ521" s="50"/>
      <c r="BA521" s="50"/>
      <c r="BB521" s="50"/>
      <c r="BC521" s="50"/>
      <c r="BD521" s="50"/>
      <c r="BE521" s="50"/>
      <c r="BF521" s="50"/>
      <c r="BG521" s="50"/>
      <c r="BH521" s="50"/>
      <c r="BI521" s="50"/>
      <c r="BJ521" s="50"/>
      <c r="BK521" s="50"/>
      <c r="BL521" s="50"/>
      <c r="BM521" s="50"/>
      <c r="BN521" s="50"/>
      <c r="BO521" s="50"/>
      <c r="BP521" s="50"/>
      <c r="BQ521" s="50"/>
      <c r="BR521" s="50"/>
      <c r="BS521" s="50"/>
      <c r="BT521" s="50"/>
      <c r="BU521" s="50"/>
      <c r="BV521" s="50"/>
      <c r="BW521" s="50"/>
      <c r="BX521" s="50"/>
      <c r="BY521" s="50"/>
      <c r="BZ521" s="50"/>
      <c r="CA521" s="50"/>
      <c r="CB521" s="50"/>
      <c r="CC521" s="50"/>
      <c r="CD521" s="52"/>
      <c r="CE521" s="50"/>
      <c r="CF521" s="50"/>
      <c r="CG521" s="50"/>
      <c r="CH521" s="50"/>
      <c r="CI521" s="50"/>
      <c r="CJ521" s="50"/>
      <c r="CK521" s="50"/>
      <c r="CL521" s="50"/>
      <c r="CM521" s="50"/>
      <c r="CN521" s="50"/>
      <c r="CO521" s="50"/>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c r="GE521" s="3"/>
      <c r="GF521" s="3"/>
      <c r="GG521" s="3"/>
      <c r="GH521" s="3"/>
      <c r="GI521" s="3"/>
      <c r="GJ521" s="3"/>
      <c r="GK521" s="3"/>
      <c r="GL521" s="3"/>
      <c r="GM521" s="3"/>
      <c r="GN521" s="3"/>
      <c r="GO521" s="3"/>
      <c r="GP521" s="3"/>
      <c r="GQ521" s="3"/>
      <c r="GR521" s="3"/>
      <c r="GS521" s="3"/>
      <c r="GT521" s="3"/>
      <c r="GU521" s="3"/>
      <c r="GV521" s="3"/>
      <c r="GW521" s="3"/>
      <c r="GX521" s="3"/>
      <c r="GY521" s="3"/>
      <c r="GZ521" s="3"/>
      <c r="HA521" s="3"/>
      <c r="HB521" s="3"/>
    </row>
    <row r="522" spans="1:210" ht="15.75" customHeight="1">
      <c r="A522" s="50"/>
      <c r="B522" s="50"/>
      <c r="C522" s="50"/>
      <c r="D522" s="50"/>
      <c r="E522" s="50"/>
      <c r="F522" s="50"/>
      <c r="G522" s="51"/>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c r="AV522" s="50"/>
      <c r="AW522" s="50"/>
      <c r="AX522" s="50"/>
      <c r="AY522" s="50"/>
      <c r="AZ522" s="50"/>
      <c r="BA522" s="50"/>
      <c r="BB522" s="50"/>
      <c r="BC522" s="50"/>
      <c r="BD522" s="50"/>
      <c r="BE522" s="50"/>
      <c r="BF522" s="50"/>
      <c r="BG522" s="50"/>
      <c r="BH522" s="50"/>
      <c r="BI522" s="50"/>
      <c r="BJ522" s="50"/>
      <c r="BK522" s="50"/>
      <c r="BL522" s="50"/>
      <c r="BM522" s="50"/>
      <c r="BN522" s="50"/>
      <c r="BO522" s="50"/>
      <c r="BP522" s="50"/>
      <c r="BQ522" s="50"/>
      <c r="BR522" s="50"/>
      <c r="BS522" s="50"/>
      <c r="BT522" s="50"/>
      <c r="BU522" s="50"/>
      <c r="BV522" s="50"/>
      <c r="BW522" s="50"/>
      <c r="BX522" s="50"/>
      <c r="BY522" s="50"/>
      <c r="BZ522" s="50"/>
      <c r="CA522" s="50"/>
      <c r="CB522" s="50"/>
      <c r="CC522" s="50"/>
      <c r="CD522" s="52"/>
      <c r="CE522" s="50"/>
      <c r="CF522" s="50"/>
      <c r="CG522" s="50"/>
      <c r="CH522" s="50"/>
      <c r="CI522" s="50"/>
      <c r="CJ522" s="50"/>
      <c r="CK522" s="50"/>
      <c r="CL522" s="50"/>
      <c r="CM522" s="50"/>
      <c r="CN522" s="50"/>
      <c r="CO522" s="50"/>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c r="GE522" s="3"/>
      <c r="GF522" s="3"/>
      <c r="GG522" s="3"/>
      <c r="GH522" s="3"/>
      <c r="GI522" s="3"/>
      <c r="GJ522" s="3"/>
      <c r="GK522" s="3"/>
      <c r="GL522" s="3"/>
      <c r="GM522" s="3"/>
      <c r="GN522" s="3"/>
      <c r="GO522" s="3"/>
      <c r="GP522" s="3"/>
      <c r="GQ522" s="3"/>
      <c r="GR522" s="3"/>
      <c r="GS522" s="3"/>
      <c r="GT522" s="3"/>
      <c r="GU522" s="3"/>
      <c r="GV522" s="3"/>
      <c r="GW522" s="3"/>
      <c r="GX522" s="3"/>
      <c r="GY522" s="3"/>
      <c r="GZ522" s="3"/>
      <c r="HA522" s="3"/>
      <c r="HB522" s="3"/>
    </row>
    <row r="523" spans="1:210" ht="15.75" customHeight="1">
      <c r="A523" s="50"/>
      <c r="B523" s="50"/>
      <c r="C523" s="50"/>
      <c r="D523" s="50"/>
      <c r="E523" s="50"/>
      <c r="F523" s="50"/>
      <c r="G523" s="51"/>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c r="AR523" s="50"/>
      <c r="AS523" s="50"/>
      <c r="AT523" s="50"/>
      <c r="AU523" s="50"/>
      <c r="AV523" s="50"/>
      <c r="AW523" s="50"/>
      <c r="AX523" s="50"/>
      <c r="AY523" s="50"/>
      <c r="AZ523" s="50"/>
      <c r="BA523" s="50"/>
      <c r="BB523" s="50"/>
      <c r="BC523" s="50"/>
      <c r="BD523" s="50"/>
      <c r="BE523" s="50"/>
      <c r="BF523" s="50"/>
      <c r="BG523" s="50"/>
      <c r="BH523" s="50"/>
      <c r="BI523" s="50"/>
      <c r="BJ523" s="50"/>
      <c r="BK523" s="50"/>
      <c r="BL523" s="50"/>
      <c r="BM523" s="50"/>
      <c r="BN523" s="50"/>
      <c r="BO523" s="50"/>
      <c r="BP523" s="50"/>
      <c r="BQ523" s="50"/>
      <c r="BR523" s="50"/>
      <c r="BS523" s="50"/>
      <c r="BT523" s="50"/>
      <c r="BU523" s="50"/>
      <c r="BV523" s="50"/>
      <c r="BW523" s="50"/>
      <c r="BX523" s="50"/>
      <c r="BY523" s="50"/>
      <c r="BZ523" s="50"/>
      <c r="CA523" s="50"/>
      <c r="CB523" s="50"/>
      <c r="CC523" s="50"/>
      <c r="CD523" s="52"/>
      <c r="CE523" s="50"/>
      <c r="CF523" s="50"/>
      <c r="CG523" s="50"/>
      <c r="CH523" s="50"/>
      <c r="CI523" s="50"/>
      <c r="CJ523" s="50"/>
      <c r="CK523" s="50"/>
      <c r="CL523" s="50"/>
      <c r="CM523" s="50"/>
      <c r="CN523" s="50"/>
      <c r="CO523" s="50"/>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c r="GE523" s="3"/>
      <c r="GF523" s="3"/>
      <c r="GG523" s="3"/>
      <c r="GH523" s="3"/>
      <c r="GI523" s="3"/>
      <c r="GJ523" s="3"/>
      <c r="GK523" s="3"/>
      <c r="GL523" s="3"/>
      <c r="GM523" s="3"/>
      <c r="GN523" s="3"/>
      <c r="GO523" s="3"/>
      <c r="GP523" s="3"/>
      <c r="GQ523" s="3"/>
      <c r="GR523" s="3"/>
      <c r="GS523" s="3"/>
      <c r="GT523" s="3"/>
      <c r="GU523" s="3"/>
      <c r="GV523" s="3"/>
      <c r="GW523" s="3"/>
      <c r="GX523" s="3"/>
      <c r="GY523" s="3"/>
      <c r="GZ523" s="3"/>
      <c r="HA523" s="3"/>
      <c r="HB523" s="3"/>
    </row>
    <row r="524" spans="1:210" ht="15.75" customHeight="1">
      <c r="A524" s="50"/>
      <c r="B524" s="50"/>
      <c r="C524" s="50"/>
      <c r="D524" s="50"/>
      <c r="E524" s="50"/>
      <c r="F524" s="50"/>
      <c r="G524" s="51"/>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c r="AR524" s="50"/>
      <c r="AS524" s="50"/>
      <c r="AT524" s="50"/>
      <c r="AU524" s="50"/>
      <c r="AV524" s="50"/>
      <c r="AW524" s="50"/>
      <c r="AX524" s="50"/>
      <c r="AY524" s="50"/>
      <c r="AZ524" s="50"/>
      <c r="BA524" s="50"/>
      <c r="BB524" s="50"/>
      <c r="BC524" s="50"/>
      <c r="BD524" s="50"/>
      <c r="BE524" s="50"/>
      <c r="BF524" s="50"/>
      <c r="BG524" s="50"/>
      <c r="BH524" s="50"/>
      <c r="BI524" s="50"/>
      <c r="BJ524" s="50"/>
      <c r="BK524" s="50"/>
      <c r="BL524" s="50"/>
      <c r="BM524" s="50"/>
      <c r="BN524" s="50"/>
      <c r="BO524" s="50"/>
      <c r="BP524" s="50"/>
      <c r="BQ524" s="50"/>
      <c r="BR524" s="50"/>
      <c r="BS524" s="50"/>
      <c r="BT524" s="50"/>
      <c r="BU524" s="50"/>
      <c r="BV524" s="50"/>
      <c r="BW524" s="50"/>
      <c r="BX524" s="50"/>
      <c r="BY524" s="50"/>
      <c r="BZ524" s="50"/>
      <c r="CA524" s="50"/>
      <c r="CB524" s="50"/>
      <c r="CC524" s="50"/>
      <c r="CD524" s="52"/>
      <c r="CE524" s="50"/>
      <c r="CF524" s="50"/>
      <c r="CG524" s="50"/>
      <c r="CH524" s="50"/>
      <c r="CI524" s="50"/>
      <c r="CJ524" s="50"/>
      <c r="CK524" s="50"/>
      <c r="CL524" s="50"/>
      <c r="CM524" s="50"/>
      <c r="CN524" s="50"/>
      <c r="CO524" s="50"/>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c r="GE524" s="3"/>
      <c r="GF524" s="3"/>
      <c r="GG524" s="3"/>
      <c r="GH524" s="3"/>
      <c r="GI524" s="3"/>
      <c r="GJ524" s="3"/>
      <c r="GK524" s="3"/>
      <c r="GL524" s="3"/>
      <c r="GM524" s="3"/>
      <c r="GN524" s="3"/>
      <c r="GO524" s="3"/>
      <c r="GP524" s="3"/>
      <c r="GQ524" s="3"/>
      <c r="GR524" s="3"/>
      <c r="GS524" s="3"/>
      <c r="GT524" s="3"/>
      <c r="GU524" s="3"/>
      <c r="GV524" s="3"/>
      <c r="GW524" s="3"/>
      <c r="GX524" s="3"/>
      <c r="GY524" s="3"/>
      <c r="GZ524" s="3"/>
      <c r="HA524" s="3"/>
      <c r="HB524" s="3"/>
    </row>
    <row r="525" spans="1:210" ht="15.75" customHeight="1">
      <c r="A525" s="50"/>
      <c r="B525" s="50"/>
      <c r="C525" s="50"/>
      <c r="D525" s="50"/>
      <c r="E525" s="50"/>
      <c r="F525" s="50"/>
      <c r="G525" s="51"/>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c r="AR525" s="50"/>
      <c r="AS525" s="50"/>
      <c r="AT525" s="50"/>
      <c r="AU525" s="50"/>
      <c r="AV525" s="50"/>
      <c r="AW525" s="50"/>
      <c r="AX525" s="50"/>
      <c r="AY525" s="50"/>
      <c r="AZ525" s="50"/>
      <c r="BA525" s="50"/>
      <c r="BB525" s="50"/>
      <c r="BC525" s="50"/>
      <c r="BD525" s="50"/>
      <c r="BE525" s="50"/>
      <c r="BF525" s="50"/>
      <c r="BG525" s="50"/>
      <c r="BH525" s="50"/>
      <c r="BI525" s="50"/>
      <c r="BJ525" s="50"/>
      <c r="BK525" s="50"/>
      <c r="BL525" s="50"/>
      <c r="BM525" s="50"/>
      <c r="BN525" s="50"/>
      <c r="BO525" s="50"/>
      <c r="BP525" s="50"/>
      <c r="BQ525" s="50"/>
      <c r="BR525" s="50"/>
      <c r="BS525" s="50"/>
      <c r="BT525" s="50"/>
      <c r="BU525" s="50"/>
      <c r="BV525" s="50"/>
      <c r="BW525" s="50"/>
      <c r="BX525" s="50"/>
      <c r="BY525" s="50"/>
      <c r="BZ525" s="50"/>
      <c r="CA525" s="50"/>
      <c r="CB525" s="50"/>
      <c r="CC525" s="50"/>
      <c r="CD525" s="52"/>
      <c r="CE525" s="50"/>
      <c r="CF525" s="50"/>
      <c r="CG525" s="50"/>
      <c r="CH525" s="50"/>
      <c r="CI525" s="50"/>
      <c r="CJ525" s="50"/>
      <c r="CK525" s="50"/>
      <c r="CL525" s="50"/>
      <c r="CM525" s="50"/>
      <c r="CN525" s="50"/>
      <c r="CO525" s="50"/>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c r="GE525" s="3"/>
      <c r="GF525" s="3"/>
      <c r="GG525" s="3"/>
      <c r="GH525" s="3"/>
      <c r="GI525" s="3"/>
      <c r="GJ525" s="3"/>
      <c r="GK525" s="3"/>
      <c r="GL525" s="3"/>
      <c r="GM525" s="3"/>
      <c r="GN525" s="3"/>
      <c r="GO525" s="3"/>
      <c r="GP525" s="3"/>
      <c r="GQ525" s="3"/>
      <c r="GR525" s="3"/>
      <c r="GS525" s="3"/>
      <c r="GT525" s="3"/>
      <c r="GU525" s="3"/>
      <c r="GV525" s="3"/>
      <c r="GW525" s="3"/>
      <c r="GX525" s="3"/>
      <c r="GY525" s="3"/>
      <c r="GZ525" s="3"/>
      <c r="HA525" s="3"/>
      <c r="HB525" s="3"/>
    </row>
    <row r="526" spans="1:210" ht="15.75" customHeight="1">
      <c r="A526" s="50"/>
      <c r="B526" s="50"/>
      <c r="C526" s="50"/>
      <c r="D526" s="50"/>
      <c r="E526" s="50"/>
      <c r="F526" s="50"/>
      <c r="G526" s="51"/>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c r="AR526" s="50"/>
      <c r="AS526" s="50"/>
      <c r="AT526" s="50"/>
      <c r="AU526" s="50"/>
      <c r="AV526" s="50"/>
      <c r="AW526" s="50"/>
      <c r="AX526" s="50"/>
      <c r="AY526" s="50"/>
      <c r="AZ526" s="50"/>
      <c r="BA526" s="50"/>
      <c r="BB526" s="50"/>
      <c r="BC526" s="50"/>
      <c r="BD526" s="50"/>
      <c r="BE526" s="50"/>
      <c r="BF526" s="50"/>
      <c r="BG526" s="50"/>
      <c r="BH526" s="50"/>
      <c r="BI526" s="50"/>
      <c r="BJ526" s="50"/>
      <c r="BK526" s="50"/>
      <c r="BL526" s="50"/>
      <c r="BM526" s="50"/>
      <c r="BN526" s="50"/>
      <c r="BO526" s="50"/>
      <c r="BP526" s="50"/>
      <c r="BQ526" s="50"/>
      <c r="BR526" s="50"/>
      <c r="BS526" s="50"/>
      <c r="BT526" s="50"/>
      <c r="BU526" s="50"/>
      <c r="BV526" s="50"/>
      <c r="BW526" s="50"/>
      <c r="BX526" s="50"/>
      <c r="BY526" s="50"/>
      <c r="BZ526" s="50"/>
      <c r="CA526" s="50"/>
      <c r="CB526" s="50"/>
      <c r="CC526" s="50"/>
      <c r="CD526" s="52"/>
      <c r="CE526" s="50"/>
      <c r="CF526" s="50"/>
      <c r="CG526" s="50"/>
      <c r="CH526" s="50"/>
      <c r="CI526" s="50"/>
      <c r="CJ526" s="50"/>
      <c r="CK526" s="50"/>
      <c r="CL526" s="50"/>
      <c r="CM526" s="50"/>
      <c r="CN526" s="50"/>
      <c r="CO526" s="50"/>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c r="GE526" s="3"/>
      <c r="GF526" s="3"/>
      <c r="GG526" s="3"/>
      <c r="GH526" s="3"/>
      <c r="GI526" s="3"/>
      <c r="GJ526" s="3"/>
      <c r="GK526" s="3"/>
      <c r="GL526" s="3"/>
      <c r="GM526" s="3"/>
      <c r="GN526" s="3"/>
      <c r="GO526" s="3"/>
      <c r="GP526" s="3"/>
      <c r="GQ526" s="3"/>
      <c r="GR526" s="3"/>
      <c r="GS526" s="3"/>
      <c r="GT526" s="3"/>
      <c r="GU526" s="3"/>
      <c r="GV526" s="3"/>
      <c r="GW526" s="3"/>
      <c r="GX526" s="3"/>
      <c r="GY526" s="3"/>
      <c r="GZ526" s="3"/>
      <c r="HA526" s="3"/>
      <c r="HB526" s="3"/>
    </row>
    <row r="527" spans="1:210" ht="15.75" customHeight="1">
      <c r="A527" s="50"/>
      <c r="B527" s="50"/>
      <c r="C527" s="50"/>
      <c r="D527" s="50"/>
      <c r="E527" s="50"/>
      <c r="F527" s="50"/>
      <c r="G527" s="51"/>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c r="AR527" s="50"/>
      <c r="AS527" s="50"/>
      <c r="AT527" s="50"/>
      <c r="AU527" s="50"/>
      <c r="AV527" s="50"/>
      <c r="AW527" s="50"/>
      <c r="AX527" s="50"/>
      <c r="AY527" s="50"/>
      <c r="AZ527" s="50"/>
      <c r="BA527" s="50"/>
      <c r="BB527" s="50"/>
      <c r="BC527" s="50"/>
      <c r="BD527" s="50"/>
      <c r="BE527" s="50"/>
      <c r="BF527" s="50"/>
      <c r="BG527" s="50"/>
      <c r="BH527" s="50"/>
      <c r="BI527" s="50"/>
      <c r="BJ527" s="50"/>
      <c r="BK527" s="50"/>
      <c r="BL527" s="50"/>
      <c r="BM527" s="50"/>
      <c r="BN527" s="50"/>
      <c r="BO527" s="50"/>
      <c r="BP527" s="50"/>
      <c r="BQ527" s="50"/>
      <c r="BR527" s="50"/>
      <c r="BS527" s="50"/>
      <c r="BT527" s="50"/>
      <c r="BU527" s="50"/>
      <c r="BV527" s="50"/>
      <c r="BW527" s="50"/>
      <c r="BX527" s="50"/>
      <c r="BY527" s="50"/>
      <c r="BZ527" s="50"/>
      <c r="CA527" s="50"/>
      <c r="CB527" s="50"/>
      <c r="CC527" s="50"/>
      <c r="CD527" s="52"/>
      <c r="CE527" s="50"/>
      <c r="CF527" s="50"/>
      <c r="CG527" s="50"/>
      <c r="CH527" s="50"/>
      <c r="CI527" s="50"/>
      <c r="CJ527" s="50"/>
      <c r="CK527" s="50"/>
      <c r="CL527" s="50"/>
      <c r="CM527" s="50"/>
      <c r="CN527" s="50"/>
      <c r="CO527" s="50"/>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c r="GE527" s="3"/>
      <c r="GF527" s="3"/>
      <c r="GG527" s="3"/>
      <c r="GH527" s="3"/>
      <c r="GI527" s="3"/>
      <c r="GJ527" s="3"/>
      <c r="GK527" s="3"/>
      <c r="GL527" s="3"/>
      <c r="GM527" s="3"/>
      <c r="GN527" s="3"/>
      <c r="GO527" s="3"/>
      <c r="GP527" s="3"/>
      <c r="GQ527" s="3"/>
      <c r="GR527" s="3"/>
      <c r="GS527" s="3"/>
      <c r="GT527" s="3"/>
      <c r="GU527" s="3"/>
      <c r="GV527" s="3"/>
      <c r="GW527" s="3"/>
      <c r="GX527" s="3"/>
      <c r="GY527" s="3"/>
      <c r="GZ527" s="3"/>
      <c r="HA527" s="3"/>
      <c r="HB527" s="3"/>
    </row>
    <row r="528" spans="1:210" ht="15.75" customHeight="1">
      <c r="A528" s="50"/>
      <c r="B528" s="50"/>
      <c r="C528" s="50"/>
      <c r="D528" s="50"/>
      <c r="E528" s="50"/>
      <c r="F528" s="50"/>
      <c r="G528" s="51"/>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c r="AR528" s="50"/>
      <c r="AS528" s="50"/>
      <c r="AT528" s="50"/>
      <c r="AU528" s="50"/>
      <c r="AV528" s="50"/>
      <c r="AW528" s="50"/>
      <c r="AX528" s="50"/>
      <c r="AY528" s="50"/>
      <c r="AZ528" s="50"/>
      <c r="BA528" s="50"/>
      <c r="BB528" s="50"/>
      <c r="BC528" s="50"/>
      <c r="BD528" s="50"/>
      <c r="BE528" s="50"/>
      <c r="BF528" s="50"/>
      <c r="BG528" s="50"/>
      <c r="BH528" s="50"/>
      <c r="BI528" s="50"/>
      <c r="BJ528" s="50"/>
      <c r="BK528" s="50"/>
      <c r="BL528" s="50"/>
      <c r="BM528" s="50"/>
      <c r="BN528" s="50"/>
      <c r="BO528" s="50"/>
      <c r="BP528" s="50"/>
      <c r="BQ528" s="50"/>
      <c r="BR528" s="50"/>
      <c r="BS528" s="50"/>
      <c r="BT528" s="50"/>
      <c r="BU528" s="50"/>
      <c r="BV528" s="50"/>
      <c r="BW528" s="50"/>
      <c r="BX528" s="50"/>
      <c r="BY528" s="50"/>
      <c r="BZ528" s="50"/>
      <c r="CA528" s="50"/>
      <c r="CB528" s="50"/>
      <c r="CC528" s="50"/>
      <c r="CD528" s="52"/>
      <c r="CE528" s="50"/>
      <c r="CF528" s="50"/>
      <c r="CG528" s="50"/>
      <c r="CH528" s="50"/>
      <c r="CI528" s="50"/>
      <c r="CJ528" s="50"/>
      <c r="CK528" s="50"/>
      <c r="CL528" s="50"/>
      <c r="CM528" s="50"/>
      <c r="CN528" s="50"/>
      <c r="CO528" s="50"/>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c r="GE528" s="3"/>
      <c r="GF528" s="3"/>
      <c r="GG528" s="3"/>
      <c r="GH528" s="3"/>
      <c r="GI528" s="3"/>
      <c r="GJ528" s="3"/>
      <c r="GK528" s="3"/>
      <c r="GL528" s="3"/>
      <c r="GM528" s="3"/>
      <c r="GN528" s="3"/>
      <c r="GO528" s="3"/>
      <c r="GP528" s="3"/>
      <c r="GQ528" s="3"/>
      <c r="GR528" s="3"/>
      <c r="GS528" s="3"/>
      <c r="GT528" s="3"/>
      <c r="GU528" s="3"/>
      <c r="GV528" s="3"/>
      <c r="GW528" s="3"/>
      <c r="GX528" s="3"/>
      <c r="GY528" s="3"/>
      <c r="GZ528" s="3"/>
      <c r="HA528" s="3"/>
      <c r="HB528" s="3"/>
    </row>
    <row r="529" spans="1:210" ht="15.75" customHeight="1">
      <c r="A529" s="50"/>
      <c r="B529" s="50"/>
      <c r="C529" s="50"/>
      <c r="D529" s="50"/>
      <c r="E529" s="50"/>
      <c r="F529" s="50"/>
      <c r="G529" s="51"/>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c r="AR529" s="50"/>
      <c r="AS529" s="50"/>
      <c r="AT529" s="50"/>
      <c r="AU529" s="50"/>
      <c r="AV529" s="50"/>
      <c r="AW529" s="50"/>
      <c r="AX529" s="50"/>
      <c r="AY529" s="50"/>
      <c r="AZ529" s="50"/>
      <c r="BA529" s="50"/>
      <c r="BB529" s="50"/>
      <c r="BC529" s="50"/>
      <c r="BD529" s="50"/>
      <c r="BE529" s="50"/>
      <c r="BF529" s="50"/>
      <c r="BG529" s="50"/>
      <c r="BH529" s="50"/>
      <c r="BI529" s="50"/>
      <c r="BJ529" s="50"/>
      <c r="BK529" s="50"/>
      <c r="BL529" s="50"/>
      <c r="BM529" s="50"/>
      <c r="BN529" s="50"/>
      <c r="BO529" s="50"/>
      <c r="BP529" s="50"/>
      <c r="BQ529" s="50"/>
      <c r="BR529" s="50"/>
      <c r="BS529" s="50"/>
      <c r="BT529" s="50"/>
      <c r="BU529" s="50"/>
      <c r="BV529" s="50"/>
      <c r="BW529" s="50"/>
      <c r="BX529" s="50"/>
      <c r="BY529" s="50"/>
      <c r="BZ529" s="50"/>
      <c r="CA529" s="50"/>
      <c r="CB529" s="50"/>
      <c r="CC529" s="50"/>
      <c r="CD529" s="52"/>
      <c r="CE529" s="50"/>
      <c r="CF529" s="50"/>
      <c r="CG529" s="50"/>
      <c r="CH529" s="50"/>
      <c r="CI529" s="50"/>
      <c r="CJ529" s="50"/>
      <c r="CK529" s="50"/>
      <c r="CL529" s="50"/>
      <c r="CM529" s="50"/>
      <c r="CN529" s="50"/>
      <c r="CO529" s="50"/>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c r="GE529" s="3"/>
      <c r="GF529" s="3"/>
      <c r="GG529" s="3"/>
      <c r="GH529" s="3"/>
      <c r="GI529" s="3"/>
      <c r="GJ529" s="3"/>
      <c r="GK529" s="3"/>
      <c r="GL529" s="3"/>
      <c r="GM529" s="3"/>
      <c r="GN529" s="3"/>
      <c r="GO529" s="3"/>
      <c r="GP529" s="3"/>
      <c r="GQ529" s="3"/>
      <c r="GR529" s="3"/>
      <c r="GS529" s="3"/>
      <c r="GT529" s="3"/>
      <c r="GU529" s="3"/>
      <c r="GV529" s="3"/>
      <c r="GW529" s="3"/>
      <c r="GX529" s="3"/>
      <c r="GY529" s="3"/>
      <c r="GZ529" s="3"/>
      <c r="HA529" s="3"/>
      <c r="HB529" s="3"/>
    </row>
    <row r="530" spans="1:210" ht="15.75" customHeight="1">
      <c r="A530" s="50"/>
      <c r="B530" s="50"/>
      <c r="C530" s="50"/>
      <c r="D530" s="50"/>
      <c r="E530" s="50"/>
      <c r="F530" s="50"/>
      <c r="G530" s="51"/>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c r="AR530" s="50"/>
      <c r="AS530" s="50"/>
      <c r="AT530" s="50"/>
      <c r="AU530" s="50"/>
      <c r="AV530" s="50"/>
      <c r="AW530" s="50"/>
      <c r="AX530" s="50"/>
      <c r="AY530" s="50"/>
      <c r="AZ530" s="50"/>
      <c r="BA530" s="50"/>
      <c r="BB530" s="50"/>
      <c r="BC530" s="50"/>
      <c r="BD530" s="50"/>
      <c r="BE530" s="50"/>
      <c r="BF530" s="50"/>
      <c r="BG530" s="50"/>
      <c r="BH530" s="50"/>
      <c r="BI530" s="50"/>
      <c r="BJ530" s="50"/>
      <c r="BK530" s="50"/>
      <c r="BL530" s="50"/>
      <c r="BM530" s="50"/>
      <c r="BN530" s="50"/>
      <c r="BO530" s="50"/>
      <c r="BP530" s="50"/>
      <c r="BQ530" s="50"/>
      <c r="BR530" s="50"/>
      <c r="BS530" s="50"/>
      <c r="BT530" s="50"/>
      <c r="BU530" s="50"/>
      <c r="BV530" s="50"/>
      <c r="BW530" s="50"/>
      <c r="BX530" s="50"/>
      <c r="BY530" s="50"/>
      <c r="BZ530" s="50"/>
      <c r="CA530" s="50"/>
      <c r="CB530" s="50"/>
      <c r="CC530" s="50"/>
      <c r="CD530" s="52"/>
      <c r="CE530" s="50"/>
      <c r="CF530" s="50"/>
      <c r="CG530" s="50"/>
      <c r="CH530" s="50"/>
      <c r="CI530" s="50"/>
      <c r="CJ530" s="50"/>
      <c r="CK530" s="50"/>
      <c r="CL530" s="50"/>
      <c r="CM530" s="50"/>
      <c r="CN530" s="50"/>
      <c r="CO530" s="50"/>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c r="GE530" s="3"/>
      <c r="GF530" s="3"/>
      <c r="GG530" s="3"/>
      <c r="GH530" s="3"/>
      <c r="GI530" s="3"/>
      <c r="GJ530" s="3"/>
      <c r="GK530" s="3"/>
      <c r="GL530" s="3"/>
      <c r="GM530" s="3"/>
      <c r="GN530" s="3"/>
      <c r="GO530" s="3"/>
      <c r="GP530" s="3"/>
      <c r="GQ530" s="3"/>
      <c r="GR530" s="3"/>
      <c r="GS530" s="3"/>
      <c r="GT530" s="3"/>
      <c r="GU530" s="3"/>
      <c r="GV530" s="3"/>
      <c r="GW530" s="3"/>
      <c r="GX530" s="3"/>
      <c r="GY530" s="3"/>
      <c r="GZ530" s="3"/>
      <c r="HA530" s="3"/>
      <c r="HB530" s="3"/>
    </row>
    <row r="531" spans="1:210" ht="15.75" customHeight="1">
      <c r="A531" s="50"/>
      <c r="B531" s="50"/>
      <c r="C531" s="50"/>
      <c r="D531" s="50"/>
      <c r="E531" s="50"/>
      <c r="F531" s="50"/>
      <c r="G531" s="51"/>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c r="AR531" s="50"/>
      <c r="AS531" s="50"/>
      <c r="AT531" s="50"/>
      <c r="AU531" s="50"/>
      <c r="AV531" s="50"/>
      <c r="AW531" s="50"/>
      <c r="AX531" s="50"/>
      <c r="AY531" s="50"/>
      <c r="AZ531" s="50"/>
      <c r="BA531" s="50"/>
      <c r="BB531" s="50"/>
      <c r="BC531" s="50"/>
      <c r="BD531" s="50"/>
      <c r="BE531" s="50"/>
      <c r="BF531" s="50"/>
      <c r="BG531" s="50"/>
      <c r="BH531" s="50"/>
      <c r="BI531" s="50"/>
      <c r="BJ531" s="50"/>
      <c r="BK531" s="50"/>
      <c r="BL531" s="50"/>
      <c r="BM531" s="50"/>
      <c r="BN531" s="50"/>
      <c r="BO531" s="50"/>
      <c r="BP531" s="50"/>
      <c r="BQ531" s="50"/>
      <c r="BR531" s="50"/>
      <c r="BS531" s="50"/>
      <c r="BT531" s="50"/>
      <c r="BU531" s="50"/>
      <c r="BV531" s="50"/>
      <c r="BW531" s="50"/>
      <c r="BX531" s="50"/>
      <c r="BY531" s="50"/>
      <c r="BZ531" s="50"/>
      <c r="CA531" s="50"/>
      <c r="CB531" s="50"/>
      <c r="CC531" s="50"/>
      <c r="CD531" s="52"/>
      <c r="CE531" s="50"/>
      <c r="CF531" s="50"/>
      <c r="CG531" s="50"/>
      <c r="CH531" s="50"/>
      <c r="CI531" s="50"/>
      <c r="CJ531" s="50"/>
      <c r="CK531" s="50"/>
      <c r="CL531" s="50"/>
      <c r="CM531" s="50"/>
      <c r="CN531" s="50"/>
      <c r="CO531" s="50"/>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c r="GE531" s="3"/>
      <c r="GF531" s="3"/>
      <c r="GG531" s="3"/>
      <c r="GH531" s="3"/>
      <c r="GI531" s="3"/>
      <c r="GJ531" s="3"/>
      <c r="GK531" s="3"/>
      <c r="GL531" s="3"/>
      <c r="GM531" s="3"/>
      <c r="GN531" s="3"/>
      <c r="GO531" s="3"/>
      <c r="GP531" s="3"/>
      <c r="GQ531" s="3"/>
      <c r="GR531" s="3"/>
      <c r="GS531" s="3"/>
      <c r="GT531" s="3"/>
      <c r="GU531" s="3"/>
      <c r="GV531" s="3"/>
      <c r="GW531" s="3"/>
      <c r="GX531" s="3"/>
      <c r="GY531" s="3"/>
      <c r="GZ531" s="3"/>
      <c r="HA531" s="3"/>
      <c r="HB531" s="3"/>
    </row>
    <row r="532" spans="1:210" ht="15.75" customHeight="1">
      <c r="A532" s="50"/>
      <c r="B532" s="50"/>
      <c r="C532" s="50"/>
      <c r="D532" s="50"/>
      <c r="E532" s="50"/>
      <c r="F532" s="50"/>
      <c r="G532" s="51"/>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c r="AR532" s="50"/>
      <c r="AS532" s="50"/>
      <c r="AT532" s="50"/>
      <c r="AU532" s="50"/>
      <c r="AV532" s="50"/>
      <c r="AW532" s="50"/>
      <c r="AX532" s="50"/>
      <c r="AY532" s="50"/>
      <c r="AZ532" s="50"/>
      <c r="BA532" s="50"/>
      <c r="BB532" s="50"/>
      <c r="BC532" s="50"/>
      <c r="BD532" s="50"/>
      <c r="BE532" s="50"/>
      <c r="BF532" s="50"/>
      <c r="BG532" s="50"/>
      <c r="BH532" s="50"/>
      <c r="BI532" s="50"/>
      <c r="BJ532" s="50"/>
      <c r="BK532" s="50"/>
      <c r="BL532" s="50"/>
      <c r="BM532" s="50"/>
      <c r="BN532" s="50"/>
      <c r="BO532" s="50"/>
      <c r="BP532" s="50"/>
      <c r="BQ532" s="50"/>
      <c r="BR532" s="50"/>
      <c r="BS532" s="50"/>
      <c r="BT532" s="50"/>
      <c r="BU532" s="50"/>
      <c r="BV532" s="50"/>
      <c r="BW532" s="50"/>
      <c r="BX532" s="50"/>
      <c r="BY532" s="50"/>
      <c r="BZ532" s="50"/>
      <c r="CA532" s="50"/>
      <c r="CB532" s="50"/>
      <c r="CC532" s="50"/>
      <c r="CD532" s="52"/>
      <c r="CE532" s="50"/>
      <c r="CF532" s="50"/>
      <c r="CG532" s="50"/>
      <c r="CH532" s="50"/>
      <c r="CI532" s="50"/>
      <c r="CJ532" s="50"/>
      <c r="CK532" s="50"/>
      <c r="CL532" s="50"/>
      <c r="CM532" s="50"/>
      <c r="CN532" s="50"/>
      <c r="CO532" s="50"/>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c r="GE532" s="3"/>
      <c r="GF532" s="3"/>
      <c r="GG532" s="3"/>
      <c r="GH532" s="3"/>
      <c r="GI532" s="3"/>
      <c r="GJ532" s="3"/>
      <c r="GK532" s="3"/>
      <c r="GL532" s="3"/>
      <c r="GM532" s="3"/>
      <c r="GN532" s="3"/>
      <c r="GO532" s="3"/>
      <c r="GP532" s="3"/>
      <c r="GQ532" s="3"/>
      <c r="GR532" s="3"/>
      <c r="GS532" s="3"/>
      <c r="GT532" s="3"/>
      <c r="GU532" s="3"/>
      <c r="GV532" s="3"/>
      <c r="GW532" s="3"/>
      <c r="GX532" s="3"/>
      <c r="GY532" s="3"/>
      <c r="GZ532" s="3"/>
      <c r="HA532" s="3"/>
      <c r="HB532" s="3"/>
    </row>
    <row r="533" spans="1:210" ht="15.75" customHeight="1">
      <c r="A533" s="50"/>
      <c r="B533" s="50"/>
      <c r="C533" s="50"/>
      <c r="D533" s="50"/>
      <c r="E533" s="50"/>
      <c r="F533" s="50"/>
      <c r="G533" s="51"/>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c r="AR533" s="50"/>
      <c r="AS533" s="50"/>
      <c r="AT533" s="50"/>
      <c r="AU533" s="50"/>
      <c r="AV533" s="50"/>
      <c r="AW533" s="50"/>
      <c r="AX533" s="50"/>
      <c r="AY533" s="50"/>
      <c r="AZ533" s="50"/>
      <c r="BA533" s="50"/>
      <c r="BB533" s="50"/>
      <c r="BC533" s="50"/>
      <c r="BD533" s="50"/>
      <c r="BE533" s="50"/>
      <c r="BF533" s="50"/>
      <c r="BG533" s="50"/>
      <c r="BH533" s="50"/>
      <c r="BI533" s="50"/>
      <c r="BJ533" s="50"/>
      <c r="BK533" s="50"/>
      <c r="BL533" s="50"/>
      <c r="BM533" s="50"/>
      <c r="BN533" s="50"/>
      <c r="BO533" s="50"/>
      <c r="BP533" s="50"/>
      <c r="BQ533" s="50"/>
      <c r="BR533" s="50"/>
      <c r="BS533" s="50"/>
      <c r="BT533" s="50"/>
      <c r="BU533" s="50"/>
      <c r="BV533" s="50"/>
      <c r="BW533" s="50"/>
      <c r="BX533" s="50"/>
      <c r="BY533" s="50"/>
      <c r="BZ533" s="50"/>
      <c r="CA533" s="50"/>
      <c r="CB533" s="50"/>
      <c r="CC533" s="50"/>
      <c r="CD533" s="52"/>
      <c r="CE533" s="50"/>
      <c r="CF533" s="50"/>
      <c r="CG533" s="50"/>
      <c r="CH533" s="50"/>
      <c r="CI533" s="50"/>
      <c r="CJ533" s="50"/>
      <c r="CK533" s="50"/>
      <c r="CL533" s="50"/>
      <c r="CM533" s="50"/>
      <c r="CN533" s="50"/>
      <c r="CO533" s="50"/>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c r="GE533" s="3"/>
      <c r="GF533" s="3"/>
      <c r="GG533" s="3"/>
      <c r="GH533" s="3"/>
      <c r="GI533" s="3"/>
      <c r="GJ533" s="3"/>
      <c r="GK533" s="3"/>
      <c r="GL533" s="3"/>
      <c r="GM533" s="3"/>
      <c r="GN533" s="3"/>
      <c r="GO533" s="3"/>
      <c r="GP533" s="3"/>
      <c r="GQ533" s="3"/>
      <c r="GR533" s="3"/>
      <c r="GS533" s="3"/>
      <c r="GT533" s="3"/>
      <c r="GU533" s="3"/>
      <c r="GV533" s="3"/>
      <c r="GW533" s="3"/>
      <c r="GX533" s="3"/>
      <c r="GY533" s="3"/>
      <c r="GZ533" s="3"/>
      <c r="HA533" s="3"/>
      <c r="HB533" s="3"/>
    </row>
    <row r="534" spans="1:210" ht="15.75" customHeight="1">
      <c r="A534" s="50"/>
      <c r="B534" s="50"/>
      <c r="C534" s="50"/>
      <c r="D534" s="50"/>
      <c r="E534" s="50"/>
      <c r="F534" s="50"/>
      <c r="G534" s="51"/>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c r="AR534" s="50"/>
      <c r="AS534" s="50"/>
      <c r="AT534" s="50"/>
      <c r="AU534" s="50"/>
      <c r="AV534" s="50"/>
      <c r="AW534" s="50"/>
      <c r="AX534" s="50"/>
      <c r="AY534" s="50"/>
      <c r="AZ534" s="50"/>
      <c r="BA534" s="50"/>
      <c r="BB534" s="50"/>
      <c r="BC534" s="50"/>
      <c r="BD534" s="50"/>
      <c r="BE534" s="50"/>
      <c r="BF534" s="50"/>
      <c r="BG534" s="50"/>
      <c r="BH534" s="50"/>
      <c r="BI534" s="50"/>
      <c r="BJ534" s="50"/>
      <c r="BK534" s="50"/>
      <c r="BL534" s="50"/>
      <c r="BM534" s="50"/>
      <c r="BN534" s="50"/>
      <c r="BO534" s="50"/>
      <c r="BP534" s="50"/>
      <c r="BQ534" s="50"/>
      <c r="BR534" s="50"/>
      <c r="BS534" s="50"/>
      <c r="BT534" s="50"/>
      <c r="BU534" s="50"/>
      <c r="BV534" s="50"/>
      <c r="BW534" s="50"/>
      <c r="BX534" s="50"/>
      <c r="BY534" s="50"/>
      <c r="BZ534" s="50"/>
      <c r="CA534" s="50"/>
      <c r="CB534" s="50"/>
      <c r="CC534" s="50"/>
      <c r="CD534" s="52"/>
      <c r="CE534" s="50"/>
      <c r="CF534" s="50"/>
      <c r="CG534" s="50"/>
      <c r="CH534" s="50"/>
      <c r="CI534" s="50"/>
      <c r="CJ534" s="50"/>
      <c r="CK534" s="50"/>
      <c r="CL534" s="50"/>
      <c r="CM534" s="50"/>
      <c r="CN534" s="50"/>
      <c r="CO534" s="50"/>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c r="FS534" s="3"/>
      <c r="FT534" s="3"/>
      <c r="FU534" s="3"/>
      <c r="FV534" s="3"/>
      <c r="FW534" s="3"/>
      <c r="FX534" s="3"/>
      <c r="FY534" s="3"/>
      <c r="FZ534" s="3"/>
      <c r="GA534" s="3"/>
      <c r="GB534" s="3"/>
      <c r="GC534" s="3"/>
      <c r="GD534" s="3"/>
      <c r="GE534" s="3"/>
      <c r="GF534" s="3"/>
      <c r="GG534" s="3"/>
      <c r="GH534" s="3"/>
      <c r="GI534" s="3"/>
      <c r="GJ534" s="3"/>
      <c r="GK534" s="3"/>
      <c r="GL534" s="3"/>
      <c r="GM534" s="3"/>
      <c r="GN534" s="3"/>
      <c r="GO534" s="3"/>
      <c r="GP534" s="3"/>
      <c r="GQ534" s="3"/>
      <c r="GR534" s="3"/>
      <c r="GS534" s="3"/>
      <c r="GT534" s="3"/>
      <c r="GU534" s="3"/>
      <c r="GV534" s="3"/>
      <c r="GW534" s="3"/>
      <c r="GX534" s="3"/>
      <c r="GY534" s="3"/>
      <c r="GZ534" s="3"/>
      <c r="HA534" s="3"/>
      <c r="HB534" s="3"/>
    </row>
    <row r="535" spans="1:210" ht="15.75" customHeight="1">
      <c r="A535" s="50"/>
      <c r="B535" s="50"/>
      <c r="C535" s="50"/>
      <c r="D535" s="50"/>
      <c r="E535" s="50"/>
      <c r="F535" s="50"/>
      <c r="G535" s="51"/>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c r="AS535" s="50"/>
      <c r="AT535" s="50"/>
      <c r="AU535" s="50"/>
      <c r="AV535" s="50"/>
      <c r="AW535" s="50"/>
      <c r="AX535" s="50"/>
      <c r="AY535" s="50"/>
      <c r="AZ535" s="50"/>
      <c r="BA535" s="50"/>
      <c r="BB535" s="50"/>
      <c r="BC535" s="50"/>
      <c r="BD535" s="50"/>
      <c r="BE535" s="50"/>
      <c r="BF535" s="50"/>
      <c r="BG535" s="50"/>
      <c r="BH535" s="50"/>
      <c r="BI535" s="50"/>
      <c r="BJ535" s="50"/>
      <c r="BK535" s="50"/>
      <c r="BL535" s="50"/>
      <c r="BM535" s="50"/>
      <c r="BN535" s="50"/>
      <c r="BO535" s="50"/>
      <c r="BP535" s="50"/>
      <c r="BQ535" s="50"/>
      <c r="BR535" s="50"/>
      <c r="BS535" s="50"/>
      <c r="BT535" s="50"/>
      <c r="BU535" s="50"/>
      <c r="BV535" s="50"/>
      <c r="BW535" s="50"/>
      <c r="BX535" s="50"/>
      <c r="BY535" s="50"/>
      <c r="BZ535" s="50"/>
      <c r="CA535" s="50"/>
      <c r="CB535" s="50"/>
      <c r="CC535" s="50"/>
      <c r="CD535" s="52"/>
      <c r="CE535" s="50"/>
      <c r="CF535" s="50"/>
      <c r="CG535" s="50"/>
      <c r="CH535" s="50"/>
      <c r="CI535" s="50"/>
      <c r="CJ535" s="50"/>
      <c r="CK535" s="50"/>
      <c r="CL535" s="50"/>
      <c r="CM535" s="50"/>
      <c r="CN535" s="50"/>
      <c r="CO535" s="50"/>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c r="FS535" s="3"/>
      <c r="FT535" s="3"/>
      <c r="FU535" s="3"/>
      <c r="FV535" s="3"/>
      <c r="FW535" s="3"/>
      <c r="FX535" s="3"/>
      <c r="FY535" s="3"/>
      <c r="FZ535" s="3"/>
      <c r="GA535" s="3"/>
      <c r="GB535" s="3"/>
      <c r="GC535" s="3"/>
      <c r="GD535" s="3"/>
      <c r="GE535" s="3"/>
      <c r="GF535" s="3"/>
      <c r="GG535" s="3"/>
      <c r="GH535" s="3"/>
      <c r="GI535" s="3"/>
      <c r="GJ535" s="3"/>
      <c r="GK535" s="3"/>
      <c r="GL535" s="3"/>
      <c r="GM535" s="3"/>
      <c r="GN535" s="3"/>
      <c r="GO535" s="3"/>
      <c r="GP535" s="3"/>
      <c r="GQ535" s="3"/>
      <c r="GR535" s="3"/>
      <c r="GS535" s="3"/>
      <c r="GT535" s="3"/>
      <c r="GU535" s="3"/>
      <c r="GV535" s="3"/>
      <c r="GW535" s="3"/>
      <c r="GX535" s="3"/>
      <c r="GY535" s="3"/>
      <c r="GZ535" s="3"/>
      <c r="HA535" s="3"/>
      <c r="HB535" s="3"/>
    </row>
    <row r="536" spans="1:210" ht="15.75" customHeight="1">
      <c r="A536" s="50"/>
      <c r="B536" s="50"/>
      <c r="C536" s="50"/>
      <c r="D536" s="50"/>
      <c r="E536" s="50"/>
      <c r="F536" s="50"/>
      <c r="G536" s="51"/>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c r="AR536" s="50"/>
      <c r="AS536" s="50"/>
      <c r="AT536" s="50"/>
      <c r="AU536" s="50"/>
      <c r="AV536" s="50"/>
      <c r="AW536" s="50"/>
      <c r="AX536" s="50"/>
      <c r="AY536" s="50"/>
      <c r="AZ536" s="50"/>
      <c r="BA536" s="50"/>
      <c r="BB536" s="50"/>
      <c r="BC536" s="50"/>
      <c r="BD536" s="50"/>
      <c r="BE536" s="50"/>
      <c r="BF536" s="50"/>
      <c r="BG536" s="50"/>
      <c r="BH536" s="50"/>
      <c r="BI536" s="50"/>
      <c r="BJ536" s="50"/>
      <c r="BK536" s="50"/>
      <c r="BL536" s="50"/>
      <c r="BM536" s="50"/>
      <c r="BN536" s="50"/>
      <c r="BO536" s="50"/>
      <c r="BP536" s="50"/>
      <c r="BQ536" s="50"/>
      <c r="BR536" s="50"/>
      <c r="BS536" s="50"/>
      <c r="BT536" s="50"/>
      <c r="BU536" s="50"/>
      <c r="BV536" s="50"/>
      <c r="BW536" s="50"/>
      <c r="BX536" s="50"/>
      <c r="BY536" s="50"/>
      <c r="BZ536" s="50"/>
      <c r="CA536" s="50"/>
      <c r="CB536" s="50"/>
      <c r="CC536" s="50"/>
      <c r="CD536" s="52"/>
      <c r="CE536" s="50"/>
      <c r="CF536" s="50"/>
      <c r="CG536" s="50"/>
      <c r="CH536" s="50"/>
      <c r="CI536" s="50"/>
      <c r="CJ536" s="50"/>
      <c r="CK536" s="50"/>
      <c r="CL536" s="50"/>
      <c r="CM536" s="50"/>
      <c r="CN536" s="50"/>
      <c r="CO536" s="50"/>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c r="FS536" s="3"/>
      <c r="FT536" s="3"/>
      <c r="FU536" s="3"/>
      <c r="FV536" s="3"/>
      <c r="FW536" s="3"/>
      <c r="FX536" s="3"/>
      <c r="FY536" s="3"/>
      <c r="FZ536" s="3"/>
      <c r="GA536" s="3"/>
      <c r="GB536" s="3"/>
      <c r="GC536" s="3"/>
      <c r="GD536" s="3"/>
      <c r="GE536" s="3"/>
      <c r="GF536" s="3"/>
      <c r="GG536" s="3"/>
      <c r="GH536" s="3"/>
      <c r="GI536" s="3"/>
      <c r="GJ536" s="3"/>
      <c r="GK536" s="3"/>
      <c r="GL536" s="3"/>
      <c r="GM536" s="3"/>
      <c r="GN536" s="3"/>
      <c r="GO536" s="3"/>
      <c r="GP536" s="3"/>
      <c r="GQ536" s="3"/>
      <c r="GR536" s="3"/>
      <c r="GS536" s="3"/>
      <c r="GT536" s="3"/>
      <c r="GU536" s="3"/>
      <c r="GV536" s="3"/>
      <c r="GW536" s="3"/>
      <c r="GX536" s="3"/>
      <c r="GY536" s="3"/>
      <c r="GZ536" s="3"/>
      <c r="HA536" s="3"/>
      <c r="HB536" s="3"/>
    </row>
    <row r="537" spans="1:210" ht="15.75" customHeight="1">
      <c r="A537" s="50"/>
      <c r="B537" s="50"/>
      <c r="C537" s="50"/>
      <c r="D537" s="50"/>
      <c r="E537" s="50"/>
      <c r="F537" s="50"/>
      <c r="G537" s="51"/>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c r="AR537" s="50"/>
      <c r="AS537" s="50"/>
      <c r="AT537" s="50"/>
      <c r="AU537" s="50"/>
      <c r="AV537" s="50"/>
      <c r="AW537" s="50"/>
      <c r="AX537" s="50"/>
      <c r="AY537" s="50"/>
      <c r="AZ537" s="50"/>
      <c r="BA537" s="50"/>
      <c r="BB537" s="50"/>
      <c r="BC537" s="50"/>
      <c r="BD537" s="50"/>
      <c r="BE537" s="50"/>
      <c r="BF537" s="50"/>
      <c r="BG537" s="50"/>
      <c r="BH537" s="50"/>
      <c r="BI537" s="50"/>
      <c r="BJ537" s="50"/>
      <c r="BK537" s="50"/>
      <c r="BL537" s="50"/>
      <c r="BM537" s="50"/>
      <c r="BN537" s="50"/>
      <c r="BO537" s="50"/>
      <c r="BP537" s="50"/>
      <c r="BQ537" s="50"/>
      <c r="BR537" s="50"/>
      <c r="BS537" s="50"/>
      <c r="BT537" s="50"/>
      <c r="BU537" s="50"/>
      <c r="BV537" s="50"/>
      <c r="BW537" s="50"/>
      <c r="BX537" s="50"/>
      <c r="BY537" s="50"/>
      <c r="BZ537" s="50"/>
      <c r="CA537" s="50"/>
      <c r="CB537" s="50"/>
      <c r="CC537" s="50"/>
      <c r="CD537" s="52"/>
      <c r="CE537" s="50"/>
      <c r="CF537" s="50"/>
      <c r="CG537" s="50"/>
      <c r="CH537" s="50"/>
      <c r="CI537" s="50"/>
      <c r="CJ537" s="50"/>
      <c r="CK537" s="50"/>
      <c r="CL537" s="50"/>
      <c r="CM537" s="50"/>
      <c r="CN537" s="50"/>
      <c r="CO537" s="50"/>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c r="FS537" s="3"/>
      <c r="FT537" s="3"/>
      <c r="FU537" s="3"/>
      <c r="FV537" s="3"/>
      <c r="FW537" s="3"/>
      <c r="FX537" s="3"/>
      <c r="FY537" s="3"/>
      <c r="FZ537" s="3"/>
      <c r="GA537" s="3"/>
      <c r="GB537" s="3"/>
      <c r="GC537" s="3"/>
      <c r="GD537" s="3"/>
      <c r="GE537" s="3"/>
      <c r="GF537" s="3"/>
      <c r="GG537" s="3"/>
      <c r="GH537" s="3"/>
      <c r="GI537" s="3"/>
      <c r="GJ537" s="3"/>
      <c r="GK537" s="3"/>
      <c r="GL537" s="3"/>
      <c r="GM537" s="3"/>
      <c r="GN537" s="3"/>
      <c r="GO537" s="3"/>
      <c r="GP537" s="3"/>
      <c r="GQ537" s="3"/>
      <c r="GR537" s="3"/>
      <c r="GS537" s="3"/>
      <c r="GT537" s="3"/>
      <c r="GU537" s="3"/>
      <c r="GV537" s="3"/>
      <c r="GW537" s="3"/>
      <c r="GX537" s="3"/>
      <c r="GY537" s="3"/>
      <c r="GZ537" s="3"/>
      <c r="HA537" s="3"/>
      <c r="HB537" s="3"/>
    </row>
    <row r="538" spans="1:210" ht="15.75" customHeight="1">
      <c r="A538" s="50"/>
      <c r="B538" s="50"/>
      <c r="C538" s="50"/>
      <c r="D538" s="50"/>
      <c r="E538" s="50"/>
      <c r="F538" s="50"/>
      <c r="G538" s="51"/>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c r="AR538" s="50"/>
      <c r="AS538" s="50"/>
      <c r="AT538" s="50"/>
      <c r="AU538" s="50"/>
      <c r="AV538" s="50"/>
      <c r="AW538" s="50"/>
      <c r="AX538" s="50"/>
      <c r="AY538" s="50"/>
      <c r="AZ538" s="50"/>
      <c r="BA538" s="50"/>
      <c r="BB538" s="50"/>
      <c r="BC538" s="50"/>
      <c r="BD538" s="50"/>
      <c r="BE538" s="50"/>
      <c r="BF538" s="50"/>
      <c r="BG538" s="50"/>
      <c r="BH538" s="50"/>
      <c r="BI538" s="50"/>
      <c r="BJ538" s="50"/>
      <c r="BK538" s="50"/>
      <c r="BL538" s="50"/>
      <c r="BM538" s="50"/>
      <c r="BN538" s="50"/>
      <c r="BO538" s="50"/>
      <c r="BP538" s="50"/>
      <c r="BQ538" s="50"/>
      <c r="BR538" s="50"/>
      <c r="BS538" s="50"/>
      <c r="BT538" s="50"/>
      <c r="BU538" s="50"/>
      <c r="BV538" s="50"/>
      <c r="BW538" s="50"/>
      <c r="BX538" s="50"/>
      <c r="BY538" s="50"/>
      <c r="BZ538" s="50"/>
      <c r="CA538" s="50"/>
      <c r="CB538" s="50"/>
      <c r="CC538" s="50"/>
      <c r="CD538" s="52"/>
      <c r="CE538" s="50"/>
      <c r="CF538" s="50"/>
      <c r="CG538" s="50"/>
      <c r="CH538" s="50"/>
      <c r="CI538" s="50"/>
      <c r="CJ538" s="50"/>
      <c r="CK538" s="50"/>
      <c r="CL538" s="50"/>
      <c r="CM538" s="50"/>
      <c r="CN538" s="50"/>
      <c r="CO538" s="50"/>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c r="FS538" s="3"/>
      <c r="FT538" s="3"/>
      <c r="FU538" s="3"/>
      <c r="FV538" s="3"/>
      <c r="FW538" s="3"/>
      <c r="FX538" s="3"/>
      <c r="FY538" s="3"/>
      <c r="FZ538" s="3"/>
      <c r="GA538" s="3"/>
      <c r="GB538" s="3"/>
      <c r="GC538" s="3"/>
      <c r="GD538" s="3"/>
      <c r="GE538" s="3"/>
      <c r="GF538" s="3"/>
      <c r="GG538" s="3"/>
      <c r="GH538" s="3"/>
      <c r="GI538" s="3"/>
      <c r="GJ538" s="3"/>
      <c r="GK538" s="3"/>
      <c r="GL538" s="3"/>
      <c r="GM538" s="3"/>
      <c r="GN538" s="3"/>
      <c r="GO538" s="3"/>
      <c r="GP538" s="3"/>
      <c r="GQ538" s="3"/>
      <c r="GR538" s="3"/>
      <c r="GS538" s="3"/>
      <c r="GT538" s="3"/>
      <c r="GU538" s="3"/>
      <c r="GV538" s="3"/>
      <c r="GW538" s="3"/>
      <c r="GX538" s="3"/>
      <c r="GY538" s="3"/>
      <c r="GZ538" s="3"/>
      <c r="HA538" s="3"/>
      <c r="HB538" s="3"/>
    </row>
    <row r="539" spans="1:210" ht="15.75" customHeight="1">
      <c r="A539" s="50"/>
      <c r="B539" s="50"/>
      <c r="C539" s="50"/>
      <c r="D539" s="50"/>
      <c r="E539" s="50"/>
      <c r="F539" s="50"/>
      <c r="G539" s="51"/>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c r="AR539" s="50"/>
      <c r="AS539" s="50"/>
      <c r="AT539" s="50"/>
      <c r="AU539" s="50"/>
      <c r="AV539" s="50"/>
      <c r="AW539" s="50"/>
      <c r="AX539" s="50"/>
      <c r="AY539" s="50"/>
      <c r="AZ539" s="50"/>
      <c r="BA539" s="50"/>
      <c r="BB539" s="50"/>
      <c r="BC539" s="50"/>
      <c r="BD539" s="50"/>
      <c r="BE539" s="50"/>
      <c r="BF539" s="50"/>
      <c r="BG539" s="50"/>
      <c r="BH539" s="50"/>
      <c r="BI539" s="50"/>
      <c r="BJ539" s="50"/>
      <c r="BK539" s="50"/>
      <c r="BL539" s="50"/>
      <c r="BM539" s="50"/>
      <c r="BN539" s="50"/>
      <c r="BO539" s="50"/>
      <c r="BP539" s="50"/>
      <c r="BQ539" s="50"/>
      <c r="BR539" s="50"/>
      <c r="BS539" s="50"/>
      <c r="BT539" s="50"/>
      <c r="BU539" s="50"/>
      <c r="BV539" s="50"/>
      <c r="BW539" s="50"/>
      <c r="BX539" s="50"/>
      <c r="BY539" s="50"/>
      <c r="BZ539" s="50"/>
      <c r="CA539" s="50"/>
      <c r="CB539" s="50"/>
      <c r="CC539" s="50"/>
      <c r="CD539" s="52"/>
      <c r="CE539" s="50"/>
      <c r="CF539" s="50"/>
      <c r="CG539" s="50"/>
      <c r="CH539" s="50"/>
      <c r="CI539" s="50"/>
      <c r="CJ539" s="50"/>
      <c r="CK539" s="50"/>
      <c r="CL539" s="50"/>
      <c r="CM539" s="50"/>
      <c r="CN539" s="50"/>
      <c r="CO539" s="50"/>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c r="FS539" s="3"/>
      <c r="FT539" s="3"/>
      <c r="FU539" s="3"/>
      <c r="FV539" s="3"/>
      <c r="FW539" s="3"/>
      <c r="FX539" s="3"/>
      <c r="FY539" s="3"/>
      <c r="FZ539" s="3"/>
      <c r="GA539" s="3"/>
      <c r="GB539" s="3"/>
      <c r="GC539" s="3"/>
      <c r="GD539" s="3"/>
      <c r="GE539" s="3"/>
      <c r="GF539" s="3"/>
      <c r="GG539" s="3"/>
      <c r="GH539" s="3"/>
      <c r="GI539" s="3"/>
      <c r="GJ539" s="3"/>
      <c r="GK539" s="3"/>
      <c r="GL539" s="3"/>
      <c r="GM539" s="3"/>
      <c r="GN539" s="3"/>
      <c r="GO539" s="3"/>
      <c r="GP539" s="3"/>
      <c r="GQ539" s="3"/>
      <c r="GR539" s="3"/>
      <c r="GS539" s="3"/>
      <c r="GT539" s="3"/>
      <c r="GU539" s="3"/>
      <c r="GV539" s="3"/>
      <c r="GW539" s="3"/>
      <c r="GX539" s="3"/>
      <c r="GY539" s="3"/>
      <c r="GZ539" s="3"/>
      <c r="HA539" s="3"/>
      <c r="HB539" s="3"/>
    </row>
    <row r="540" spans="1:210" ht="15.75" customHeight="1">
      <c r="A540" s="50"/>
      <c r="B540" s="50"/>
      <c r="C540" s="50"/>
      <c r="D540" s="50"/>
      <c r="E540" s="50"/>
      <c r="F540" s="50"/>
      <c r="G540" s="51"/>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c r="AR540" s="50"/>
      <c r="AS540" s="50"/>
      <c r="AT540" s="50"/>
      <c r="AU540" s="50"/>
      <c r="AV540" s="50"/>
      <c r="AW540" s="50"/>
      <c r="AX540" s="50"/>
      <c r="AY540" s="50"/>
      <c r="AZ540" s="50"/>
      <c r="BA540" s="50"/>
      <c r="BB540" s="50"/>
      <c r="BC540" s="50"/>
      <c r="BD540" s="50"/>
      <c r="BE540" s="50"/>
      <c r="BF540" s="50"/>
      <c r="BG540" s="50"/>
      <c r="BH540" s="50"/>
      <c r="BI540" s="50"/>
      <c r="BJ540" s="50"/>
      <c r="BK540" s="50"/>
      <c r="BL540" s="50"/>
      <c r="BM540" s="50"/>
      <c r="BN540" s="50"/>
      <c r="BO540" s="50"/>
      <c r="BP540" s="50"/>
      <c r="BQ540" s="50"/>
      <c r="BR540" s="50"/>
      <c r="BS540" s="50"/>
      <c r="BT540" s="50"/>
      <c r="BU540" s="50"/>
      <c r="BV540" s="50"/>
      <c r="BW540" s="50"/>
      <c r="BX540" s="50"/>
      <c r="BY540" s="50"/>
      <c r="BZ540" s="50"/>
      <c r="CA540" s="50"/>
      <c r="CB540" s="50"/>
      <c r="CC540" s="50"/>
      <c r="CD540" s="52"/>
      <c r="CE540" s="50"/>
      <c r="CF540" s="50"/>
      <c r="CG540" s="50"/>
      <c r="CH540" s="50"/>
      <c r="CI540" s="50"/>
      <c r="CJ540" s="50"/>
      <c r="CK540" s="50"/>
      <c r="CL540" s="50"/>
      <c r="CM540" s="50"/>
      <c r="CN540" s="50"/>
      <c r="CO540" s="50"/>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c r="FS540" s="3"/>
      <c r="FT540" s="3"/>
      <c r="FU540" s="3"/>
      <c r="FV540" s="3"/>
      <c r="FW540" s="3"/>
      <c r="FX540" s="3"/>
      <c r="FY540" s="3"/>
      <c r="FZ540" s="3"/>
      <c r="GA540" s="3"/>
      <c r="GB540" s="3"/>
      <c r="GC540" s="3"/>
      <c r="GD540" s="3"/>
      <c r="GE540" s="3"/>
      <c r="GF540" s="3"/>
      <c r="GG540" s="3"/>
      <c r="GH540" s="3"/>
      <c r="GI540" s="3"/>
      <c r="GJ540" s="3"/>
      <c r="GK540" s="3"/>
      <c r="GL540" s="3"/>
      <c r="GM540" s="3"/>
      <c r="GN540" s="3"/>
      <c r="GO540" s="3"/>
      <c r="GP540" s="3"/>
      <c r="GQ540" s="3"/>
      <c r="GR540" s="3"/>
      <c r="GS540" s="3"/>
      <c r="GT540" s="3"/>
      <c r="GU540" s="3"/>
      <c r="GV540" s="3"/>
      <c r="GW540" s="3"/>
      <c r="GX540" s="3"/>
      <c r="GY540" s="3"/>
      <c r="GZ540" s="3"/>
      <c r="HA540" s="3"/>
      <c r="HB540" s="3"/>
    </row>
    <row r="541" spans="1:210" ht="15.75" customHeight="1">
      <c r="A541" s="50"/>
      <c r="B541" s="50"/>
      <c r="C541" s="50"/>
      <c r="D541" s="50"/>
      <c r="E541" s="50"/>
      <c r="F541" s="50"/>
      <c r="G541" s="51"/>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c r="AR541" s="50"/>
      <c r="AS541" s="50"/>
      <c r="AT541" s="50"/>
      <c r="AU541" s="50"/>
      <c r="AV541" s="50"/>
      <c r="AW541" s="50"/>
      <c r="AX541" s="50"/>
      <c r="AY541" s="50"/>
      <c r="AZ541" s="50"/>
      <c r="BA541" s="50"/>
      <c r="BB541" s="50"/>
      <c r="BC541" s="50"/>
      <c r="BD541" s="50"/>
      <c r="BE541" s="50"/>
      <c r="BF541" s="50"/>
      <c r="BG541" s="50"/>
      <c r="BH541" s="50"/>
      <c r="BI541" s="50"/>
      <c r="BJ541" s="50"/>
      <c r="BK541" s="50"/>
      <c r="BL541" s="50"/>
      <c r="BM541" s="50"/>
      <c r="BN541" s="50"/>
      <c r="BO541" s="50"/>
      <c r="BP541" s="50"/>
      <c r="BQ541" s="50"/>
      <c r="BR541" s="50"/>
      <c r="BS541" s="50"/>
      <c r="BT541" s="50"/>
      <c r="BU541" s="50"/>
      <c r="BV541" s="50"/>
      <c r="BW541" s="50"/>
      <c r="BX541" s="50"/>
      <c r="BY541" s="50"/>
      <c r="BZ541" s="50"/>
      <c r="CA541" s="50"/>
      <c r="CB541" s="50"/>
      <c r="CC541" s="50"/>
      <c r="CD541" s="52"/>
      <c r="CE541" s="50"/>
      <c r="CF541" s="50"/>
      <c r="CG541" s="50"/>
      <c r="CH541" s="50"/>
      <c r="CI541" s="50"/>
      <c r="CJ541" s="50"/>
      <c r="CK541" s="50"/>
      <c r="CL541" s="50"/>
      <c r="CM541" s="50"/>
      <c r="CN541" s="50"/>
      <c r="CO541" s="50"/>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c r="FS541" s="3"/>
      <c r="FT541" s="3"/>
      <c r="FU541" s="3"/>
      <c r="FV541" s="3"/>
      <c r="FW541" s="3"/>
      <c r="FX541" s="3"/>
      <c r="FY541" s="3"/>
      <c r="FZ541" s="3"/>
      <c r="GA541" s="3"/>
      <c r="GB541" s="3"/>
      <c r="GC541" s="3"/>
      <c r="GD541" s="3"/>
      <c r="GE541" s="3"/>
      <c r="GF541" s="3"/>
      <c r="GG541" s="3"/>
      <c r="GH541" s="3"/>
      <c r="GI541" s="3"/>
      <c r="GJ541" s="3"/>
      <c r="GK541" s="3"/>
      <c r="GL541" s="3"/>
      <c r="GM541" s="3"/>
      <c r="GN541" s="3"/>
      <c r="GO541" s="3"/>
      <c r="GP541" s="3"/>
      <c r="GQ541" s="3"/>
      <c r="GR541" s="3"/>
      <c r="GS541" s="3"/>
      <c r="GT541" s="3"/>
      <c r="GU541" s="3"/>
      <c r="GV541" s="3"/>
      <c r="GW541" s="3"/>
      <c r="GX541" s="3"/>
      <c r="GY541" s="3"/>
      <c r="GZ541" s="3"/>
      <c r="HA541" s="3"/>
      <c r="HB541" s="3"/>
    </row>
    <row r="542" spans="1:210" ht="15.75" customHeight="1">
      <c r="A542" s="50"/>
      <c r="B542" s="50"/>
      <c r="C542" s="50"/>
      <c r="D542" s="50"/>
      <c r="E542" s="50"/>
      <c r="F542" s="50"/>
      <c r="G542" s="51"/>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c r="AR542" s="50"/>
      <c r="AS542" s="50"/>
      <c r="AT542" s="50"/>
      <c r="AU542" s="50"/>
      <c r="AV542" s="50"/>
      <c r="AW542" s="50"/>
      <c r="AX542" s="50"/>
      <c r="AY542" s="50"/>
      <c r="AZ542" s="50"/>
      <c r="BA542" s="50"/>
      <c r="BB542" s="50"/>
      <c r="BC542" s="50"/>
      <c r="BD542" s="50"/>
      <c r="BE542" s="50"/>
      <c r="BF542" s="50"/>
      <c r="BG542" s="50"/>
      <c r="BH542" s="50"/>
      <c r="BI542" s="50"/>
      <c r="BJ542" s="50"/>
      <c r="BK542" s="50"/>
      <c r="BL542" s="50"/>
      <c r="BM542" s="50"/>
      <c r="BN542" s="50"/>
      <c r="BO542" s="50"/>
      <c r="BP542" s="50"/>
      <c r="BQ542" s="50"/>
      <c r="BR542" s="50"/>
      <c r="BS542" s="50"/>
      <c r="BT542" s="50"/>
      <c r="BU542" s="50"/>
      <c r="BV542" s="50"/>
      <c r="BW542" s="50"/>
      <c r="BX542" s="50"/>
      <c r="BY542" s="50"/>
      <c r="BZ542" s="50"/>
      <c r="CA542" s="50"/>
      <c r="CB542" s="50"/>
      <c r="CC542" s="50"/>
      <c r="CD542" s="52"/>
      <c r="CE542" s="50"/>
      <c r="CF542" s="50"/>
      <c r="CG542" s="50"/>
      <c r="CH542" s="50"/>
      <c r="CI542" s="50"/>
      <c r="CJ542" s="50"/>
      <c r="CK542" s="50"/>
      <c r="CL542" s="50"/>
      <c r="CM542" s="50"/>
      <c r="CN542" s="50"/>
      <c r="CO542" s="50"/>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c r="FS542" s="3"/>
      <c r="FT542" s="3"/>
      <c r="FU542" s="3"/>
      <c r="FV542" s="3"/>
      <c r="FW542" s="3"/>
      <c r="FX542" s="3"/>
      <c r="FY542" s="3"/>
      <c r="FZ542" s="3"/>
      <c r="GA542" s="3"/>
      <c r="GB542" s="3"/>
      <c r="GC542" s="3"/>
      <c r="GD542" s="3"/>
      <c r="GE542" s="3"/>
      <c r="GF542" s="3"/>
      <c r="GG542" s="3"/>
      <c r="GH542" s="3"/>
      <c r="GI542" s="3"/>
      <c r="GJ542" s="3"/>
      <c r="GK542" s="3"/>
      <c r="GL542" s="3"/>
      <c r="GM542" s="3"/>
      <c r="GN542" s="3"/>
      <c r="GO542" s="3"/>
      <c r="GP542" s="3"/>
      <c r="GQ542" s="3"/>
      <c r="GR542" s="3"/>
      <c r="GS542" s="3"/>
      <c r="GT542" s="3"/>
      <c r="GU542" s="3"/>
      <c r="GV542" s="3"/>
      <c r="GW542" s="3"/>
      <c r="GX542" s="3"/>
      <c r="GY542" s="3"/>
      <c r="GZ542" s="3"/>
      <c r="HA542" s="3"/>
      <c r="HB542" s="3"/>
    </row>
    <row r="543" spans="1:210" ht="15.75" customHeight="1">
      <c r="A543" s="50"/>
      <c r="B543" s="50"/>
      <c r="C543" s="50"/>
      <c r="D543" s="50"/>
      <c r="E543" s="50"/>
      <c r="F543" s="50"/>
      <c r="G543" s="51"/>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c r="AR543" s="50"/>
      <c r="AS543" s="50"/>
      <c r="AT543" s="50"/>
      <c r="AU543" s="50"/>
      <c r="AV543" s="50"/>
      <c r="AW543" s="50"/>
      <c r="AX543" s="50"/>
      <c r="AY543" s="50"/>
      <c r="AZ543" s="50"/>
      <c r="BA543" s="50"/>
      <c r="BB543" s="50"/>
      <c r="BC543" s="50"/>
      <c r="BD543" s="50"/>
      <c r="BE543" s="50"/>
      <c r="BF543" s="50"/>
      <c r="BG543" s="50"/>
      <c r="BH543" s="50"/>
      <c r="BI543" s="50"/>
      <c r="BJ543" s="50"/>
      <c r="BK543" s="50"/>
      <c r="BL543" s="50"/>
      <c r="BM543" s="50"/>
      <c r="BN543" s="50"/>
      <c r="BO543" s="50"/>
      <c r="BP543" s="50"/>
      <c r="BQ543" s="50"/>
      <c r="BR543" s="50"/>
      <c r="BS543" s="50"/>
      <c r="BT543" s="50"/>
      <c r="BU543" s="50"/>
      <c r="BV543" s="50"/>
      <c r="BW543" s="50"/>
      <c r="BX543" s="50"/>
      <c r="BY543" s="50"/>
      <c r="BZ543" s="50"/>
      <c r="CA543" s="50"/>
      <c r="CB543" s="50"/>
      <c r="CC543" s="50"/>
      <c r="CD543" s="52"/>
      <c r="CE543" s="50"/>
      <c r="CF543" s="50"/>
      <c r="CG543" s="50"/>
      <c r="CH543" s="50"/>
      <c r="CI543" s="50"/>
      <c r="CJ543" s="50"/>
      <c r="CK543" s="50"/>
      <c r="CL543" s="50"/>
      <c r="CM543" s="50"/>
      <c r="CN543" s="50"/>
      <c r="CO543" s="50"/>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c r="FS543" s="3"/>
      <c r="FT543" s="3"/>
      <c r="FU543" s="3"/>
      <c r="FV543" s="3"/>
      <c r="FW543" s="3"/>
      <c r="FX543" s="3"/>
      <c r="FY543" s="3"/>
      <c r="FZ543" s="3"/>
      <c r="GA543" s="3"/>
      <c r="GB543" s="3"/>
      <c r="GC543" s="3"/>
      <c r="GD543" s="3"/>
      <c r="GE543" s="3"/>
      <c r="GF543" s="3"/>
      <c r="GG543" s="3"/>
      <c r="GH543" s="3"/>
      <c r="GI543" s="3"/>
      <c r="GJ543" s="3"/>
      <c r="GK543" s="3"/>
      <c r="GL543" s="3"/>
      <c r="GM543" s="3"/>
      <c r="GN543" s="3"/>
      <c r="GO543" s="3"/>
      <c r="GP543" s="3"/>
      <c r="GQ543" s="3"/>
      <c r="GR543" s="3"/>
      <c r="GS543" s="3"/>
      <c r="GT543" s="3"/>
      <c r="GU543" s="3"/>
      <c r="GV543" s="3"/>
      <c r="GW543" s="3"/>
      <c r="GX543" s="3"/>
      <c r="GY543" s="3"/>
      <c r="GZ543" s="3"/>
      <c r="HA543" s="3"/>
      <c r="HB543" s="3"/>
    </row>
    <row r="544" spans="1:210" ht="15.75" customHeight="1">
      <c r="A544" s="50"/>
      <c r="B544" s="50"/>
      <c r="C544" s="50"/>
      <c r="D544" s="50"/>
      <c r="E544" s="50"/>
      <c r="F544" s="50"/>
      <c r="G544" s="51"/>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c r="AR544" s="50"/>
      <c r="AS544" s="50"/>
      <c r="AT544" s="50"/>
      <c r="AU544" s="50"/>
      <c r="AV544" s="50"/>
      <c r="AW544" s="50"/>
      <c r="AX544" s="50"/>
      <c r="AY544" s="50"/>
      <c r="AZ544" s="50"/>
      <c r="BA544" s="50"/>
      <c r="BB544" s="50"/>
      <c r="BC544" s="50"/>
      <c r="BD544" s="50"/>
      <c r="BE544" s="50"/>
      <c r="BF544" s="50"/>
      <c r="BG544" s="50"/>
      <c r="BH544" s="50"/>
      <c r="BI544" s="50"/>
      <c r="BJ544" s="50"/>
      <c r="BK544" s="50"/>
      <c r="BL544" s="50"/>
      <c r="BM544" s="50"/>
      <c r="BN544" s="50"/>
      <c r="BO544" s="50"/>
      <c r="BP544" s="50"/>
      <c r="BQ544" s="50"/>
      <c r="BR544" s="50"/>
      <c r="BS544" s="50"/>
      <c r="BT544" s="50"/>
      <c r="BU544" s="50"/>
      <c r="BV544" s="50"/>
      <c r="BW544" s="50"/>
      <c r="BX544" s="50"/>
      <c r="BY544" s="50"/>
      <c r="BZ544" s="50"/>
      <c r="CA544" s="50"/>
      <c r="CB544" s="50"/>
      <c r="CC544" s="50"/>
      <c r="CD544" s="52"/>
      <c r="CE544" s="50"/>
      <c r="CF544" s="50"/>
      <c r="CG544" s="50"/>
      <c r="CH544" s="50"/>
      <c r="CI544" s="50"/>
      <c r="CJ544" s="50"/>
      <c r="CK544" s="50"/>
      <c r="CL544" s="50"/>
      <c r="CM544" s="50"/>
      <c r="CN544" s="50"/>
      <c r="CO544" s="50"/>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c r="FS544" s="3"/>
      <c r="FT544" s="3"/>
      <c r="FU544" s="3"/>
      <c r="FV544" s="3"/>
      <c r="FW544" s="3"/>
      <c r="FX544" s="3"/>
      <c r="FY544" s="3"/>
      <c r="FZ544" s="3"/>
      <c r="GA544" s="3"/>
      <c r="GB544" s="3"/>
      <c r="GC544" s="3"/>
      <c r="GD544" s="3"/>
      <c r="GE544" s="3"/>
      <c r="GF544" s="3"/>
      <c r="GG544" s="3"/>
      <c r="GH544" s="3"/>
      <c r="GI544" s="3"/>
      <c r="GJ544" s="3"/>
      <c r="GK544" s="3"/>
      <c r="GL544" s="3"/>
      <c r="GM544" s="3"/>
      <c r="GN544" s="3"/>
      <c r="GO544" s="3"/>
      <c r="GP544" s="3"/>
      <c r="GQ544" s="3"/>
      <c r="GR544" s="3"/>
      <c r="GS544" s="3"/>
      <c r="GT544" s="3"/>
      <c r="GU544" s="3"/>
      <c r="GV544" s="3"/>
      <c r="GW544" s="3"/>
      <c r="GX544" s="3"/>
      <c r="GY544" s="3"/>
      <c r="GZ544" s="3"/>
      <c r="HA544" s="3"/>
      <c r="HB544" s="3"/>
    </row>
    <row r="545" spans="1:210" ht="15.75" customHeight="1">
      <c r="A545" s="50"/>
      <c r="B545" s="50"/>
      <c r="C545" s="50"/>
      <c r="D545" s="50"/>
      <c r="E545" s="50"/>
      <c r="F545" s="50"/>
      <c r="G545" s="51"/>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c r="AR545" s="50"/>
      <c r="AS545" s="50"/>
      <c r="AT545" s="50"/>
      <c r="AU545" s="50"/>
      <c r="AV545" s="50"/>
      <c r="AW545" s="50"/>
      <c r="AX545" s="50"/>
      <c r="AY545" s="50"/>
      <c r="AZ545" s="50"/>
      <c r="BA545" s="50"/>
      <c r="BB545" s="50"/>
      <c r="BC545" s="50"/>
      <c r="BD545" s="50"/>
      <c r="BE545" s="50"/>
      <c r="BF545" s="50"/>
      <c r="BG545" s="50"/>
      <c r="BH545" s="50"/>
      <c r="BI545" s="50"/>
      <c r="BJ545" s="50"/>
      <c r="BK545" s="50"/>
      <c r="BL545" s="50"/>
      <c r="BM545" s="50"/>
      <c r="BN545" s="50"/>
      <c r="BO545" s="50"/>
      <c r="BP545" s="50"/>
      <c r="BQ545" s="50"/>
      <c r="BR545" s="50"/>
      <c r="BS545" s="50"/>
      <c r="BT545" s="50"/>
      <c r="BU545" s="50"/>
      <c r="BV545" s="50"/>
      <c r="BW545" s="50"/>
      <c r="BX545" s="50"/>
      <c r="BY545" s="50"/>
      <c r="BZ545" s="50"/>
      <c r="CA545" s="50"/>
      <c r="CB545" s="50"/>
      <c r="CC545" s="50"/>
      <c r="CD545" s="52"/>
      <c r="CE545" s="50"/>
      <c r="CF545" s="50"/>
      <c r="CG545" s="50"/>
      <c r="CH545" s="50"/>
      <c r="CI545" s="50"/>
      <c r="CJ545" s="50"/>
      <c r="CK545" s="50"/>
      <c r="CL545" s="50"/>
      <c r="CM545" s="50"/>
      <c r="CN545" s="50"/>
      <c r="CO545" s="50"/>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c r="FS545" s="3"/>
      <c r="FT545" s="3"/>
      <c r="FU545" s="3"/>
      <c r="FV545" s="3"/>
      <c r="FW545" s="3"/>
      <c r="FX545" s="3"/>
      <c r="FY545" s="3"/>
      <c r="FZ545" s="3"/>
      <c r="GA545" s="3"/>
      <c r="GB545" s="3"/>
      <c r="GC545" s="3"/>
      <c r="GD545" s="3"/>
      <c r="GE545" s="3"/>
      <c r="GF545" s="3"/>
      <c r="GG545" s="3"/>
      <c r="GH545" s="3"/>
      <c r="GI545" s="3"/>
      <c r="GJ545" s="3"/>
      <c r="GK545" s="3"/>
      <c r="GL545" s="3"/>
      <c r="GM545" s="3"/>
      <c r="GN545" s="3"/>
      <c r="GO545" s="3"/>
      <c r="GP545" s="3"/>
      <c r="GQ545" s="3"/>
      <c r="GR545" s="3"/>
      <c r="GS545" s="3"/>
      <c r="GT545" s="3"/>
      <c r="GU545" s="3"/>
      <c r="GV545" s="3"/>
      <c r="GW545" s="3"/>
      <c r="GX545" s="3"/>
      <c r="GY545" s="3"/>
      <c r="GZ545" s="3"/>
      <c r="HA545" s="3"/>
      <c r="HB545" s="3"/>
    </row>
    <row r="546" spans="1:210" ht="15.75" customHeight="1">
      <c r="A546" s="50"/>
      <c r="B546" s="50"/>
      <c r="C546" s="50"/>
      <c r="D546" s="50"/>
      <c r="E546" s="50"/>
      <c r="F546" s="50"/>
      <c r="G546" s="51"/>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c r="AR546" s="50"/>
      <c r="AS546" s="50"/>
      <c r="AT546" s="50"/>
      <c r="AU546" s="50"/>
      <c r="AV546" s="50"/>
      <c r="AW546" s="50"/>
      <c r="AX546" s="50"/>
      <c r="AY546" s="50"/>
      <c r="AZ546" s="50"/>
      <c r="BA546" s="50"/>
      <c r="BB546" s="50"/>
      <c r="BC546" s="50"/>
      <c r="BD546" s="50"/>
      <c r="BE546" s="50"/>
      <c r="BF546" s="50"/>
      <c r="BG546" s="50"/>
      <c r="BH546" s="50"/>
      <c r="BI546" s="50"/>
      <c r="BJ546" s="50"/>
      <c r="BK546" s="50"/>
      <c r="BL546" s="50"/>
      <c r="BM546" s="50"/>
      <c r="BN546" s="50"/>
      <c r="BO546" s="50"/>
      <c r="BP546" s="50"/>
      <c r="BQ546" s="50"/>
      <c r="BR546" s="50"/>
      <c r="BS546" s="50"/>
      <c r="BT546" s="50"/>
      <c r="BU546" s="50"/>
      <c r="BV546" s="50"/>
      <c r="BW546" s="50"/>
      <c r="BX546" s="50"/>
      <c r="BY546" s="50"/>
      <c r="BZ546" s="50"/>
      <c r="CA546" s="50"/>
      <c r="CB546" s="50"/>
      <c r="CC546" s="50"/>
      <c r="CD546" s="52"/>
      <c r="CE546" s="50"/>
      <c r="CF546" s="50"/>
      <c r="CG546" s="50"/>
      <c r="CH546" s="50"/>
      <c r="CI546" s="50"/>
      <c r="CJ546" s="50"/>
      <c r="CK546" s="50"/>
      <c r="CL546" s="50"/>
      <c r="CM546" s="50"/>
      <c r="CN546" s="50"/>
      <c r="CO546" s="50"/>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c r="FF546" s="3"/>
      <c r="FG546" s="3"/>
      <c r="FH546" s="3"/>
      <c r="FI546" s="3"/>
      <c r="FJ546" s="3"/>
      <c r="FK546" s="3"/>
      <c r="FL546" s="3"/>
      <c r="FM546" s="3"/>
      <c r="FN546" s="3"/>
      <c r="FO546" s="3"/>
      <c r="FP546" s="3"/>
      <c r="FQ546" s="3"/>
      <c r="FR546" s="3"/>
      <c r="FS546" s="3"/>
      <c r="FT546" s="3"/>
      <c r="FU546" s="3"/>
      <c r="FV546" s="3"/>
      <c r="FW546" s="3"/>
      <c r="FX546" s="3"/>
      <c r="FY546" s="3"/>
      <c r="FZ546" s="3"/>
      <c r="GA546" s="3"/>
      <c r="GB546" s="3"/>
      <c r="GC546" s="3"/>
      <c r="GD546" s="3"/>
      <c r="GE546" s="3"/>
      <c r="GF546" s="3"/>
      <c r="GG546" s="3"/>
      <c r="GH546" s="3"/>
      <c r="GI546" s="3"/>
      <c r="GJ546" s="3"/>
      <c r="GK546" s="3"/>
      <c r="GL546" s="3"/>
      <c r="GM546" s="3"/>
      <c r="GN546" s="3"/>
      <c r="GO546" s="3"/>
      <c r="GP546" s="3"/>
      <c r="GQ546" s="3"/>
      <c r="GR546" s="3"/>
      <c r="GS546" s="3"/>
      <c r="GT546" s="3"/>
      <c r="GU546" s="3"/>
      <c r="GV546" s="3"/>
      <c r="GW546" s="3"/>
      <c r="GX546" s="3"/>
      <c r="GY546" s="3"/>
      <c r="GZ546" s="3"/>
      <c r="HA546" s="3"/>
      <c r="HB546" s="3"/>
    </row>
    <row r="547" spans="1:210" ht="15.75" customHeight="1">
      <c r="A547" s="50"/>
      <c r="B547" s="50"/>
      <c r="C547" s="50"/>
      <c r="D547" s="50"/>
      <c r="E547" s="50"/>
      <c r="F547" s="50"/>
      <c r="G547" s="51"/>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c r="AR547" s="50"/>
      <c r="AS547" s="50"/>
      <c r="AT547" s="50"/>
      <c r="AU547" s="50"/>
      <c r="AV547" s="50"/>
      <c r="AW547" s="50"/>
      <c r="AX547" s="50"/>
      <c r="AY547" s="50"/>
      <c r="AZ547" s="50"/>
      <c r="BA547" s="50"/>
      <c r="BB547" s="50"/>
      <c r="BC547" s="50"/>
      <c r="BD547" s="50"/>
      <c r="BE547" s="50"/>
      <c r="BF547" s="50"/>
      <c r="BG547" s="50"/>
      <c r="BH547" s="50"/>
      <c r="BI547" s="50"/>
      <c r="BJ547" s="50"/>
      <c r="BK547" s="50"/>
      <c r="BL547" s="50"/>
      <c r="BM547" s="50"/>
      <c r="BN547" s="50"/>
      <c r="BO547" s="50"/>
      <c r="BP547" s="50"/>
      <c r="BQ547" s="50"/>
      <c r="BR547" s="50"/>
      <c r="BS547" s="50"/>
      <c r="BT547" s="50"/>
      <c r="BU547" s="50"/>
      <c r="BV547" s="50"/>
      <c r="BW547" s="50"/>
      <c r="BX547" s="50"/>
      <c r="BY547" s="50"/>
      <c r="BZ547" s="50"/>
      <c r="CA547" s="50"/>
      <c r="CB547" s="50"/>
      <c r="CC547" s="50"/>
      <c r="CD547" s="52"/>
      <c r="CE547" s="50"/>
      <c r="CF547" s="50"/>
      <c r="CG547" s="50"/>
      <c r="CH547" s="50"/>
      <c r="CI547" s="50"/>
      <c r="CJ547" s="50"/>
      <c r="CK547" s="50"/>
      <c r="CL547" s="50"/>
      <c r="CM547" s="50"/>
      <c r="CN547" s="50"/>
      <c r="CO547" s="50"/>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c r="FF547" s="3"/>
      <c r="FG547" s="3"/>
      <c r="FH547" s="3"/>
      <c r="FI547" s="3"/>
      <c r="FJ547" s="3"/>
      <c r="FK547" s="3"/>
      <c r="FL547" s="3"/>
      <c r="FM547" s="3"/>
      <c r="FN547" s="3"/>
      <c r="FO547" s="3"/>
      <c r="FP547" s="3"/>
      <c r="FQ547" s="3"/>
      <c r="FR547" s="3"/>
      <c r="FS547" s="3"/>
      <c r="FT547" s="3"/>
      <c r="FU547" s="3"/>
      <c r="FV547" s="3"/>
      <c r="FW547" s="3"/>
      <c r="FX547" s="3"/>
      <c r="FY547" s="3"/>
      <c r="FZ547" s="3"/>
      <c r="GA547" s="3"/>
      <c r="GB547" s="3"/>
      <c r="GC547" s="3"/>
      <c r="GD547" s="3"/>
      <c r="GE547" s="3"/>
      <c r="GF547" s="3"/>
      <c r="GG547" s="3"/>
      <c r="GH547" s="3"/>
      <c r="GI547" s="3"/>
      <c r="GJ547" s="3"/>
      <c r="GK547" s="3"/>
      <c r="GL547" s="3"/>
      <c r="GM547" s="3"/>
      <c r="GN547" s="3"/>
      <c r="GO547" s="3"/>
      <c r="GP547" s="3"/>
      <c r="GQ547" s="3"/>
      <c r="GR547" s="3"/>
      <c r="GS547" s="3"/>
      <c r="GT547" s="3"/>
      <c r="GU547" s="3"/>
      <c r="GV547" s="3"/>
      <c r="GW547" s="3"/>
      <c r="GX547" s="3"/>
      <c r="GY547" s="3"/>
      <c r="GZ547" s="3"/>
      <c r="HA547" s="3"/>
      <c r="HB547" s="3"/>
    </row>
    <row r="548" spans="1:210" ht="15.75" customHeight="1">
      <c r="A548" s="50"/>
      <c r="B548" s="50"/>
      <c r="C548" s="50"/>
      <c r="D548" s="50"/>
      <c r="E548" s="50"/>
      <c r="F548" s="50"/>
      <c r="G548" s="51"/>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c r="AS548" s="50"/>
      <c r="AT548" s="50"/>
      <c r="AU548" s="50"/>
      <c r="AV548" s="50"/>
      <c r="AW548" s="50"/>
      <c r="AX548" s="50"/>
      <c r="AY548" s="50"/>
      <c r="AZ548" s="50"/>
      <c r="BA548" s="50"/>
      <c r="BB548" s="50"/>
      <c r="BC548" s="50"/>
      <c r="BD548" s="50"/>
      <c r="BE548" s="50"/>
      <c r="BF548" s="50"/>
      <c r="BG548" s="50"/>
      <c r="BH548" s="50"/>
      <c r="BI548" s="50"/>
      <c r="BJ548" s="50"/>
      <c r="BK548" s="50"/>
      <c r="BL548" s="50"/>
      <c r="BM548" s="50"/>
      <c r="BN548" s="50"/>
      <c r="BO548" s="50"/>
      <c r="BP548" s="50"/>
      <c r="BQ548" s="50"/>
      <c r="BR548" s="50"/>
      <c r="BS548" s="50"/>
      <c r="BT548" s="50"/>
      <c r="BU548" s="50"/>
      <c r="BV548" s="50"/>
      <c r="BW548" s="50"/>
      <c r="BX548" s="50"/>
      <c r="BY548" s="50"/>
      <c r="BZ548" s="50"/>
      <c r="CA548" s="50"/>
      <c r="CB548" s="50"/>
      <c r="CC548" s="50"/>
      <c r="CD548" s="52"/>
      <c r="CE548" s="50"/>
      <c r="CF548" s="50"/>
      <c r="CG548" s="50"/>
      <c r="CH548" s="50"/>
      <c r="CI548" s="50"/>
      <c r="CJ548" s="50"/>
      <c r="CK548" s="50"/>
      <c r="CL548" s="50"/>
      <c r="CM548" s="50"/>
      <c r="CN548" s="50"/>
      <c r="CO548" s="50"/>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c r="FF548" s="3"/>
      <c r="FG548" s="3"/>
      <c r="FH548" s="3"/>
      <c r="FI548" s="3"/>
      <c r="FJ548" s="3"/>
      <c r="FK548" s="3"/>
      <c r="FL548" s="3"/>
      <c r="FM548" s="3"/>
      <c r="FN548" s="3"/>
      <c r="FO548" s="3"/>
      <c r="FP548" s="3"/>
      <c r="FQ548" s="3"/>
      <c r="FR548" s="3"/>
      <c r="FS548" s="3"/>
      <c r="FT548" s="3"/>
      <c r="FU548" s="3"/>
      <c r="FV548" s="3"/>
      <c r="FW548" s="3"/>
      <c r="FX548" s="3"/>
      <c r="FY548" s="3"/>
      <c r="FZ548" s="3"/>
      <c r="GA548" s="3"/>
      <c r="GB548" s="3"/>
      <c r="GC548" s="3"/>
      <c r="GD548" s="3"/>
      <c r="GE548" s="3"/>
      <c r="GF548" s="3"/>
      <c r="GG548" s="3"/>
      <c r="GH548" s="3"/>
      <c r="GI548" s="3"/>
      <c r="GJ548" s="3"/>
      <c r="GK548" s="3"/>
      <c r="GL548" s="3"/>
      <c r="GM548" s="3"/>
      <c r="GN548" s="3"/>
      <c r="GO548" s="3"/>
      <c r="GP548" s="3"/>
      <c r="GQ548" s="3"/>
      <c r="GR548" s="3"/>
      <c r="GS548" s="3"/>
      <c r="GT548" s="3"/>
      <c r="GU548" s="3"/>
      <c r="GV548" s="3"/>
      <c r="GW548" s="3"/>
      <c r="GX548" s="3"/>
      <c r="GY548" s="3"/>
      <c r="GZ548" s="3"/>
      <c r="HA548" s="3"/>
      <c r="HB548" s="3"/>
    </row>
    <row r="549" spans="1:210" ht="15.75" customHeight="1">
      <c r="A549" s="50"/>
      <c r="B549" s="50"/>
      <c r="C549" s="50"/>
      <c r="D549" s="50"/>
      <c r="E549" s="50"/>
      <c r="F549" s="50"/>
      <c r="G549" s="51"/>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c r="AS549" s="50"/>
      <c r="AT549" s="50"/>
      <c r="AU549" s="50"/>
      <c r="AV549" s="50"/>
      <c r="AW549" s="50"/>
      <c r="AX549" s="50"/>
      <c r="AY549" s="50"/>
      <c r="AZ549" s="50"/>
      <c r="BA549" s="50"/>
      <c r="BB549" s="50"/>
      <c r="BC549" s="50"/>
      <c r="BD549" s="50"/>
      <c r="BE549" s="50"/>
      <c r="BF549" s="50"/>
      <c r="BG549" s="50"/>
      <c r="BH549" s="50"/>
      <c r="BI549" s="50"/>
      <c r="BJ549" s="50"/>
      <c r="BK549" s="50"/>
      <c r="BL549" s="50"/>
      <c r="BM549" s="50"/>
      <c r="BN549" s="50"/>
      <c r="BO549" s="50"/>
      <c r="BP549" s="50"/>
      <c r="BQ549" s="50"/>
      <c r="BR549" s="50"/>
      <c r="BS549" s="50"/>
      <c r="BT549" s="50"/>
      <c r="BU549" s="50"/>
      <c r="BV549" s="50"/>
      <c r="BW549" s="50"/>
      <c r="BX549" s="50"/>
      <c r="BY549" s="50"/>
      <c r="BZ549" s="50"/>
      <c r="CA549" s="50"/>
      <c r="CB549" s="50"/>
      <c r="CC549" s="50"/>
      <c r="CD549" s="52"/>
      <c r="CE549" s="50"/>
      <c r="CF549" s="50"/>
      <c r="CG549" s="50"/>
      <c r="CH549" s="50"/>
      <c r="CI549" s="50"/>
      <c r="CJ549" s="50"/>
      <c r="CK549" s="50"/>
      <c r="CL549" s="50"/>
      <c r="CM549" s="50"/>
      <c r="CN549" s="50"/>
      <c r="CO549" s="50"/>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c r="FF549" s="3"/>
      <c r="FG549" s="3"/>
      <c r="FH549" s="3"/>
      <c r="FI549" s="3"/>
      <c r="FJ549" s="3"/>
      <c r="FK549" s="3"/>
      <c r="FL549" s="3"/>
      <c r="FM549" s="3"/>
      <c r="FN549" s="3"/>
      <c r="FO549" s="3"/>
      <c r="FP549" s="3"/>
      <c r="FQ549" s="3"/>
      <c r="FR549" s="3"/>
      <c r="FS549" s="3"/>
      <c r="FT549" s="3"/>
      <c r="FU549" s="3"/>
      <c r="FV549" s="3"/>
      <c r="FW549" s="3"/>
      <c r="FX549" s="3"/>
      <c r="FY549" s="3"/>
      <c r="FZ549" s="3"/>
      <c r="GA549" s="3"/>
      <c r="GB549" s="3"/>
      <c r="GC549" s="3"/>
      <c r="GD549" s="3"/>
      <c r="GE549" s="3"/>
      <c r="GF549" s="3"/>
      <c r="GG549" s="3"/>
      <c r="GH549" s="3"/>
      <c r="GI549" s="3"/>
      <c r="GJ549" s="3"/>
      <c r="GK549" s="3"/>
      <c r="GL549" s="3"/>
      <c r="GM549" s="3"/>
      <c r="GN549" s="3"/>
      <c r="GO549" s="3"/>
      <c r="GP549" s="3"/>
      <c r="GQ549" s="3"/>
      <c r="GR549" s="3"/>
      <c r="GS549" s="3"/>
      <c r="GT549" s="3"/>
      <c r="GU549" s="3"/>
      <c r="GV549" s="3"/>
      <c r="GW549" s="3"/>
      <c r="GX549" s="3"/>
      <c r="GY549" s="3"/>
      <c r="GZ549" s="3"/>
      <c r="HA549" s="3"/>
      <c r="HB549" s="3"/>
    </row>
    <row r="550" spans="1:210" ht="15.75" customHeight="1">
      <c r="A550" s="50"/>
      <c r="B550" s="50"/>
      <c r="C550" s="50"/>
      <c r="D550" s="50"/>
      <c r="E550" s="50"/>
      <c r="F550" s="50"/>
      <c r="G550" s="51"/>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c r="AS550" s="50"/>
      <c r="AT550" s="50"/>
      <c r="AU550" s="50"/>
      <c r="AV550" s="50"/>
      <c r="AW550" s="50"/>
      <c r="AX550" s="50"/>
      <c r="AY550" s="50"/>
      <c r="AZ550" s="50"/>
      <c r="BA550" s="50"/>
      <c r="BB550" s="50"/>
      <c r="BC550" s="50"/>
      <c r="BD550" s="50"/>
      <c r="BE550" s="50"/>
      <c r="BF550" s="50"/>
      <c r="BG550" s="50"/>
      <c r="BH550" s="50"/>
      <c r="BI550" s="50"/>
      <c r="BJ550" s="50"/>
      <c r="BK550" s="50"/>
      <c r="BL550" s="50"/>
      <c r="BM550" s="50"/>
      <c r="BN550" s="50"/>
      <c r="BO550" s="50"/>
      <c r="BP550" s="50"/>
      <c r="BQ550" s="50"/>
      <c r="BR550" s="50"/>
      <c r="BS550" s="50"/>
      <c r="BT550" s="50"/>
      <c r="BU550" s="50"/>
      <c r="BV550" s="50"/>
      <c r="BW550" s="50"/>
      <c r="BX550" s="50"/>
      <c r="BY550" s="50"/>
      <c r="BZ550" s="50"/>
      <c r="CA550" s="50"/>
      <c r="CB550" s="50"/>
      <c r="CC550" s="50"/>
      <c r="CD550" s="52"/>
      <c r="CE550" s="50"/>
      <c r="CF550" s="50"/>
      <c r="CG550" s="50"/>
      <c r="CH550" s="50"/>
      <c r="CI550" s="50"/>
      <c r="CJ550" s="50"/>
      <c r="CK550" s="50"/>
      <c r="CL550" s="50"/>
      <c r="CM550" s="50"/>
      <c r="CN550" s="50"/>
      <c r="CO550" s="50"/>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c r="FF550" s="3"/>
      <c r="FG550" s="3"/>
      <c r="FH550" s="3"/>
      <c r="FI550" s="3"/>
      <c r="FJ550" s="3"/>
      <c r="FK550" s="3"/>
      <c r="FL550" s="3"/>
      <c r="FM550" s="3"/>
      <c r="FN550" s="3"/>
      <c r="FO550" s="3"/>
      <c r="FP550" s="3"/>
      <c r="FQ550" s="3"/>
      <c r="FR550" s="3"/>
      <c r="FS550" s="3"/>
      <c r="FT550" s="3"/>
      <c r="FU550" s="3"/>
      <c r="FV550" s="3"/>
      <c r="FW550" s="3"/>
      <c r="FX550" s="3"/>
      <c r="FY550" s="3"/>
      <c r="FZ550" s="3"/>
      <c r="GA550" s="3"/>
      <c r="GB550" s="3"/>
      <c r="GC550" s="3"/>
      <c r="GD550" s="3"/>
      <c r="GE550" s="3"/>
      <c r="GF550" s="3"/>
      <c r="GG550" s="3"/>
      <c r="GH550" s="3"/>
      <c r="GI550" s="3"/>
      <c r="GJ550" s="3"/>
      <c r="GK550" s="3"/>
      <c r="GL550" s="3"/>
      <c r="GM550" s="3"/>
      <c r="GN550" s="3"/>
      <c r="GO550" s="3"/>
      <c r="GP550" s="3"/>
      <c r="GQ550" s="3"/>
      <c r="GR550" s="3"/>
      <c r="GS550" s="3"/>
      <c r="GT550" s="3"/>
      <c r="GU550" s="3"/>
      <c r="GV550" s="3"/>
      <c r="GW550" s="3"/>
      <c r="GX550" s="3"/>
      <c r="GY550" s="3"/>
      <c r="GZ550" s="3"/>
      <c r="HA550" s="3"/>
      <c r="HB550" s="3"/>
    </row>
    <row r="551" spans="1:210" ht="15.75" customHeight="1">
      <c r="A551" s="50"/>
      <c r="B551" s="50"/>
      <c r="C551" s="50"/>
      <c r="D551" s="50"/>
      <c r="E551" s="50"/>
      <c r="F551" s="50"/>
      <c r="G551" s="51"/>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c r="AS551" s="50"/>
      <c r="AT551" s="50"/>
      <c r="AU551" s="50"/>
      <c r="AV551" s="50"/>
      <c r="AW551" s="50"/>
      <c r="AX551" s="50"/>
      <c r="AY551" s="50"/>
      <c r="AZ551" s="50"/>
      <c r="BA551" s="50"/>
      <c r="BB551" s="50"/>
      <c r="BC551" s="50"/>
      <c r="BD551" s="50"/>
      <c r="BE551" s="50"/>
      <c r="BF551" s="50"/>
      <c r="BG551" s="50"/>
      <c r="BH551" s="50"/>
      <c r="BI551" s="50"/>
      <c r="BJ551" s="50"/>
      <c r="BK551" s="50"/>
      <c r="BL551" s="50"/>
      <c r="BM551" s="50"/>
      <c r="BN551" s="50"/>
      <c r="BO551" s="50"/>
      <c r="BP551" s="50"/>
      <c r="BQ551" s="50"/>
      <c r="BR551" s="50"/>
      <c r="BS551" s="50"/>
      <c r="BT551" s="50"/>
      <c r="BU551" s="50"/>
      <c r="BV551" s="50"/>
      <c r="BW551" s="50"/>
      <c r="BX551" s="50"/>
      <c r="BY551" s="50"/>
      <c r="BZ551" s="50"/>
      <c r="CA551" s="50"/>
      <c r="CB551" s="50"/>
      <c r="CC551" s="50"/>
      <c r="CD551" s="52"/>
      <c r="CE551" s="50"/>
      <c r="CF551" s="50"/>
      <c r="CG551" s="50"/>
      <c r="CH551" s="50"/>
      <c r="CI551" s="50"/>
      <c r="CJ551" s="50"/>
      <c r="CK551" s="50"/>
      <c r="CL551" s="50"/>
      <c r="CM551" s="50"/>
      <c r="CN551" s="50"/>
      <c r="CO551" s="50"/>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c r="FF551" s="3"/>
      <c r="FG551" s="3"/>
      <c r="FH551" s="3"/>
      <c r="FI551" s="3"/>
      <c r="FJ551" s="3"/>
      <c r="FK551" s="3"/>
      <c r="FL551" s="3"/>
      <c r="FM551" s="3"/>
      <c r="FN551" s="3"/>
      <c r="FO551" s="3"/>
      <c r="FP551" s="3"/>
      <c r="FQ551" s="3"/>
      <c r="FR551" s="3"/>
      <c r="FS551" s="3"/>
      <c r="FT551" s="3"/>
      <c r="FU551" s="3"/>
      <c r="FV551" s="3"/>
      <c r="FW551" s="3"/>
      <c r="FX551" s="3"/>
      <c r="FY551" s="3"/>
      <c r="FZ551" s="3"/>
      <c r="GA551" s="3"/>
      <c r="GB551" s="3"/>
      <c r="GC551" s="3"/>
      <c r="GD551" s="3"/>
      <c r="GE551" s="3"/>
      <c r="GF551" s="3"/>
      <c r="GG551" s="3"/>
      <c r="GH551" s="3"/>
      <c r="GI551" s="3"/>
      <c r="GJ551" s="3"/>
      <c r="GK551" s="3"/>
      <c r="GL551" s="3"/>
      <c r="GM551" s="3"/>
      <c r="GN551" s="3"/>
      <c r="GO551" s="3"/>
      <c r="GP551" s="3"/>
      <c r="GQ551" s="3"/>
      <c r="GR551" s="3"/>
      <c r="GS551" s="3"/>
      <c r="GT551" s="3"/>
      <c r="GU551" s="3"/>
      <c r="GV551" s="3"/>
      <c r="GW551" s="3"/>
      <c r="GX551" s="3"/>
      <c r="GY551" s="3"/>
      <c r="GZ551" s="3"/>
      <c r="HA551" s="3"/>
      <c r="HB551" s="3"/>
    </row>
    <row r="552" spans="1:210" ht="15.75" customHeight="1">
      <c r="A552" s="50"/>
      <c r="B552" s="50"/>
      <c r="C552" s="50"/>
      <c r="D552" s="50"/>
      <c r="E552" s="50"/>
      <c r="F552" s="50"/>
      <c r="G552" s="51"/>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c r="AS552" s="50"/>
      <c r="AT552" s="50"/>
      <c r="AU552" s="50"/>
      <c r="AV552" s="50"/>
      <c r="AW552" s="50"/>
      <c r="AX552" s="50"/>
      <c r="AY552" s="50"/>
      <c r="AZ552" s="50"/>
      <c r="BA552" s="50"/>
      <c r="BB552" s="50"/>
      <c r="BC552" s="50"/>
      <c r="BD552" s="50"/>
      <c r="BE552" s="50"/>
      <c r="BF552" s="50"/>
      <c r="BG552" s="50"/>
      <c r="BH552" s="50"/>
      <c r="BI552" s="50"/>
      <c r="BJ552" s="50"/>
      <c r="BK552" s="50"/>
      <c r="BL552" s="50"/>
      <c r="BM552" s="50"/>
      <c r="BN552" s="50"/>
      <c r="BO552" s="50"/>
      <c r="BP552" s="50"/>
      <c r="BQ552" s="50"/>
      <c r="BR552" s="50"/>
      <c r="BS552" s="50"/>
      <c r="BT552" s="50"/>
      <c r="BU552" s="50"/>
      <c r="BV552" s="50"/>
      <c r="BW552" s="50"/>
      <c r="BX552" s="50"/>
      <c r="BY552" s="50"/>
      <c r="BZ552" s="50"/>
      <c r="CA552" s="50"/>
      <c r="CB552" s="50"/>
      <c r="CC552" s="50"/>
      <c r="CD552" s="52"/>
      <c r="CE552" s="50"/>
      <c r="CF552" s="50"/>
      <c r="CG552" s="50"/>
      <c r="CH552" s="50"/>
      <c r="CI552" s="50"/>
      <c r="CJ552" s="50"/>
      <c r="CK552" s="50"/>
      <c r="CL552" s="50"/>
      <c r="CM552" s="50"/>
      <c r="CN552" s="50"/>
      <c r="CO552" s="50"/>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c r="FF552" s="3"/>
      <c r="FG552" s="3"/>
      <c r="FH552" s="3"/>
      <c r="FI552" s="3"/>
      <c r="FJ552" s="3"/>
      <c r="FK552" s="3"/>
      <c r="FL552" s="3"/>
      <c r="FM552" s="3"/>
      <c r="FN552" s="3"/>
      <c r="FO552" s="3"/>
      <c r="FP552" s="3"/>
      <c r="FQ552" s="3"/>
      <c r="FR552" s="3"/>
      <c r="FS552" s="3"/>
      <c r="FT552" s="3"/>
      <c r="FU552" s="3"/>
      <c r="FV552" s="3"/>
      <c r="FW552" s="3"/>
      <c r="FX552" s="3"/>
      <c r="FY552" s="3"/>
      <c r="FZ552" s="3"/>
      <c r="GA552" s="3"/>
      <c r="GB552" s="3"/>
      <c r="GC552" s="3"/>
      <c r="GD552" s="3"/>
      <c r="GE552" s="3"/>
      <c r="GF552" s="3"/>
      <c r="GG552" s="3"/>
      <c r="GH552" s="3"/>
      <c r="GI552" s="3"/>
      <c r="GJ552" s="3"/>
      <c r="GK552" s="3"/>
      <c r="GL552" s="3"/>
      <c r="GM552" s="3"/>
      <c r="GN552" s="3"/>
      <c r="GO552" s="3"/>
      <c r="GP552" s="3"/>
      <c r="GQ552" s="3"/>
      <c r="GR552" s="3"/>
      <c r="GS552" s="3"/>
      <c r="GT552" s="3"/>
      <c r="GU552" s="3"/>
      <c r="GV552" s="3"/>
      <c r="GW552" s="3"/>
      <c r="GX552" s="3"/>
      <c r="GY552" s="3"/>
      <c r="GZ552" s="3"/>
      <c r="HA552" s="3"/>
      <c r="HB552" s="3"/>
    </row>
    <row r="553" spans="1:210" ht="15.75" customHeight="1">
      <c r="A553" s="50"/>
      <c r="B553" s="50"/>
      <c r="C553" s="50"/>
      <c r="D553" s="50"/>
      <c r="E553" s="50"/>
      <c r="F553" s="50"/>
      <c r="G553" s="51"/>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c r="AS553" s="50"/>
      <c r="AT553" s="50"/>
      <c r="AU553" s="50"/>
      <c r="AV553" s="50"/>
      <c r="AW553" s="50"/>
      <c r="AX553" s="50"/>
      <c r="AY553" s="50"/>
      <c r="AZ553" s="50"/>
      <c r="BA553" s="50"/>
      <c r="BB553" s="50"/>
      <c r="BC553" s="50"/>
      <c r="BD553" s="50"/>
      <c r="BE553" s="50"/>
      <c r="BF553" s="50"/>
      <c r="BG553" s="50"/>
      <c r="BH553" s="50"/>
      <c r="BI553" s="50"/>
      <c r="BJ553" s="50"/>
      <c r="BK553" s="50"/>
      <c r="BL553" s="50"/>
      <c r="BM553" s="50"/>
      <c r="BN553" s="50"/>
      <c r="BO553" s="50"/>
      <c r="BP553" s="50"/>
      <c r="BQ553" s="50"/>
      <c r="BR553" s="50"/>
      <c r="BS553" s="50"/>
      <c r="BT553" s="50"/>
      <c r="BU553" s="50"/>
      <c r="BV553" s="50"/>
      <c r="BW553" s="50"/>
      <c r="BX553" s="50"/>
      <c r="BY553" s="50"/>
      <c r="BZ553" s="50"/>
      <c r="CA553" s="50"/>
      <c r="CB553" s="50"/>
      <c r="CC553" s="50"/>
      <c r="CD553" s="52"/>
      <c r="CE553" s="50"/>
      <c r="CF553" s="50"/>
      <c r="CG553" s="50"/>
      <c r="CH553" s="50"/>
      <c r="CI553" s="50"/>
      <c r="CJ553" s="50"/>
      <c r="CK553" s="50"/>
      <c r="CL553" s="50"/>
      <c r="CM553" s="50"/>
      <c r="CN553" s="50"/>
      <c r="CO553" s="50"/>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c r="FF553" s="3"/>
      <c r="FG553" s="3"/>
      <c r="FH553" s="3"/>
      <c r="FI553" s="3"/>
      <c r="FJ553" s="3"/>
      <c r="FK553" s="3"/>
      <c r="FL553" s="3"/>
      <c r="FM553" s="3"/>
      <c r="FN553" s="3"/>
      <c r="FO553" s="3"/>
      <c r="FP553" s="3"/>
      <c r="FQ553" s="3"/>
      <c r="FR553" s="3"/>
      <c r="FS553" s="3"/>
      <c r="FT553" s="3"/>
      <c r="FU553" s="3"/>
      <c r="FV553" s="3"/>
      <c r="FW553" s="3"/>
      <c r="FX553" s="3"/>
      <c r="FY553" s="3"/>
      <c r="FZ553" s="3"/>
      <c r="GA553" s="3"/>
      <c r="GB553" s="3"/>
      <c r="GC553" s="3"/>
      <c r="GD553" s="3"/>
      <c r="GE553" s="3"/>
      <c r="GF553" s="3"/>
      <c r="GG553" s="3"/>
      <c r="GH553" s="3"/>
      <c r="GI553" s="3"/>
      <c r="GJ553" s="3"/>
      <c r="GK553" s="3"/>
      <c r="GL553" s="3"/>
      <c r="GM553" s="3"/>
      <c r="GN553" s="3"/>
      <c r="GO553" s="3"/>
      <c r="GP553" s="3"/>
      <c r="GQ553" s="3"/>
      <c r="GR553" s="3"/>
      <c r="GS553" s="3"/>
      <c r="GT553" s="3"/>
      <c r="GU553" s="3"/>
      <c r="GV553" s="3"/>
      <c r="GW553" s="3"/>
      <c r="GX553" s="3"/>
      <c r="GY553" s="3"/>
      <c r="GZ553" s="3"/>
      <c r="HA553" s="3"/>
      <c r="HB553" s="3"/>
    </row>
    <row r="554" spans="1:210" ht="15.75" customHeight="1">
      <c r="A554" s="50"/>
      <c r="B554" s="50"/>
      <c r="C554" s="50"/>
      <c r="D554" s="50"/>
      <c r="E554" s="50"/>
      <c r="F554" s="50"/>
      <c r="G554" s="51"/>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c r="AR554" s="50"/>
      <c r="AS554" s="50"/>
      <c r="AT554" s="50"/>
      <c r="AU554" s="50"/>
      <c r="AV554" s="50"/>
      <c r="AW554" s="50"/>
      <c r="AX554" s="50"/>
      <c r="AY554" s="50"/>
      <c r="AZ554" s="50"/>
      <c r="BA554" s="50"/>
      <c r="BB554" s="50"/>
      <c r="BC554" s="50"/>
      <c r="BD554" s="50"/>
      <c r="BE554" s="50"/>
      <c r="BF554" s="50"/>
      <c r="BG554" s="50"/>
      <c r="BH554" s="50"/>
      <c r="BI554" s="50"/>
      <c r="BJ554" s="50"/>
      <c r="BK554" s="50"/>
      <c r="BL554" s="50"/>
      <c r="BM554" s="50"/>
      <c r="BN554" s="50"/>
      <c r="BO554" s="50"/>
      <c r="BP554" s="50"/>
      <c r="BQ554" s="50"/>
      <c r="BR554" s="50"/>
      <c r="BS554" s="50"/>
      <c r="BT554" s="50"/>
      <c r="BU554" s="50"/>
      <c r="BV554" s="50"/>
      <c r="BW554" s="50"/>
      <c r="BX554" s="50"/>
      <c r="BY554" s="50"/>
      <c r="BZ554" s="50"/>
      <c r="CA554" s="50"/>
      <c r="CB554" s="50"/>
      <c r="CC554" s="50"/>
      <c r="CD554" s="52"/>
      <c r="CE554" s="50"/>
      <c r="CF554" s="50"/>
      <c r="CG554" s="50"/>
      <c r="CH554" s="50"/>
      <c r="CI554" s="50"/>
      <c r="CJ554" s="50"/>
      <c r="CK554" s="50"/>
      <c r="CL554" s="50"/>
      <c r="CM554" s="50"/>
      <c r="CN554" s="50"/>
      <c r="CO554" s="50"/>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c r="FF554" s="3"/>
      <c r="FG554" s="3"/>
      <c r="FH554" s="3"/>
      <c r="FI554" s="3"/>
      <c r="FJ554" s="3"/>
      <c r="FK554" s="3"/>
      <c r="FL554" s="3"/>
      <c r="FM554" s="3"/>
      <c r="FN554" s="3"/>
      <c r="FO554" s="3"/>
      <c r="FP554" s="3"/>
      <c r="FQ554" s="3"/>
      <c r="FR554" s="3"/>
      <c r="FS554" s="3"/>
      <c r="FT554" s="3"/>
      <c r="FU554" s="3"/>
      <c r="FV554" s="3"/>
      <c r="FW554" s="3"/>
      <c r="FX554" s="3"/>
      <c r="FY554" s="3"/>
      <c r="FZ554" s="3"/>
      <c r="GA554" s="3"/>
      <c r="GB554" s="3"/>
      <c r="GC554" s="3"/>
      <c r="GD554" s="3"/>
      <c r="GE554" s="3"/>
      <c r="GF554" s="3"/>
      <c r="GG554" s="3"/>
      <c r="GH554" s="3"/>
      <c r="GI554" s="3"/>
      <c r="GJ554" s="3"/>
      <c r="GK554" s="3"/>
      <c r="GL554" s="3"/>
      <c r="GM554" s="3"/>
      <c r="GN554" s="3"/>
      <c r="GO554" s="3"/>
      <c r="GP554" s="3"/>
      <c r="GQ554" s="3"/>
      <c r="GR554" s="3"/>
      <c r="GS554" s="3"/>
      <c r="GT554" s="3"/>
      <c r="GU554" s="3"/>
      <c r="GV554" s="3"/>
      <c r="GW554" s="3"/>
      <c r="GX554" s="3"/>
      <c r="GY554" s="3"/>
      <c r="GZ554" s="3"/>
      <c r="HA554" s="3"/>
      <c r="HB554" s="3"/>
    </row>
    <row r="555" spans="1:210" ht="15.75" customHeight="1">
      <c r="A555" s="50"/>
      <c r="B555" s="50"/>
      <c r="C555" s="50"/>
      <c r="D555" s="50"/>
      <c r="E555" s="50"/>
      <c r="F555" s="50"/>
      <c r="G555" s="51"/>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c r="AR555" s="50"/>
      <c r="AS555" s="50"/>
      <c r="AT555" s="50"/>
      <c r="AU555" s="50"/>
      <c r="AV555" s="50"/>
      <c r="AW555" s="50"/>
      <c r="AX555" s="50"/>
      <c r="AY555" s="50"/>
      <c r="AZ555" s="50"/>
      <c r="BA555" s="50"/>
      <c r="BB555" s="50"/>
      <c r="BC555" s="50"/>
      <c r="BD555" s="50"/>
      <c r="BE555" s="50"/>
      <c r="BF555" s="50"/>
      <c r="BG555" s="50"/>
      <c r="BH555" s="50"/>
      <c r="BI555" s="50"/>
      <c r="BJ555" s="50"/>
      <c r="BK555" s="50"/>
      <c r="BL555" s="50"/>
      <c r="BM555" s="50"/>
      <c r="BN555" s="50"/>
      <c r="BO555" s="50"/>
      <c r="BP555" s="50"/>
      <c r="BQ555" s="50"/>
      <c r="BR555" s="50"/>
      <c r="BS555" s="50"/>
      <c r="BT555" s="50"/>
      <c r="BU555" s="50"/>
      <c r="BV555" s="50"/>
      <c r="BW555" s="50"/>
      <c r="BX555" s="50"/>
      <c r="BY555" s="50"/>
      <c r="BZ555" s="50"/>
      <c r="CA555" s="50"/>
      <c r="CB555" s="50"/>
      <c r="CC555" s="50"/>
      <c r="CD555" s="52"/>
      <c r="CE555" s="50"/>
      <c r="CF555" s="50"/>
      <c r="CG555" s="50"/>
      <c r="CH555" s="50"/>
      <c r="CI555" s="50"/>
      <c r="CJ555" s="50"/>
      <c r="CK555" s="50"/>
      <c r="CL555" s="50"/>
      <c r="CM555" s="50"/>
      <c r="CN555" s="50"/>
      <c r="CO555" s="50"/>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c r="FF555" s="3"/>
      <c r="FG555" s="3"/>
      <c r="FH555" s="3"/>
      <c r="FI555" s="3"/>
      <c r="FJ555" s="3"/>
      <c r="FK555" s="3"/>
      <c r="FL555" s="3"/>
      <c r="FM555" s="3"/>
      <c r="FN555" s="3"/>
      <c r="FO555" s="3"/>
      <c r="FP555" s="3"/>
      <c r="FQ555" s="3"/>
      <c r="FR555" s="3"/>
      <c r="FS555" s="3"/>
      <c r="FT555" s="3"/>
      <c r="FU555" s="3"/>
      <c r="FV555" s="3"/>
      <c r="FW555" s="3"/>
      <c r="FX555" s="3"/>
      <c r="FY555" s="3"/>
      <c r="FZ555" s="3"/>
      <c r="GA555" s="3"/>
      <c r="GB555" s="3"/>
      <c r="GC555" s="3"/>
      <c r="GD555" s="3"/>
      <c r="GE555" s="3"/>
      <c r="GF555" s="3"/>
      <c r="GG555" s="3"/>
      <c r="GH555" s="3"/>
      <c r="GI555" s="3"/>
      <c r="GJ555" s="3"/>
      <c r="GK555" s="3"/>
      <c r="GL555" s="3"/>
      <c r="GM555" s="3"/>
      <c r="GN555" s="3"/>
      <c r="GO555" s="3"/>
      <c r="GP555" s="3"/>
      <c r="GQ555" s="3"/>
      <c r="GR555" s="3"/>
      <c r="GS555" s="3"/>
      <c r="GT555" s="3"/>
      <c r="GU555" s="3"/>
      <c r="GV555" s="3"/>
      <c r="GW555" s="3"/>
      <c r="GX555" s="3"/>
      <c r="GY555" s="3"/>
      <c r="GZ555" s="3"/>
      <c r="HA555" s="3"/>
      <c r="HB555" s="3"/>
    </row>
    <row r="556" spans="1:210" ht="15.75" customHeight="1">
      <c r="A556" s="50"/>
      <c r="B556" s="50"/>
      <c r="C556" s="50"/>
      <c r="D556" s="50"/>
      <c r="E556" s="50"/>
      <c r="F556" s="50"/>
      <c r="G556" s="51"/>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c r="AR556" s="50"/>
      <c r="AS556" s="50"/>
      <c r="AT556" s="50"/>
      <c r="AU556" s="50"/>
      <c r="AV556" s="50"/>
      <c r="AW556" s="50"/>
      <c r="AX556" s="50"/>
      <c r="AY556" s="50"/>
      <c r="AZ556" s="50"/>
      <c r="BA556" s="50"/>
      <c r="BB556" s="50"/>
      <c r="BC556" s="50"/>
      <c r="BD556" s="50"/>
      <c r="BE556" s="50"/>
      <c r="BF556" s="50"/>
      <c r="BG556" s="50"/>
      <c r="BH556" s="50"/>
      <c r="BI556" s="50"/>
      <c r="BJ556" s="50"/>
      <c r="BK556" s="50"/>
      <c r="BL556" s="50"/>
      <c r="BM556" s="50"/>
      <c r="BN556" s="50"/>
      <c r="BO556" s="50"/>
      <c r="BP556" s="50"/>
      <c r="BQ556" s="50"/>
      <c r="BR556" s="50"/>
      <c r="BS556" s="50"/>
      <c r="BT556" s="50"/>
      <c r="BU556" s="50"/>
      <c r="BV556" s="50"/>
      <c r="BW556" s="50"/>
      <c r="BX556" s="50"/>
      <c r="BY556" s="50"/>
      <c r="BZ556" s="50"/>
      <c r="CA556" s="50"/>
      <c r="CB556" s="50"/>
      <c r="CC556" s="50"/>
      <c r="CD556" s="52"/>
      <c r="CE556" s="50"/>
      <c r="CF556" s="50"/>
      <c r="CG556" s="50"/>
      <c r="CH556" s="50"/>
      <c r="CI556" s="50"/>
      <c r="CJ556" s="50"/>
      <c r="CK556" s="50"/>
      <c r="CL556" s="50"/>
      <c r="CM556" s="50"/>
      <c r="CN556" s="50"/>
      <c r="CO556" s="50"/>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c r="FF556" s="3"/>
      <c r="FG556" s="3"/>
      <c r="FH556" s="3"/>
      <c r="FI556" s="3"/>
      <c r="FJ556" s="3"/>
      <c r="FK556" s="3"/>
      <c r="FL556" s="3"/>
      <c r="FM556" s="3"/>
      <c r="FN556" s="3"/>
      <c r="FO556" s="3"/>
      <c r="FP556" s="3"/>
      <c r="FQ556" s="3"/>
      <c r="FR556" s="3"/>
      <c r="FS556" s="3"/>
      <c r="FT556" s="3"/>
      <c r="FU556" s="3"/>
      <c r="FV556" s="3"/>
      <c r="FW556" s="3"/>
      <c r="FX556" s="3"/>
      <c r="FY556" s="3"/>
      <c r="FZ556" s="3"/>
      <c r="GA556" s="3"/>
      <c r="GB556" s="3"/>
      <c r="GC556" s="3"/>
      <c r="GD556" s="3"/>
      <c r="GE556" s="3"/>
      <c r="GF556" s="3"/>
      <c r="GG556" s="3"/>
      <c r="GH556" s="3"/>
      <c r="GI556" s="3"/>
      <c r="GJ556" s="3"/>
      <c r="GK556" s="3"/>
      <c r="GL556" s="3"/>
      <c r="GM556" s="3"/>
      <c r="GN556" s="3"/>
      <c r="GO556" s="3"/>
      <c r="GP556" s="3"/>
      <c r="GQ556" s="3"/>
      <c r="GR556" s="3"/>
      <c r="GS556" s="3"/>
      <c r="GT556" s="3"/>
      <c r="GU556" s="3"/>
      <c r="GV556" s="3"/>
      <c r="GW556" s="3"/>
      <c r="GX556" s="3"/>
      <c r="GY556" s="3"/>
      <c r="GZ556" s="3"/>
      <c r="HA556" s="3"/>
      <c r="HB556" s="3"/>
    </row>
    <row r="557" spans="1:210" ht="15.75" customHeight="1">
      <c r="A557" s="50"/>
      <c r="B557" s="50"/>
      <c r="C557" s="50"/>
      <c r="D557" s="50"/>
      <c r="E557" s="50"/>
      <c r="F557" s="50"/>
      <c r="G557" s="51"/>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c r="AR557" s="50"/>
      <c r="AS557" s="50"/>
      <c r="AT557" s="50"/>
      <c r="AU557" s="50"/>
      <c r="AV557" s="50"/>
      <c r="AW557" s="50"/>
      <c r="AX557" s="50"/>
      <c r="AY557" s="50"/>
      <c r="AZ557" s="50"/>
      <c r="BA557" s="50"/>
      <c r="BB557" s="50"/>
      <c r="BC557" s="50"/>
      <c r="BD557" s="50"/>
      <c r="BE557" s="50"/>
      <c r="BF557" s="50"/>
      <c r="BG557" s="50"/>
      <c r="BH557" s="50"/>
      <c r="BI557" s="50"/>
      <c r="BJ557" s="50"/>
      <c r="BK557" s="50"/>
      <c r="BL557" s="50"/>
      <c r="BM557" s="50"/>
      <c r="BN557" s="50"/>
      <c r="BO557" s="50"/>
      <c r="BP557" s="50"/>
      <c r="BQ557" s="50"/>
      <c r="BR557" s="50"/>
      <c r="BS557" s="50"/>
      <c r="BT557" s="50"/>
      <c r="BU557" s="50"/>
      <c r="BV557" s="50"/>
      <c r="BW557" s="50"/>
      <c r="BX557" s="50"/>
      <c r="BY557" s="50"/>
      <c r="BZ557" s="50"/>
      <c r="CA557" s="50"/>
      <c r="CB557" s="50"/>
      <c r="CC557" s="50"/>
      <c r="CD557" s="52"/>
      <c r="CE557" s="50"/>
      <c r="CF557" s="50"/>
      <c r="CG557" s="50"/>
      <c r="CH557" s="50"/>
      <c r="CI557" s="50"/>
      <c r="CJ557" s="50"/>
      <c r="CK557" s="50"/>
      <c r="CL557" s="50"/>
      <c r="CM557" s="50"/>
      <c r="CN557" s="50"/>
      <c r="CO557" s="50"/>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c r="FF557" s="3"/>
      <c r="FG557" s="3"/>
      <c r="FH557" s="3"/>
      <c r="FI557" s="3"/>
      <c r="FJ557" s="3"/>
      <c r="FK557" s="3"/>
      <c r="FL557" s="3"/>
      <c r="FM557" s="3"/>
      <c r="FN557" s="3"/>
      <c r="FO557" s="3"/>
      <c r="FP557" s="3"/>
      <c r="FQ557" s="3"/>
      <c r="FR557" s="3"/>
      <c r="FS557" s="3"/>
      <c r="FT557" s="3"/>
      <c r="FU557" s="3"/>
      <c r="FV557" s="3"/>
      <c r="FW557" s="3"/>
      <c r="FX557" s="3"/>
      <c r="FY557" s="3"/>
      <c r="FZ557" s="3"/>
      <c r="GA557" s="3"/>
      <c r="GB557" s="3"/>
      <c r="GC557" s="3"/>
      <c r="GD557" s="3"/>
      <c r="GE557" s="3"/>
      <c r="GF557" s="3"/>
      <c r="GG557" s="3"/>
      <c r="GH557" s="3"/>
      <c r="GI557" s="3"/>
      <c r="GJ557" s="3"/>
      <c r="GK557" s="3"/>
      <c r="GL557" s="3"/>
      <c r="GM557" s="3"/>
      <c r="GN557" s="3"/>
      <c r="GO557" s="3"/>
      <c r="GP557" s="3"/>
      <c r="GQ557" s="3"/>
      <c r="GR557" s="3"/>
      <c r="GS557" s="3"/>
      <c r="GT557" s="3"/>
      <c r="GU557" s="3"/>
      <c r="GV557" s="3"/>
      <c r="GW557" s="3"/>
      <c r="GX557" s="3"/>
      <c r="GY557" s="3"/>
      <c r="GZ557" s="3"/>
      <c r="HA557" s="3"/>
      <c r="HB557" s="3"/>
    </row>
    <row r="558" spans="1:210" ht="15.75" customHeight="1">
      <c r="A558" s="50"/>
      <c r="B558" s="50"/>
      <c r="C558" s="50"/>
      <c r="D558" s="50"/>
      <c r="E558" s="50"/>
      <c r="F558" s="50"/>
      <c r="G558" s="51"/>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c r="AR558" s="50"/>
      <c r="AS558" s="50"/>
      <c r="AT558" s="50"/>
      <c r="AU558" s="50"/>
      <c r="AV558" s="50"/>
      <c r="AW558" s="50"/>
      <c r="AX558" s="50"/>
      <c r="AY558" s="50"/>
      <c r="AZ558" s="50"/>
      <c r="BA558" s="50"/>
      <c r="BB558" s="50"/>
      <c r="BC558" s="50"/>
      <c r="BD558" s="50"/>
      <c r="BE558" s="50"/>
      <c r="BF558" s="50"/>
      <c r="BG558" s="50"/>
      <c r="BH558" s="50"/>
      <c r="BI558" s="50"/>
      <c r="BJ558" s="50"/>
      <c r="BK558" s="50"/>
      <c r="BL558" s="50"/>
      <c r="BM558" s="50"/>
      <c r="BN558" s="50"/>
      <c r="BO558" s="50"/>
      <c r="BP558" s="50"/>
      <c r="BQ558" s="50"/>
      <c r="BR558" s="50"/>
      <c r="BS558" s="50"/>
      <c r="BT558" s="50"/>
      <c r="BU558" s="50"/>
      <c r="BV558" s="50"/>
      <c r="BW558" s="50"/>
      <c r="BX558" s="50"/>
      <c r="BY558" s="50"/>
      <c r="BZ558" s="50"/>
      <c r="CA558" s="50"/>
      <c r="CB558" s="50"/>
      <c r="CC558" s="50"/>
      <c r="CD558" s="52"/>
      <c r="CE558" s="50"/>
      <c r="CF558" s="50"/>
      <c r="CG558" s="50"/>
      <c r="CH558" s="50"/>
      <c r="CI558" s="50"/>
      <c r="CJ558" s="50"/>
      <c r="CK558" s="50"/>
      <c r="CL558" s="50"/>
      <c r="CM558" s="50"/>
      <c r="CN558" s="50"/>
      <c r="CO558" s="50"/>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c r="FF558" s="3"/>
      <c r="FG558" s="3"/>
      <c r="FH558" s="3"/>
      <c r="FI558" s="3"/>
      <c r="FJ558" s="3"/>
      <c r="FK558" s="3"/>
      <c r="FL558" s="3"/>
      <c r="FM558" s="3"/>
      <c r="FN558" s="3"/>
      <c r="FO558" s="3"/>
      <c r="FP558" s="3"/>
      <c r="FQ558" s="3"/>
      <c r="FR558" s="3"/>
      <c r="FS558" s="3"/>
      <c r="FT558" s="3"/>
      <c r="FU558" s="3"/>
      <c r="FV558" s="3"/>
      <c r="FW558" s="3"/>
      <c r="FX558" s="3"/>
      <c r="FY558" s="3"/>
      <c r="FZ558" s="3"/>
      <c r="GA558" s="3"/>
      <c r="GB558" s="3"/>
      <c r="GC558" s="3"/>
      <c r="GD558" s="3"/>
      <c r="GE558" s="3"/>
      <c r="GF558" s="3"/>
      <c r="GG558" s="3"/>
      <c r="GH558" s="3"/>
      <c r="GI558" s="3"/>
      <c r="GJ558" s="3"/>
      <c r="GK558" s="3"/>
      <c r="GL558" s="3"/>
      <c r="GM558" s="3"/>
      <c r="GN558" s="3"/>
      <c r="GO558" s="3"/>
      <c r="GP558" s="3"/>
      <c r="GQ558" s="3"/>
      <c r="GR558" s="3"/>
      <c r="GS558" s="3"/>
      <c r="GT558" s="3"/>
      <c r="GU558" s="3"/>
      <c r="GV558" s="3"/>
      <c r="GW558" s="3"/>
      <c r="GX558" s="3"/>
      <c r="GY558" s="3"/>
      <c r="GZ558" s="3"/>
      <c r="HA558" s="3"/>
      <c r="HB558" s="3"/>
    </row>
    <row r="559" spans="1:210" ht="15.75" customHeight="1">
      <c r="A559" s="50"/>
      <c r="B559" s="50"/>
      <c r="C559" s="50"/>
      <c r="D559" s="50"/>
      <c r="E559" s="50"/>
      <c r="F559" s="50"/>
      <c r="G559" s="51"/>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c r="AR559" s="50"/>
      <c r="AS559" s="50"/>
      <c r="AT559" s="50"/>
      <c r="AU559" s="50"/>
      <c r="AV559" s="50"/>
      <c r="AW559" s="50"/>
      <c r="AX559" s="50"/>
      <c r="AY559" s="50"/>
      <c r="AZ559" s="50"/>
      <c r="BA559" s="50"/>
      <c r="BB559" s="50"/>
      <c r="BC559" s="50"/>
      <c r="BD559" s="50"/>
      <c r="BE559" s="50"/>
      <c r="BF559" s="50"/>
      <c r="BG559" s="50"/>
      <c r="BH559" s="50"/>
      <c r="BI559" s="50"/>
      <c r="BJ559" s="50"/>
      <c r="BK559" s="50"/>
      <c r="BL559" s="50"/>
      <c r="BM559" s="50"/>
      <c r="BN559" s="50"/>
      <c r="BO559" s="50"/>
      <c r="BP559" s="50"/>
      <c r="BQ559" s="50"/>
      <c r="BR559" s="50"/>
      <c r="BS559" s="50"/>
      <c r="BT559" s="50"/>
      <c r="BU559" s="50"/>
      <c r="BV559" s="50"/>
      <c r="BW559" s="50"/>
      <c r="BX559" s="50"/>
      <c r="BY559" s="50"/>
      <c r="BZ559" s="50"/>
      <c r="CA559" s="50"/>
      <c r="CB559" s="50"/>
      <c r="CC559" s="50"/>
      <c r="CD559" s="52"/>
      <c r="CE559" s="50"/>
      <c r="CF559" s="50"/>
      <c r="CG559" s="50"/>
      <c r="CH559" s="50"/>
      <c r="CI559" s="50"/>
      <c r="CJ559" s="50"/>
      <c r="CK559" s="50"/>
      <c r="CL559" s="50"/>
      <c r="CM559" s="50"/>
      <c r="CN559" s="50"/>
      <c r="CO559" s="50"/>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c r="FF559" s="3"/>
      <c r="FG559" s="3"/>
      <c r="FH559" s="3"/>
      <c r="FI559" s="3"/>
      <c r="FJ559" s="3"/>
      <c r="FK559" s="3"/>
      <c r="FL559" s="3"/>
      <c r="FM559" s="3"/>
      <c r="FN559" s="3"/>
      <c r="FO559" s="3"/>
      <c r="FP559" s="3"/>
      <c r="FQ559" s="3"/>
      <c r="FR559" s="3"/>
      <c r="FS559" s="3"/>
      <c r="FT559" s="3"/>
      <c r="FU559" s="3"/>
      <c r="FV559" s="3"/>
      <c r="FW559" s="3"/>
      <c r="FX559" s="3"/>
      <c r="FY559" s="3"/>
      <c r="FZ559" s="3"/>
      <c r="GA559" s="3"/>
      <c r="GB559" s="3"/>
      <c r="GC559" s="3"/>
      <c r="GD559" s="3"/>
      <c r="GE559" s="3"/>
      <c r="GF559" s="3"/>
      <c r="GG559" s="3"/>
      <c r="GH559" s="3"/>
      <c r="GI559" s="3"/>
      <c r="GJ559" s="3"/>
      <c r="GK559" s="3"/>
      <c r="GL559" s="3"/>
      <c r="GM559" s="3"/>
      <c r="GN559" s="3"/>
      <c r="GO559" s="3"/>
      <c r="GP559" s="3"/>
      <c r="GQ559" s="3"/>
      <c r="GR559" s="3"/>
      <c r="GS559" s="3"/>
      <c r="GT559" s="3"/>
      <c r="GU559" s="3"/>
      <c r="GV559" s="3"/>
      <c r="GW559" s="3"/>
      <c r="GX559" s="3"/>
      <c r="GY559" s="3"/>
      <c r="GZ559" s="3"/>
      <c r="HA559" s="3"/>
      <c r="HB559" s="3"/>
    </row>
    <row r="560" spans="1:210" ht="15.75" customHeight="1">
      <c r="A560" s="50"/>
      <c r="B560" s="50"/>
      <c r="C560" s="50"/>
      <c r="D560" s="50"/>
      <c r="E560" s="50"/>
      <c r="F560" s="50"/>
      <c r="G560" s="51"/>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c r="AR560" s="50"/>
      <c r="AS560" s="50"/>
      <c r="AT560" s="50"/>
      <c r="AU560" s="50"/>
      <c r="AV560" s="50"/>
      <c r="AW560" s="50"/>
      <c r="AX560" s="50"/>
      <c r="AY560" s="50"/>
      <c r="AZ560" s="50"/>
      <c r="BA560" s="50"/>
      <c r="BB560" s="50"/>
      <c r="BC560" s="50"/>
      <c r="BD560" s="50"/>
      <c r="BE560" s="50"/>
      <c r="BF560" s="50"/>
      <c r="BG560" s="50"/>
      <c r="BH560" s="50"/>
      <c r="BI560" s="50"/>
      <c r="BJ560" s="50"/>
      <c r="BK560" s="50"/>
      <c r="BL560" s="50"/>
      <c r="BM560" s="50"/>
      <c r="BN560" s="50"/>
      <c r="BO560" s="50"/>
      <c r="BP560" s="50"/>
      <c r="BQ560" s="50"/>
      <c r="BR560" s="50"/>
      <c r="BS560" s="50"/>
      <c r="BT560" s="50"/>
      <c r="BU560" s="50"/>
      <c r="BV560" s="50"/>
      <c r="BW560" s="50"/>
      <c r="BX560" s="50"/>
      <c r="BY560" s="50"/>
      <c r="BZ560" s="50"/>
      <c r="CA560" s="50"/>
      <c r="CB560" s="50"/>
      <c r="CC560" s="50"/>
      <c r="CD560" s="52"/>
      <c r="CE560" s="50"/>
      <c r="CF560" s="50"/>
      <c r="CG560" s="50"/>
      <c r="CH560" s="50"/>
      <c r="CI560" s="50"/>
      <c r="CJ560" s="50"/>
      <c r="CK560" s="50"/>
      <c r="CL560" s="50"/>
      <c r="CM560" s="50"/>
      <c r="CN560" s="50"/>
      <c r="CO560" s="50"/>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c r="FF560" s="3"/>
      <c r="FG560" s="3"/>
      <c r="FH560" s="3"/>
      <c r="FI560" s="3"/>
      <c r="FJ560" s="3"/>
      <c r="FK560" s="3"/>
      <c r="FL560" s="3"/>
      <c r="FM560" s="3"/>
      <c r="FN560" s="3"/>
      <c r="FO560" s="3"/>
      <c r="FP560" s="3"/>
      <c r="FQ560" s="3"/>
      <c r="FR560" s="3"/>
      <c r="FS560" s="3"/>
      <c r="FT560" s="3"/>
      <c r="FU560" s="3"/>
      <c r="FV560" s="3"/>
      <c r="FW560" s="3"/>
      <c r="FX560" s="3"/>
      <c r="FY560" s="3"/>
      <c r="FZ560" s="3"/>
      <c r="GA560" s="3"/>
      <c r="GB560" s="3"/>
      <c r="GC560" s="3"/>
      <c r="GD560" s="3"/>
      <c r="GE560" s="3"/>
      <c r="GF560" s="3"/>
      <c r="GG560" s="3"/>
      <c r="GH560" s="3"/>
      <c r="GI560" s="3"/>
      <c r="GJ560" s="3"/>
      <c r="GK560" s="3"/>
      <c r="GL560" s="3"/>
      <c r="GM560" s="3"/>
      <c r="GN560" s="3"/>
      <c r="GO560" s="3"/>
      <c r="GP560" s="3"/>
      <c r="GQ560" s="3"/>
      <c r="GR560" s="3"/>
      <c r="GS560" s="3"/>
      <c r="GT560" s="3"/>
      <c r="GU560" s="3"/>
      <c r="GV560" s="3"/>
      <c r="GW560" s="3"/>
      <c r="GX560" s="3"/>
      <c r="GY560" s="3"/>
      <c r="GZ560" s="3"/>
      <c r="HA560" s="3"/>
      <c r="HB560" s="3"/>
    </row>
    <row r="561" spans="1:210" ht="15.75" customHeight="1">
      <c r="A561" s="50"/>
      <c r="B561" s="50"/>
      <c r="C561" s="50"/>
      <c r="D561" s="50"/>
      <c r="E561" s="50"/>
      <c r="F561" s="50"/>
      <c r="G561" s="51"/>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c r="AR561" s="50"/>
      <c r="AS561" s="50"/>
      <c r="AT561" s="50"/>
      <c r="AU561" s="50"/>
      <c r="AV561" s="50"/>
      <c r="AW561" s="50"/>
      <c r="AX561" s="50"/>
      <c r="AY561" s="50"/>
      <c r="AZ561" s="50"/>
      <c r="BA561" s="50"/>
      <c r="BB561" s="50"/>
      <c r="BC561" s="50"/>
      <c r="BD561" s="50"/>
      <c r="BE561" s="50"/>
      <c r="BF561" s="50"/>
      <c r="BG561" s="50"/>
      <c r="BH561" s="50"/>
      <c r="BI561" s="50"/>
      <c r="BJ561" s="50"/>
      <c r="BK561" s="50"/>
      <c r="BL561" s="50"/>
      <c r="BM561" s="50"/>
      <c r="BN561" s="50"/>
      <c r="BO561" s="50"/>
      <c r="BP561" s="50"/>
      <c r="BQ561" s="50"/>
      <c r="BR561" s="50"/>
      <c r="BS561" s="50"/>
      <c r="BT561" s="50"/>
      <c r="BU561" s="50"/>
      <c r="BV561" s="50"/>
      <c r="BW561" s="50"/>
      <c r="BX561" s="50"/>
      <c r="BY561" s="50"/>
      <c r="BZ561" s="50"/>
      <c r="CA561" s="50"/>
      <c r="CB561" s="50"/>
      <c r="CC561" s="50"/>
      <c r="CD561" s="52"/>
      <c r="CE561" s="50"/>
      <c r="CF561" s="50"/>
      <c r="CG561" s="50"/>
      <c r="CH561" s="50"/>
      <c r="CI561" s="50"/>
      <c r="CJ561" s="50"/>
      <c r="CK561" s="50"/>
      <c r="CL561" s="50"/>
      <c r="CM561" s="50"/>
      <c r="CN561" s="50"/>
      <c r="CO561" s="50"/>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c r="FF561" s="3"/>
      <c r="FG561" s="3"/>
      <c r="FH561" s="3"/>
      <c r="FI561" s="3"/>
      <c r="FJ561" s="3"/>
      <c r="FK561" s="3"/>
      <c r="FL561" s="3"/>
      <c r="FM561" s="3"/>
      <c r="FN561" s="3"/>
      <c r="FO561" s="3"/>
      <c r="FP561" s="3"/>
      <c r="FQ561" s="3"/>
      <c r="FR561" s="3"/>
      <c r="FS561" s="3"/>
      <c r="FT561" s="3"/>
      <c r="FU561" s="3"/>
      <c r="FV561" s="3"/>
      <c r="FW561" s="3"/>
      <c r="FX561" s="3"/>
      <c r="FY561" s="3"/>
      <c r="FZ561" s="3"/>
      <c r="GA561" s="3"/>
      <c r="GB561" s="3"/>
      <c r="GC561" s="3"/>
      <c r="GD561" s="3"/>
      <c r="GE561" s="3"/>
      <c r="GF561" s="3"/>
      <c r="GG561" s="3"/>
      <c r="GH561" s="3"/>
      <c r="GI561" s="3"/>
      <c r="GJ561" s="3"/>
      <c r="GK561" s="3"/>
      <c r="GL561" s="3"/>
      <c r="GM561" s="3"/>
      <c r="GN561" s="3"/>
      <c r="GO561" s="3"/>
      <c r="GP561" s="3"/>
      <c r="GQ561" s="3"/>
      <c r="GR561" s="3"/>
      <c r="GS561" s="3"/>
      <c r="GT561" s="3"/>
      <c r="GU561" s="3"/>
      <c r="GV561" s="3"/>
      <c r="GW561" s="3"/>
      <c r="GX561" s="3"/>
      <c r="GY561" s="3"/>
      <c r="GZ561" s="3"/>
      <c r="HA561" s="3"/>
      <c r="HB561" s="3"/>
    </row>
    <row r="562" spans="1:210" ht="15.75" customHeight="1">
      <c r="A562" s="50"/>
      <c r="B562" s="50"/>
      <c r="C562" s="50"/>
      <c r="D562" s="50"/>
      <c r="E562" s="50"/>
      <c r="F562" s="50"/>
      <c r="G562" s="51"/>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c r="AR562" s="50"/>
      <c r="AS562" s="50"/>
      <c r="AT562" s="50"/>
      <c r="AU562" s="50"/>
      <c r="AV562" s="50"/>
      <c r="AW562" s="50"/>
      <c r="AX562" s="50"/>
      <c r="AY562" s="50"/>
      <c r="AZ562" s="50"/>
      <c r="BA562" s="50"/>
      <c r="BB562" s="50"/>
      <c r="BC562" s="50"/>
      <c r="BD562" s="50"/>
      <c r="BE562" s="50"/>
      <c r="BF562" s="50"/>
      <c r="BG562" s="50"/>
      <c r="BH562" s="50"/>
      <c r="BI562" s="50"/>
      <c r="BJ562" s="50"/>
      <c r="BK562" s="50"/>
      <c r="BL562" s="50"/>
      <c r="BM562" s="50"/>
      <c r="BN562" s="50"/>
      <c r="BO562" s="50"/>
      <c r="BP562" s="50"/>
      <c r="BQ562" s="50"/>
      <c r="BR562" s="50"/>
      <c r="BS562" s="50"/>
      <c r="BT562" s="50"/>
      <c r="BU562" s="50"/>
      <c r="BV562" s="50"/>
      <c r="BW562" s="50"/>
      <c r="BX562" s="50"/>
      <c r="BY562" s="50"/>
      <c r="BZ562" s="50"/>
      <c r="CA562" s="50"/>
      <c r="CB562" s="50"/>
      <c r="CC562" s="50"/>
      <c r="CD562" s="52"/>
      <c r="CE562" s="50"/>
      <c r="CF562" s="50"/>
      <c r="CG562" s="50"/>
      <c r="CH562" s="50"/>
      <c r="CI562" s="50"/>
      <c r="CJ562" s="50"/>
      <c r="CK562" s="50"/>
      <c r="CL562" s="50"/>
      <c r="CM562" s="50"/>
      <c r="CN562" s="50"/>
      <c r="CO562" s="50"/>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c r="FF562" s="3"/>
      <c r="FG562" s="3"/>
      <c r="FH562" s="3"/>
      <c r="FI562" s="3"/>
      <c r="FJ562" s="3"/>
      <c r="FK562" s="3"/>
      <c r="FL562" s="3"/>
      <c r="FM562" s="3"/>
      <c r="FN562" s="3"/>
      <c r="FO562" s="3"/>
      <c r="FP562" s="3"/>
      <c r="FQ562" s="3"/>
      <c r="FR562" s="3"/>
      <c r="FS562" s="3"/>
      <c r="FT562" s="3"/>
      <c r="FU562" s="3"/>
      <c r="FV562" s="3"/>
      <c r="FW562" s="3"/>
      <c r="FX562" s="3"/>
      <c r="FY562" s="3"/>
      <c r="FZ562" s="3"/>
      <c r="GA562" s="3"/>
      <c r="GB562" s="3"/>
      <c r="GC562" s="3"/>
      <c r="GD562" s="3"/>
      <c r="GE562" s="3"/>
      <c r="GF562" s="3"/>
      <c r="GG562" s="3"/>
      <c r="GH562" s="3"/>
      <c r="GI562" s="3"/>
      <c r="GJ562" s="3"/>
      <c r="GK562" s="3"/>
      <c r="GL562" s="3"/>
      <c r="GM562" s="3"/>
      <c r="GN562" s="3"/>
      <c r="GO562" s="3"/>
      <c r="GP562" s="3"/>
      <c r="GQ562" s="3"/>
      <c r="GR562" s="3"/>
      <c r="GS562" s="3"/>
      <c r="GT562" s="3"/>
      <c r="GU562" s="3"/>
      <c r="GV562" s="3"/>
      <c r="GW562" s="3"/>
      <c r="GX562" s="3"/>
      <c r="GY562" s="3"/>
      <c r="GZ562" s="3"/>
      <c r="HA562" s="3"/>
      <c r="HB562" s="3"/>
    </row>
    <row r="563" spans="1:210" ht="15.75" customHeight="1">
      <c r="A563" s="50"/>
      <c r="B563" s="50"/>
      <c r="C563" s="50"/>
      <c r="D563" s="50"/>
      <c r="E563" s="50"/>
      <c r="F563" s="50"/>
      <c r="G563" s="51"/>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c r="AR563" s="50"/>
      <c r="AS563" s="50"/>
      <c r="AT563" s="50"/>
      <c r="AU563" s="50"/>
      <c r="AV563" s="50"/>
      <c r="AW563" s="50"/>
      <c r="AX563" s="50"/>
      <c r="AY563" s="50"/>
      <c r="AZ563" s="50"/>
      <c r="BA563" s="50"/>
      <c r="BB563" s="50"/>
      <c r="BC563" s="50"/>
      <c r="BD563" s="50"/>
      <c r="BE563" s="50"/>
      <c r="BF563" s="50"/>
      <c r="BG563" s="50"/>
      <c r="BH563" s="50"/>
      <c r="BI563" s="50"/>
      <c r="BJ563" s="50"/>
      <c r="BK563" s="50"/>
      <c r="BL563" s="50"/>
      <c r="BM563" s="50"/>
      <c r="BN563" s="50"/>
      <c r="BO563" s="50"/>
      <c r="BP563" s="50"/>
      <c r="BQ563" s="50"/>
      <c r="BR563" s="50"/>
      <c r="BS563" s="50"/>
      <c r="BT563" s="50"/>
      <c r="BU563" s="50"/>
      <c r="BV563" s="50"/>
      <c r="BW563" s="50"/>
      <c r="BX563" s="50"/>
      <c r="BY563" s="50"/>
      <c r="BZ563" s="50"/>
      <c r="CA563" s="50"/>
      <c r="CB563" s="50"/>
      <c r="CC563" s="50"/>
      <c r="CD563" s="52"/>
      <c r="CE563" s="50"/>
      <c r="CF563" s="50"/>
      <c r="CG563" s="50"/>
      <c r="CH563" s="50"/>
      <c r="CI563" s="50"/>
      <c r="CJ563" s="50"/>
      <c r="CK563" s="50"/>
      <c r="CL563" s="50"/>
      <c r="CM563" s="50"/>
      <c r="CN563" s="50"/>
      <c r="CO563" s="50"/>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c r="FF563" s="3"/>
      <c r="FG563" s="3"/>
      <c r="FH563" s="3"/>
      <c r="FI563" s="3"/>
      <c r="FJ563" s="3"/>
      <c r="FK563" s="3"/>
      <c r="FL563" s="3"/>
      <c r="FM563" s="3"/>
      <c r="FN563" s="3"/>
      <c r="FO563" s="3"/>
      <c r="FP563" s="3"/>
      <c r="FQ563" s="3"/>
      <c r="FR563" s="3"/>
      <c r="FS563" s="3"/>
      <c r="FT563" s="3"/>
      <c r="FU563" s="3"/>
      <c r="FV563" s="3"/>
      <c r="FW563" s="3"/>
      <c r="FX563" s="3"/>
      <c r="FY563" s="3"/>
      <c r="FZ563" s="3"/>
      <c r="GA563" s="3"/>
      <c r="GB563" s="3"/>
      <c r="GC563" s="3"/>
      <c r="GD563" s="3"/>
      <c r="GE563" s="3"/>
      <c r="GF563" s="3"/>
      <c r="GG563" s="3"/>
      <c r="GH563" s="3"/>
      <c r="GI563" s="3"/>
      <c r="GJ563" s="3"/>
      <c r="GK563" s="3"/>
      <c r="GL563" s="3"/>
      <c r="GM563" s="3"/>
      <c r="GN563" s="3"/>
      <c r="GO563" s="3"/>
      <c r="GP563" s="3"/>
      <c r="GQ563" s="3"/>
      <c r="GR563" s="3"/>
      <c r="GS563" s="3"/>
      <c r="GT563" s="3"/>
      <c r="GU563" s="3"/>
      <c r="GV563" s="3"/>
      <c r="GW563" s="3"/>
      <c r="GX563" s="3"/>
      <c r="GY563" s="3"/>
      <c r="GZ563" s="3"/>
      <c r="HA563" s="3"/>
      <c r="HB563" s="3"/>
    </row>
    <row r="564" spans="1:210" ht="15.75" customHeight="1">
      <c r="A564" s="50"/>
      <c r="B564" s="50"/>
      <c r="C564" s="50"/>
      <c r="D564" s="50"/>
      <c r="E564" s="50"/>
      <c r="F564" s="50"/>
      <c r="G564" s="51"/>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c r="AR564" s="50"/>
      <c r="AS564" s="50"/>
      <c r="AT564" s="50"/>
      <c r="AU564" s="50"/>
      <c r="AV564" s="50"/>
      <c r="AW564" s="50"/>
      <c r="AX564" s="50"/>
      <c r="AY564" s="50"/>
      <c r="AZ564" s="50"/>
      <c r="BA564" s="50"/>
      <c r="BB564" s="50"/>
      <c r="BC564" s="50"/>
      <c r="BD564" s="50"/>
      <c r="BE564" s="50"/>
      <c r="BF564" s="50"/>
      <c r="BG564" s="50"/>
      <c r="BH564" s="50"/>
      <c r="BI564" s="50"/>
      <c r="BJ564" s="50"/>
      <c r="BK564" s="50"/>
      <c r="BL564" s="50"/>
      <c r="BM564" s="50"/>
      <c r="BN564" s="50"/>
      <c r="BO564" s="50"/>
      <c r="BP564" s="50"/>
      <c r="BQ564" s="50"/>
      <c r="BR564" s="50"/>
      <c r="BS564" s="50"/>
      <c r="BT564" s="50"/>
      <c r="BU564" s="50"/>
      <c r="BV564" s="50"/>
      <c r="BW564" s="50"/>
      <c r="BX564" s="50"/>
      <c r="BY564" s="50"/>
      <c r="BZ564" s="50"/>
      <c r="CA564" s="50"/>
      <c r="CB564" s="50"/>
      <c r="CC564" s="50"/>
      <c r="CD564" s="52"/>
      <c r="CE564" s="50"/>
      <c r="CF564" s="50"/>
      <c r="CG564" s="50"/>
      <c r="CH564" s="50"/>
      <c r="CI564" s="50"/>
      <c r="CJ564" s="50"/>
      <c r="CK564" s="50"/>
      <c r="CL564" s="50"/>
      <c r="CM564" s="50"/>
      <c r="CN564" s="50"/>
      <c r="CO564" s="50"/>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c r="FF564" s="3"/>
      <c r="FG564" s="3"/>
      <c r="FH564" s="3"/>
      <c r="FI564" s="3"/>
      <c r="FJ564" s="3"/>
      <c r="FK564" s="3"/>
      <c r="FL564" s="3"/>
      <c r="FM564" s="3"/>
      <c r="FN564" s="3"/>
      <c r="FO564" s="3"/>
      <c r="FP564" s="3"/>
      <c r="FQ564" s="3"/>
      <c r="FR564" s="3"/>
      <c r="FS564" s="3"/>
      <c r="FT564" s="3"/>
      <c r="FU564" s="3"/>
      <c r="FV564" s="3"/>
      <c r="FW564" s="3"/>
      <c r="FX564" s="3"/>
      <c r="FY564" s="3"/>
      <c r="FZ564" s="3"/>
      <c r="GA564" s="3"/>
      <c r="GB564" s="3"/>
      <c r="GC564" s="3"/>
      <c r="GD564" s="3"/>
      <c r="GE564" s="3"/>
      <c r="GF564" s="3"/>
      <c r="GG564" s="3"/>
      <c r="GH564" s="3"/>
      <c r="GI564" s="3"/>
      <c r="GJ564" s="3"/>
      <c r="GK564" s="3"/>
      <c r="GL564" s="3"/>
      <c r="GM564" s="3"/>
      <c r="GN564" s="3"/>
      <c r="GO564" s="3"/>
      <c r="GP564" s="3"/>
      <c r="GQ564" s="3"/>
      <c r="GR564" s="3"/>
      <c r="GS564" s="3"/>
      <c r="GT564" s="3"/>
      <c r="GU564" s="3"/>
      <c r="GV564" s="3"/>
      <c r="GW564" s="3"/>
      <c r="GX564" s="3"/>
      <c r="GY564" s="3"/>
      <c r="GZ564" s="3"/>
      <c r="HA564" s="3"/>
      <c r="HB564" s="3"/>
    </row>
    <row r="565" spans="1:210" ht="15.75" customHeight="1">
      <c r="A565" s="50"/>
      <c r="B565" s="50"/>
      <c r="C565" s="50"/>
      <c r="D565" s="50"/>
      <c r="E565" s="50"/>
      <c r="F565" s="50"/>
      <c r="G565" s="51"/>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c r="AR565" s="50"/>
      <c r="AS565" s="50"/>
      <c r="AT565" s="50"/>
      <c r="AU565" s="50"/>
      <c r="AV565" s="50"/>
      <c r="AW565" s="50"/>
      <c r="AX565" s="50"/>
      <c r="AY565" s="50"/>
      <c r="AZ565" s="50"/>
      <c r="BA565" s="50"/>
      <c r="BB565" s="50"/>
      <c r="BC565" s="50"/>
      <c r="BD565" s="50"/>
      <c r="BE565" s="50"/>
      <c r="BF565" s="50"/>
      <c r="BG565" s="50"/>
      <c r="BH565" s="50"/>
      <c r="BI565" s="50"/>
      <c r="BJ565" s="50"/>
      <c r="BK565" s="50"/>
      <c r="BL565" s="50"/>
      <c r="BM565" s="50"/>
      <c r="BN565" s="50"/>
      <c r="BO565" s="50"/>
      <c r="BP565" s="50"/>
      <c r="BQ565" s="50"/>
      <c r="BR565" s="50"/>
      <c r="BS565" s="50"/>
      <c r="BT565" s="50"/>
      <c r="BU565" s="50"/>
      <c r="BV565" s="50"/>
      <c r="BW565" s="50"/>
      <c r="BX565" s="50"/>
      <c r="BY565" s="50"/>
      <c r="BZ565" s="50"/>
      <c r="CA565" s="50"/>
      <c r="CB565" s="50"/>
      <c r="CC565" s="50"/>
      <c r="CD565" s="52"/>
      <c r="CE565" s="50"/>
      <c r="CF565" s="50"/>
      <c r="CG565" s="50"/>
      <c r="CH565" s="50"/>
      <c r="CI565" s="50"/>
      <c r="CJ565" s="50"/>
      <c r="CK565" s="50"/>
      <c r="CL565" s="50"/>
      <c r="CM565" s="50"/>
      <c r="CN565" s="50"/>
      <c r="CO565" s="50"/>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c r="FF565" s="3"/>
      <c r="FG565" s="3"/>
      <c r="FH565" s="3"/>
      <c r="FI565" s="3"/>
      <c r="FJ565" s="3"/>
      <c r="FK565" s="3"/>
      <c r="FL565" s="3"/>
      <c r="FM565" s="3"/>
      <c r="FN565" s="3"/>
      <c r="FO565" s="3"/>
      <c r="FP565" s="3"/>
      <c r="FQ565" s="3"/>
      <c r="FR565" s="3"/>
      <c r="FS565" s="3"/>
      <c r="FT565" s="3"/>
      <c r="FU565" s="3"/>
      <c r="FV565" s="3"/>
      <c r="FW565" s="3"/>
      <c r="FX565" s="3"/>
      <c r="FY565" s="3"/>
      <c r="FZ565" s="3"/>
      <c r="GA565" s="3"/>
      <c r="GB565" s="3"/>
      <c r="GC565" s="3"/>
      <c r="GD565" s="3"/>
      <c r="GE565" s="3"/>
      <c r="GF565" s="3"/>
      <c r="GG565" s="3"/>
      <c r="GH565" s="3"/>
      <c r="GI565" s="3"/>
      <c r="GJ565" s="3"/>
      <c r="GK565" s="3"/>
      <c r="GL565" s="3"/>
      <c r="GM565" s="3"/>
      <c r="GN565" s="3"/>
      <c r="GO565" s="3"/>
      <c r="GP565" s="3"/>
      <c r="GQ565" s="3"/>
      <c r="GR565" s="3"/>
      <c r="GS565" s="3"/>
      <c r="GT565" s="3"/>
      <c r="GU565" s="3"/>
      <c r="GV565" s="3"/>
      <c r="GW565" s="3"/>
      <c r="GX565" s="3"/>
      <c r="GY565" s="3"/>
      <c r="GZ565" s="3"/>
      <c r="HA565" s="3"/>
      <c r="HB565" s="3"/>
    </row>
    <row r="566" spans="1:210" ht="15.75" customHeight="1">
      <c r="A566" s="50"/>
      <c r="B566" s="50"/>
      <c r="C566" s="50"/>
      <c r="D566" s="50"/>
      <c r="E566" s="50"/>
      <c r="F566" s="50"/>
      <c r="G566" s="51"/>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c r="AR566" s="50"/>
      <c r="AS566" s="50"/>
      <c r="AT566" s="50"/>
      <c r="AU566" s="50"/>
      <c r="AV566" s="50"/>
      <c r="AW566" s="50"/>
      <c r="AX566" s="50"/>
      <c r="AY566" s="50"/>
      <c r="AZ566" s="50"/>
      <c r="BA566" s="50"/>
      <c r="BB566" s="50"/>
      <c r="BC566" s="50"/>
      <c r="BD566" s="50"/>
      <c r="BE566" s="50"/>
      <c r="BF566" s="50"/>
      <c r="BG566" s="50"/>
      <c r="BH566" s="50"/>
      <c r="BI566" s="50"/>
      <c r="BJ566" s="50"/>
      <c r="BK566" s="50"/>
      <c r="BL566" s="50"/>
      <c r="BM566" s="50"/>
      <c r="BN566" s="50"/>
      <c r="BO566" s="50"/>
      <c r="BP566" s="50"/>
      <c r="BQ566" s="50"/>
      <c r="BR566" s="50"/>
      <c r="BS566" s="50"/>
      <c r="BT566" s="50"/>
      <c r="BU566" s="50"/>
      <c r="BV566" s="50"/>
      <c r="BW566" s="50"/>
      <c r="BX566" s="50"/>
      <c r="BY566" s="50"/>
      <c r="BZ566" s="50"/>
      <c r="CA566" s="50"/>
      <c r="CB566" s="50"/>
      <c r="CC566" s="50"/>
      <c r="CD566" s="52"/>
      <c r="CE566" s="50"/>
      <c r="CF566" s="50"/>
      <c r="CG566" s="50"/>
      <c r="CH566" s="50"/>
      <c r="CI566" s="50"/>
      <c r="CJ566" s="50"/>
      <c r="CK566" s="50"/>
      <c r="CL566" s="50"/>
      <c r="CM566" s="50"/>
      <c r="CN566" s="50"/>
      <c r="CO566" s="50"/>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c r="FF566" s="3"/>
      <c r="FG566" s="3"/>
      <c r="FH566" s="3"/>
      <c r="FI566" s="3"/>
      <c r="FJ566" s="3"/>
      <c r="FK566" s="3"/>
      <c r="FL566" s="3"/>
      <c r="FM566" s="3"/>
      <c r="FN566" s="3"/>
      <c r="FO566" s="3"/>
      <c r="FP566" s="3"/>
      <c r="FQ566" s="3"/>
      <c r="FR566" s="3"/>
      <c r="FS566" s="3"/>
      <c r="FT566" s="3"/>
      <c r="FU566" s="3"/>
      <c r="FV566" s="3"/>
      <c r="FW566" s="3"/>
      <c r="FX566" s="3"/>
      <c r="FY566" s="3"/>
      <c r="FZ566" s="3"/>
      <c r="GA566" s="3"/>
      <c r="GB566" s="3"/>
      <c r="GC566" s="3"/>
      <c r="GD566" s="3"/>
      <c r="GE566" s="3"/>
      <c r="GF566" s="3"/>
      <c r="GG566" s="3"/>
      <c r="GH566" s="3"/>
      <c r="GI566" s="3"/>
      <c r="GJ566" s="3"/>
      <c r="GK566" s="3"/>
      <c r="GL566" s="3"/>
      <c r="GM566" s="3"/>
      <c r="GN566" s="3"/>
      <c r="GO566" s="3"/>
      <c r="GP566" s="3"/>
      <c r="GQ566" s="3"/>
      <c r="GR566" s="3"/>
      <c r="GS566" s="3"/>
      <c r="GT566" s="3"/>
      <c r="GU566" s="3"/>
      <c r="GV566" s="3"/>
      <c r="GW566" s="3"/>
      <c r="GX566" s="3"/>
      <c r="GY566" s="3"/>
      <c r="GZ566" s="3"/>
      <c r="HA566" s="3"/>
      <c r="HB566" s="3"/>
    </row>
    <row r="567" spans="1:210" ht="15.75" customHeight="1">
      <c r="A567" s="50"/>
      <c r="B567" s="50"/>
      <c r="C567" s="50"/>
      <c r="D567" s="50"/>
      <c r="E567" s="50"/>
      <c r="F567" s="50"/>
      <c r="G567" s="51"/>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c r="AV567" s="50"/>
      <c r="AW567" s="50"/>
      <c r="AX567" s="50"/>
      <c r="AY567" s="50"/>
      <c r="AZ567" s="50"/>
      <c r="BA567" s="50"/>
      <c r="BB567" s="50"/>
      <c r="BC567" s="50"/>
      <c r="BD567" s="50"/>
      <c r="BE567" s="50"/>
      <c r="BF567" s="50"/>
      <c r="BG567" s="50"/>
      <c r="BH567" s="50"/>
      <c r="BI567" s="50"/>
      <c r="BJ567" s="50"/>
      <c r="BK567" s="50"/>
      <c r="BL567" s="50"/>
      <c r="BM567" s="50"/>
      <c r="BN567" s="50"/>
      <c r="BO567" s="50"/>
      <c r="BP567" s="50"/>
      <c r="BQ567" s="50"/>
      <c r="BR567" s="50"/>
      <c r="BS567" s="50"/>
      <c r="BT567" s="50"/>
      <c r="BU567" s="50"/>
      <c r="BV567" s="50"/>
      <c r="BW567" s="50"/>
      <c r="BX567" s="50"/>
      <c r="BY567" s="50"/>
      <c r="BZ567" s="50"/>
      <c r="CA567" s="50"/>
      <c r="CB567" s="50"/>
      <c r="CC567" s="50"/>
      <c r="CD567" s="52"/>
      <c r="CE567" s="50"/>
      <c r="CF567" s="50"/>
      <c r="CG567" s="50"/>
      <c r="CH567" s="50"/>
      <c r="CI567" s="50"/>
      <c r="CJ567" s="50"/>
      <c r="CK567" s="50"/>
      <c r="CL567" s="50"/>
      <c r="CM567" s="50"/>
      <c r="CN567" s="50"/>
      <c r="CO567" s="50"/>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c r="FF567" s="3"/>
      <c r="FG567" s="3"/>
      <c r="FH567" s="3"/>
      <c r="FI567" s="3"/>
      <c r="FJ567" s="3"/>
      <c r="FK567" s="3"/>
      <c r="FL567" s="3"/>
      <c r="FM567" s="3"/>
      <c r="FN567" s="3"/>
      <c r="FO567" s="3"/>
      <c r="FP567" s="3"/>
      <c r="FQ567" s="3"/>
      <c r="FR567" s="3"/>
      <c r="FS567" s="3"/>
      <c r="FT567" s="3"/>
      <c r="FU567" s="3"/>
      <c r="FV567" s="3"/>
      <c r="FW567" s="3"/>
      <c r="FX567" s="3"/>
      <c r="FY567" s="3"/>
      <c r="FZ567" s="3"/>
      <c r="GA567" s="3"/>
      <c r="GB567" s="3"/>
      <c r="GC567" s="3"/>
      <c r="GD567" s="3"/>
      <c r="GE567" s="3"/>
      <c r="GF567" s="3"/>
      <c r="GG567" s="3"/>
      <c r="GH567" s="3"/>
      <c r="GI567" s="3"/>
      <c r="GJ567" s="3"/>
      <c r="GK567" s="3"/>
      <c r="GL567" s="3"/>
      <c r="GM567" s="3"/>
      <c r="GN567" s="3"/>
      <c r="GO567" s="3"/>
      <c r="GP567" s="3"/>
      <c r="GQ567" s="3"/>
      <c r="GR567" s="3"/>
      <c r="GS567" s="3"/>
      <c r="GT567" s="3"/>
      <c r="GU567" s="3"/>
      <c r="GV567" s="3"/>
      <c r="GW567" s="3"/>
      <c r="GX567" s="3"/>
      <c r="GY567" s="3"/>
      <c r="GZ567" s="3"/>
      <c r="HA567" s="3"/>
      <c r="HB567" s="3"/>
    </row>
    <row r="568" spans="1:210" ht="15.75" customHeight="1">
      <c r="A568" s="50"/>
      <c r="B568" s="50"/>
      <c r="C568" s="50"/>
      <c r="D568" s="50"/>
      <c r="E568" s="50"/>
      <c r="F568" s="50"/>
      <c r="G568" s="51"/>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c r="AV568" s="50"/>
      <c r="AW568" s="50"/>
      <c r="AX568" s="50"/>
      <c r="AY568" s="50"/>
      <c r="AZ568" s="50"/>
      <c r="BA568" s="50"/>
      <c r="BB568" s="50"/>
      <c r="BC568" s="50"/>
      <c r="BD568" s="50"/>
      <c r="BE568" s="50"/>
      <c r="BF568" s="50"/>
      <c r="BG568" s="50"/>
      <c r="BH568" s="50"/>
      <c r="BI568" s="50"/>
      <c r="BJ568" s="50"/>
      <c r="BK568" s="50"/>
      <c r="BL568" s="50"/>
      <c r="BM568" s="50"/>
      <c r="BN568" s="50"/>
      <c r="BO568" s="50"/>
      <c r="BP568" s="50"/>
      <c r="BQ568" s="50"/>
      <c r="BR568" s="50"/>
      <c r="BS568" s="50"/>
      <c r="BT568" s="50"/>
      <c r="BU568" s="50"/>
      <c r="BV568" s="50"/>
      <c r="BW568" s="50"/>
      <c r="BX568" s="50"/>
      <c r="BY568" s="50"/>
      <c r="BZ568" s="50"/>
      <c r="CA568" s="50"/>
      <c r="CB568" s="50"/>
      <c r="CC568" s="50"/>
      <c r="CD568" s="52"/>
      <c r="CE568" s="50"/>
      <c r="CF568" s="50"/>
      <c r="CG568" s="50"/>
      <c r="CH568" s="50"/>
      <c r="CI568" s="50"/>
      <c r="CJ568" s="50"/>
      <c r="CK568" s="50"/>
      <c r="CL568" s="50"/>
      <c r="CM568" s="50"/>
      <c r="CN568" s="50"/>
      <c r="CO568" s="50"/>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c r="FF568" s="3"/>
      <c r="FG568" s="3"/>
      <c r="FH568" s="3"/>
      <c r="FI568" s="3"/>
      <c r="FJ568" s="3"/>
      <c r="FK568" s="3"/>
      <c r="FL568" s="3"/>
      <c r="FM568" s="3"/>
      <c r="FN568" s="3"/>
      <c r="FO568" s="3"/>
      <c r="FP568" s="3"/>
      <c r="FQ568" s="3"/>
      <c r="FR568" s="3"/>
      <c r="FS568" s="3"/>
      <c r="FT568" s="3"/>
      <c r="FU568" s="3"/>
      <c r="FV568" s="3"/>
      <c r="FW568" s="3"/>
      <c r="FX568" s="3"/>
      <c r="FY568" s="3"/>
      <c r="FZ568" s="3"/>
      <c r="GA568" s="3"/>
      <c r="GB568" s="3"/>
      <c r="GC568" s="3"/>
      <c r="GD568" s="3"/>
      <c r="GE568" s="3"/>
      <c r="GF568" s="3"/>
      <c r="GG568" s="3"/>
      <c r="GH568" s="3"/>
      <c r="GI568" s="3"/>
      <c r="GJ568" s="3"/>
      <c r="GK568" s="3"/>
      <c r="GL568" s="3"/>
      <c r="GM568" s="3"/>
      <c r="GN568" s="3"/>
      <c r="GO568" s="3"/>
      <c r="GP568" s="3"/>
      <c r="GQ568" s="3"/>
      <c r="GR568" s="3"/>
      <c r="GS568" s="3"/>
      <c r="GT568" s="3"/>
      <c r="GU568" s="3"/>
      <c r="GV568" s="3"/>
      <c r="GW568" s="3"/>
      <c r="GX568" s="3"/>
      <c r="GY568" s="3"/>
      <c r="GZ568" s="3"/>
      <c r="HA568" s="3"/>
      <c r="HB568" s="3"/>
    </row>
    <row r="569" spans="1:210" ht="15.75" customHeight="1">
      <c r="A569" s="50"/>
      <c r="B569" s="50"/>
      <c r="C569" s="50"/>
      <c r="D569" s="50"/>
      <c r="E569" s="50"/>
      <c r="F569" s="50"/>
      <c r="G569" s="51"/>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c r="AV569" s="50"/>
      <c r="AW569" s="50"/>
      <c r="AX569" s="50"/>
      <c r="AY569" s="50"/>
      <c r="AZ569" s="50"/>
      <c r="BA569" s="50"/>
      <c r="BB569" s="50"/>
      <c r="BC569" s="50"/>
      <c r="BD569" s="50"/>
      <c r="BE569" s="50"/>
      <c r="BF569" s="50"/>
      <c r="BG569" s="50"/>
      <c r="BH569" s="50"/>
      <c r="BI569" s="50"/>
      <c r="BJ569" s="50"/>
      <c r="BK569" s="50"/>
      <c r="BL569" s="50"/>
      <c r="BM569" s="50"/>
      <c r="BN569" s="50"/>
      <c r="BO569" s="50"/>
      <c r="BP569" s="50"/>
      <c r="BQ569" s="50"/>
      <c r="BR569" s="50"/>
      <c r="BS569" s="50"/>
      <c r="BT569" s="50"/>
      <c r="BU569" s="50"/>
      <c r="BV569" s="50"/>
      <c r="BW569" s="50"/>
      <c r="BX569" s="50"/>
      <c r="BY569" s="50"/>
      <c r="BZ569" s="50"/>
      <c r="CA569" s="50"/>
      <c r="CB569" s="50"/>
      <c r="CC569" s="50"/>
      <c r="CD569" s="52"/>
      <c r="CE569" s="50"/>
      <c r="CF569" s="50"/>
      <c r="CG569" s="50"/>
      <c r="CH569" s="50"/>
      <c r="CI569" s="50"/>
      <c r="CJ569" s="50"/>
      <c r="CK569" s="50"/>
      <c r="CL569" s="50"/>
      <c r="CM569" s="50"/>
      <c r="CN569" s="50"/>
      <c r="CO569" s="50"/>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c r="FF569" s="3"/>
      <c r="FG569" s="3"/>
      <c r="FH569" s="3"/>
      <c r="FI569" s="3"/>
      <c r="FJ569" s="3"/>
      <c r="FK569" s="3"/>
      <c r="FL569" s="3"/>
      <c r="FM569" s="3"/>
      <c r="FN569" s="3"/>
      <c r="FO569" s="3"/>
      <c r="FP569" s="3"/>
      <c r="FQ569" s="3"/>
      <c r="FR569" s="3"/>
      <c r="FS569" s="3"/>
      <c r="FT569" s="3"/>
      <c r="FU569" s="3"/>
      <c r="FV569" s="3"/>
      <c r="FW569" s="3"/>
      <c r="FX569" s="3"/>
      <c r="FY569" s="3"/>
      <c r="FZ569" s="3"/>
      <c r="GA569" s="3"/>
      <c r="GB569" s="3"/>
      <c r="GC569" s="3"/>
      <c r="GD569" s="3"/>
      <c r="GE569" s="3"/>
      <c r="GF569" s="3"/>
      <c r="GG569" s="3"/>
      <c r="GH569" s="3"/>
      <c r="GI569" s="3"/>
      <c r="GJ569" s="3"/>
      <c r="GK569" s="3"/>
      <c r="GL569" s="3"/>
      <c r="GM569" s="3"/>
      <c r="GN569" s="3"/>
      <c r="GO569" s="3"/>
      <c r="GP569" s="3"/>
      <c r="GQ569" s="3"/>
      <c r="GR569" s="3"/>
      <c r="GS569" s="3"/>
      <c r="GT569" s="3"/>
      <c r="GU569" s="3"/>
      <c r="GV569" s="3"/>
      <c r="GW569" s="3"/>
      <c r="GX569" s="3"/>
      <c r="GY569" s="3"/>
      <c r="GZ569" s="3"/>
      <c r="HA569" s="3"/>
      <c r="HB569" s="3"/>
    </row>
    <row r="570" spans="1:210" ht="15.75" customHeight="1">
      <c r="A570" s="50"/>
      <c r="B570" s="50"/>
      <c r="C570" s="50"/>
      <c r="D570" s="50"/>
      <c r="E570" s="50"/>
      <c r="F570" s="50"/>
      <c r="G570" s="51"/>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c r="AV570" s="50"/>
      <c r="AW570" s="50"/>
      <c r="AX570" s="50"/>
      <c r="AY570" s="50"/>
      <c r="AZ570" s="50"/>
      <c r="BA570" s="50"/>
      <c r="BB570" s="50"/>
      <c r="BC570" s="50"/>
      <c r="BD570" s="50"/>
      <c r="BE570" s="50"/>
      <c r="BF570" s="50"/>
      <c r="BG570" s="50"/>
      <c r="BH570" s="50"/>
      <c r="BI570" s="50"/>
      <c r="BJ570" s="50"/>
      <c r="BK570" s="50"/>
      <c r="BL570" s="50"/>
      <c r="BM570" s="50"/>
      <c r="BN570" s="50"/>
      <c r="BO570" s="50"/>
      <c r="BP570" s="50"/>
      <c r="BQ570" s="50"/>
      <c r="BR570" s="50"/>
      <c r="BS570" s="50"/>
      <c r="BT570" s="50"/>
      <c r="BU570" s="50"/>
      <c r="BV570" s="50"/>
      <c r="BW570" s="50"/>
      <c r="BX570" s="50"/>
      <c r="BY570" s="50"/>
      <c r="BZ570" s="50"/>
      <c r="CA570" s="50"/>
      <c r="CB570" s="50"/>
      <c r="CC570" s="50"/>
      <c r="CD570" s="52"/>
      <c r="CE570" s="50"/>
      <c r="CF570" s="50"/>
      <c r="CG570" s="50"/>
      <c r="CH570" s="50"/>
      <c r="CI570" s="50"/>
      <c r="CJ570" s="50"/>
      <c r="CK570" s="50"/>
      <c r="CL570" s="50"/>
      <c r="CM570" s="50"/>
      <c r="CN570" s="50"/>
      <c r="CO570" s="50"/>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c r="FF570" s="3"/>
      <c r="FG570" s="3"/>
      <c r="FH570" s="3"/>
      <c r="FI570" s="3"/>
      <c r="FJ570" s="3"/>
      <c r="FK570" s="3"/>
      <c r="FL570" s="3"/>
      <c r="FM570" s="3"/>
      <c r="FN570" s="3"/>
      <c r="FO570" s="3"/>
      <c r="FP570" s="3"/>
      <c r="FQ570" s="3"/>
      <c r="FR570" s="3"/>
      <c r="FS570" s="3"/>
      <c r="FT570" s="3"/>
      <c r="FU570" s="3"/>
      <c r="FV570" s="3"/>
      <c r="FW570" s="3"/>
      <c r="FX570" s="3"/>
      <c r="FY570" s="3"/>
      <c r="FZ570" s="3"/>
      <c r="GA570" s="3"/>
      <c r="GB570" s="3"/>
      <c r="GC570" s="3"/>
      <c r="GD570" s="3"/>
      <c r="GE570" s="3"/>
      <c r="GF570" s="3"/>
      <c r="GG570" s="3"/>
      <c r="GH570" s="3"/>
      <c r="GI570" s="3"/>
      <c r="GJ570" s="3"/>
      <c r="GK570" s="3"/>
      <c r="GL570" s="3"/>
      <c r="GM570" s="3"/>
      <c r="GN570" s="3"/>
      <c r="GO570" s="3"/>
      <c r="GP570" s="3"/>
      <c r="GQ570" s="3"/>
      <c r="GR570" s="3"/>
      <c r="GS570" s="3"/>
      <c r="GT570" s="3"/>
      <c r="GU570" s="3"/>
      <c r="GV570" s="3"/>
      <c r="GW570" s="3"/>
      <c r="GX570" s="3"/>
      <c r="GY570" s="3"/>
      <c r="GZ570" s="3"/>
      <c r="HA570" s="3"/>
      <c r="HB570" s="3"/>
    </row>
    <row r="571" spans="1:210" ht="15.75" customHeight="1">
      <c r="A571" s="50"/>
      <c r="B571" s="50"/>
      <c r="C571" s="50"/>
      <c r="D571" s="50"/>
      <c r="E571" s="50"/>
      <c r="F571" s="50"/>
      <c r="G571" s="51"/>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c r="AS571" s="50"/>
      <c r="AT571" s="50"/>
      <c r="AU571" s="50"/>
      <c r="AV571" s="50"/>
      <c r="AW571" s="50"/>
      <c r="AX571" s="50"/>
      <c r="AY571" s="50"/>
      <c r="AZ571" s="50"/>
      <c r="BA571" s="50"/>
      <c r="BB571" s="50"/>
      <c r="BC571" s="50"/>
      <c r="BD571" s="50"/>
      <c r="BE571" s="50"/>
      <c r="BF571" s="50"/>
      <c r="BG571" s="50"/>
      <c r="BH571" s="50"/>
      <c r="BI571" s="50"/>
      <c r="BJ571" s="50"/>
      <c r="BK571" s="50"/>
      <c r="BL571" s="50"/>
      <c r="BM571" s="50"/>
      <c r="BN571" s="50"/>
      <c r="BO571" s="50"/>
      <c r="BP571" s="50"/>
      <c r="BQ571" s="50"/>
      <c r="BR571" s="50"/>
      <c r="BS571" s="50"/>
      <c r="BT571" s="50"/>
      <c r="BU571" s="50"/>
      <c r="BV571" s="50"/>
      <c r="BW571" s="50"/>
      <c r="BX571" s="50"/>
      <c r="BY571" s="50"/>
      <c r="BZ571" s="50"/>
      <c r="CA571" s="50"/>
      <c r="CB571" s="50"/>
      <c r="CC571" s="50"/>
      <c r="CD571" s="52"/>
      <c r="CE571" s="50"/>
      <c r="CF571" s="50"/>
      <c r="CG571" s="50"/>
      <c r="CH571" s="50"/>
      <c r="CI571" s="50"/>
      <c r="CJ571" s="50"/>
      <c r="CK571" s="50"/>
      <c r="CL571" s="50"/>
      <c r="CM571" s="50"/>
      <c r="CN571" s="50"/>
      <c r="CO571" s="50"/>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c r="FF571" s="3"/>
      <c r="FG571" s="3"/>
      <c r="FH571" s="3"/>
      <c r="FI571" s="3"/>
      <c r="FJ571" s="3"/>
      <c r="FK571" s="3"/>
      <c r="FL571" s="3"/>
      <c r="FM571" s="3"/>
      <c r="FN571" s="3"/>
      <c r="FO571" s="3"/>
      <c r="FP571" s="3"/>
      <c r="FQ571" s="3"/>
      <c r="FR571" s="3"/>
      <c r="FS571" s="3"/>
      <c r="FT571" s="3"/>
      <c r="FU571" s="3"/>
      <c r="FV571" s="3"/>
      <c r="FW571" s="3"/>
      <c r="FX571" s="3"/>
      <c r="FY571" s="3"/>
      <c r="FZ571" s="3"/>
      <c r="GA571" s="3"/>
      <c r="GB571" s="3"/>
      <c r="GC571" s="3"/>
      <c r="GD571" s="3"/>
      <c r="GE571" s="3"/>
      <c r="GF571" s="3"/>
      <c r="GG571" s="3"/>
      <c r="GH571" s="3"/>
      <c r="GI571" s="3"/>
      <c r="GJ571" s="3"/>
      <c r="GK571" s="3"/>
      <c r="GL571" s="3"/>
      <c r="GM571" s="3"/>
      <c r="GN571" s="3"/>
      <c r="GO571" s="3"/>
      <c r="GP571" s="3"/>
      <c r="GQ571" s="3"/>
      <c r="GR571" s="3"/>
      <c r="GS571" s="3"/>
      <c r="GT571" s="3"/>
      <c r="GU571" s="3"/>
      <c r="GV571" s="3"/>
      <c r="GW571" s="3"/>
      <c r="GX571" s="3"/>
      <c r="GY571" s="3"/>
      <c r="GZ571" s="3"/>
      <c r="HA571" s="3"/>
      <c r="HB571" s="3"/>
    </row>
    <row r="572" spans="1:210" ht="15.75" customHeight="1">
      <c r="A572" s="50"/>
      <c r="B572" s="50"/>
      <c r="C572" s="50"/>
      <c r="D572" s="50"/>
      <c r="E572" s="50"/>
      <c r="F572" s="50"/>
      <c r="G572" s="51"/>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c r="AU572" s="50"/>
      <c r="AV572" s="50"/>
      <c r="AW572" s="50"/>
      <c r="AX572" s="50"/>
      <c r="AY572" s="50"/>
      <c r="AZ572" s="50"/>
      <c r="BA572" s="50"/>
      <c r="BB572" s="50"/>
      <c r="BC572" s="50"/>
      <c r="BD572" s="50"/>
      <c r="BE572" s="50"/>
      <c r="BF572" s="50"/>
      <c r="BG572" s="50"/>
      <c r="BH572" s="50"/>
      <c r="BI572" s="50"/>
      <c r="BJ572" s="50"/>
      <c r="BK572" s="50"/>
      <c r="BL572" s="50"/>
      <c r="BM572" s="50"/>
      <c r="BN572" s="50"/>
      <c r="BO572" s="50"/>
      <c r="BP572" s="50"/>
      <c r="BQ572" s="50"/>
      <c r="BR572" s="50"/>
      <c r="BS572" s="50"/>
      <c r="BT572" s="50"/>
      <c r="BU572" s="50"/>
      <c r="BV572" s="50"/>
      <c r="BW572" s="50"/>
      <c r="BX572" s="50"/>
      <c r="BY572" s="50"/>
      <c r="BZ572" s="50"/>
      <c r="CA572" s="50"/>
      <c r="CB572" s="50"/>
      <c r="CC572" s="50"/>
      <c r="CD572" s="52"/>
      <c r="CE572" s="50"/>
      <c r="CF572" s="50"/>
      <c r="CG572" s="50"/>
      <c r="CH572" s="50"/>
      <c r="CI572" s="50"/>
      <c r="CJ572" s="50"/>
      <c r="CK572" s="50"/>
      <c r="CL572" s="50"/>
      <c r="CM572" s="50"/>
      <c r="CN572" s="50"/>
      <c r="CO572" s="50"/>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c r="FF572" s="3"/>
      <c r="FG572" s="3"/>
      <c r="FH572" s="3"/>
      <c r="FI572" s="3"/>
      <c r="FJ572" s="3"/>
      <c r="FK572" s="3"/>
      <c r="FL572" s="3"/>
      <c r="FM572" s="3"/>
      <c r="FN572" s="3"/>
      <c r="FO572" s="3"/>
      <c r="FP572" s="3"/>
      <c r="FQ572" s="3"/>
      <c r="FR572" s="3"/>
      <c r="FS572" s="3"/>
      <c r="FT572" s="3"/>
      <c r="FU572" s="3"/>
      <c r="FV572" s="3"/>
      <c r="FW572" s="3"/>
      <c r="FX572" s="3"/>
      <c r="FY572" s="3"/>
      <c r="FZ572" s="3"/>
      <c r="GA572" s="3"/>
      <c r="GB572" s="3"/>
      <c r="GC572" s="3"/>
      <c r="GD572" s="3"/>
      <c r="GE572" s="3"/>
      <c r="GF572" s="3"/>
      <c r="GG572" s="3"/>
      <c r="GH572" s="3"/>
      <c r="GI572" s="3"/>
      <c r="GJ572" s="3"/>
      <c r="GK572" s="3"/>
      <c r="GL572" s="3"/>
      <c r="GM572" s="3"/>
      <c r="GN572" s="3"/>
      <c r="GO572" s="3"/>
      <c r="GP572" s="3"/>
      <c r="GQ572" s="3"/>
      <c r="GR572" s="3"/>
      <c r="GS572" s="3"/>
      <c r="GT572" s="3"/>
      <c r="GU572" s="3"/>
      <c r="GV572" s="3"/>
      <c r="GW572" s="3"/>
      <c r="GX572" s="3"/>
      <c r="GY572" s="3"/>
      <c r="GZ572" s="3"/>
      <c r="HA572" s="3"/>
      <c r="HB572" s="3"/>
    </row>
    <row r="573" spans="1:210" ht="15.75" customHeight="1">
      <c r="A573" s="50"/>
      <c r="B573" s="50"/>
      <c r="C573" s="50"/>
      <c r="D573" s="50"/>
      <c r="E573" s="50"/>
      <c r="F573" s="50"/>
      <c r="G573" s="51"/>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c r="AU573" s="50"/>
      <c r="AV573" s="50"/>
      <c r="AW573" s="50"/>
      <c r="AX573" s="50"/>
      <c r="AY573" s="50"/>
      <c r="AZ573" s="50"/>
      <c r="BA573" s="50"/>
      <c r="BB573" s="50"/>
      <c r="BC573" s="50"/>
      <c r="BD573" s="50"/>
      <c r="BE573" s="50"/>
      <c r="BF573" s="50"/>
      <c r="BG573" s="50"/>
      <c r="BH573" s="50"/>
      <c r="BI573" s="50"/>
      <c r="BJ573" s="50"/>
      <c r="BK573" s="50"/>
      <c r="BL573" s="50"/>
      <c r="BM573" s="50"/>
      <c r="BN573" s="50"/>
      <c r="BO573" s="50"/>
      <c r="BP573" s="50"/>
      <c r="BQ573" s="50"/>
      <c r="BR573" s="50"/>
      <c r="BS573" s="50"/>
      <c r="BT573" s="50"/>
      <c r="BU573" s="50"/>
      <c r="BV573" s="50"/>
      <c r="BW573" s="50"/>
      <c r="BX573" s="50"/>
      <c r="BY573" s="50"/>
      <c r="BZ573" s="50"/>
      <c r="CA573" s="50"/>
      <c r="CB573" s="50"/>
      <c r="CC573" s="50"/>
      <c r="CD573" s="52"/>
      <c r="CE573" s="50"/>
      <c r="CF573" s="50"/>
      <c r="CG573" s="50"/>
      <c r="CH573" s="50"/>
      <c r="CI573" s="50"/>
      <c r="CJ573" s="50"/>
      <c r="CK573" s="50"/>
      <c r="CL573" s="50"/>
      <c r="CM573" s="50"/>
      <c r="CN573" s="50"/>
      <c r="CO573" s="50"/>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c r="FF573" s="3"/>
      <c r="FG573" s="3"/>
      <c r="FH573" s="3"/>
      <c r="FI573" s="3"/>
      <c r="FJ573" s="3"/>
      <c r="FK573" s="3"/>
      <c r="FL573" s="3"/>
      <c r="FM573" s="3"/>
      <c r="FN573" s="3"/>
      <c r="FO573" s="3"/>
      <c r="FP573" s="3"/>
      <c r="FQ573" s="3"/>
      <c r="FR573" s="3"/>
      <c r="FS573" s="3"/>
      <c r="FT573" s="3"/>
      <c r="FU573" s="3"/>
      <c r="FV573" s="3"/>
      <c r="FW573" s="3"/>
      <c r="FX573" s="3"/>
      <c r="FY573" s="3"/>
      <c r="FZ573" s="3"/>
      <c r="GA573" s="3"/>
      <c r="GB573" s="3"/>
      <c r="GC573" s="3"/>
      <c r="GD573" s="3"/>
      <c r="GE573" s="3"/>
      <c r="GF573" s="3"/>
      <c r="GG573" s="3"/>
      <c r="GH573" s="3"/>
      <c r="GI573" s="3"/>
      <c r="GJ573" s="3"/>
      <c r="GK573" s="3"/>
      <c r="GL573" s="3"/>
      <c r="GM573" s="3"/>
      <c r="GN573" s="3"/>
      <c r="GO573" s="3"/>
      <c r="GP573" s="3"/>
      <c r="GQ573" s="3"/>
      <c r="GR573" s="3"/>
      <c r="GS573" s="3"/>
      <c r="GT573" s="3"/>
      <c r="GU573" s="3"/>
      <c r="GV573" s="3"/>
      <c r="GW573" s="3"/>
      <c r="GX573" s="3"/>
      <c r="GY573" s="3"/>
      <c r="GZ573" s="3"/>
      <c r="HA573" s="3"/>
      <c r="HB573" s="3"/>
    </row>
    <row r="574" spans="1:210" ht="15.75" customHeight="1">
      <c r="A574" s="50"/>
      <c r="B574" s="50"/>
      <c r="C574" s="50"/>
      <c r="D574" s="50"/>
      <c r="E574" s="50"/>
      <c r="F574" s="50"/>
      <c r="G574" s="51"/>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c r="AR574" s="50"/>
      <c r="AS574" s="50"/>
      <c r="AT574" s="50"/>
      <c r="AU574" s="50"/>
      <c r="AV574" s="50"/>
      <c r="AW574" s="50"/>
      <c r="AX574" s="50"/>
      <c r="AY574" s="50"/>
      <c r="AZ574" s="50"/>
      <c r="BA574" s="50"/>
      <c r="BB574" s="50"/>
      <c r="BC574" s="50"/>
      <c r="BD574" s="50"/>
      <c r="BE574" s="50"/>
      <c r="BF574" s="50"/>
      <c r="BG574" s="50"/>
      <c r="BH574" s="50"/>
      <c r="BI574" s="50"/>
      <c r="BJ574" s="50"/>
      <c r="BK574" s="50"/>
      <c r="BL574" s="50"/>
      <c r="BM574" s="50"/>
      <c r="BN574" s="50"/>
      <c r="BO574" s="50"/>
      <c r="BP574" s="50"/>
      <c r="BQ574" s="50"/>
      <c r="BR574" s="50"/>
      <c r="BS574" s="50"/>
      <c r="BT574" s="50"/>
      <c r="BU574" s="50"/>
      <c r="BV574" s="50"/>
      <c r="BW574" s="50"/>
      <c r="BX574" s="50"/>
      <c r="BY574" s="50"/>
      <c r="BZ574" s="50"/>
      <c r="CA574" s="50"/>
      <c r="CB574" s="50"/>
      <c r="CC574" s="50"/>
      <c r="CD574" s="52"/>
      <c r="CE574" s="50"/>
      <c r="CF574" s="50"/>
      <c r="CG574" s="50"/>
      <c r="CH574" s="50"/>
      <c r="CI574" s="50"/>
      <c r="CJ574" s="50"/>
      <c r="CK574" s="50"/>
      <c r="CL574" s="50"/>
      <c r="CM574" s="50"/>
      <c r="CN574" s="50"/>
      <c r="CO574" s="50"/>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c r="FF574" s="3"/>
      <c r="FG574" s="3"/>
      <c r="FH574" s="3"/>
      <c r="FI574" s="3"/>
      <c r="FJ574" s="3"/>
      <c r="FK574" s="3"/>
      <c r="FL574" s="3"/>
      <c r="FM574" s="3"/>
      <c r="FN574" s="3"/>
      <c r="FO574" s="3"/>
      <c r="FP574" s="3"/>
      <c r="FQ574" s="3"/>
      <c r="FR574" s="3"/>
      <c r="FS574" s="3"/>
      <c r="FT574" s="3"/>
      <c r="FU574" s="3"/>
      <c r="FV574" s="3"/>
      <c r="FW574" s="3"/>
      <c r="FX574" s="3"/>
      <c r="FY574" s="3"/>
      <c r="FZ574" s="3"/>
      <c r="GA574" s="3"/>
      <c r="GB574" s="3"/>
      <c r="GC574" s="3"/>
      <c r="GD574" s="3"/>
      <c r="GE574" s="3"/>
      <c r="GF574" s="3"/>
      <c r="GG574" s="3"/>
      <c r="GH574" s="3"/>
      <c r="GI574" s="3"/>
      <c r="GJ574" s="3"/>
      <c r="GK574" s="3"/>
      <c r="GL574" s="3"/>
      <c r="GM574" s="3"/>
      <c r="GN574" s="3"/>
      <c r="GO574" s="3"/>
      <c r="GP574" s="3"/>
      <c r="GQ574" s="3"/>
      <c r="GR574" s="3"/>
      <c r="GS574" s="3"/>
      <c r="GT574" s="3"/>
      <c r="GU574" s="3"/>
      <c r="GV574" s="3"/>
      <c r="GW574" s="3"/>
      <c r="GX574" s="3"/>
      <c r="GY574" s="3"/>
      <c r="GZ574" s="3"/>
      <c r="HA574" s="3"/>
      <c r="HB574" s="3"/>
    </row>
    <row r="575" spans="1:210" ht="15.75" customHeight="1">
      <c r="A575" s="50"/>
      <c r="B575" s="50"/>
      <c r="C575" s="50"/>
      <c r="D575" s="50"/>
      <c r="E575" s="50"/>
      <c r="F575" s="50"/>
      <c r="G575" s="51"/>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50"/>
      <c r="AU575" s="50"/>
      <c r="AV575" s="50"/>
      <c r="AW575" s="50"/>
      <c r="AX575" s="50"/>
      <c r="AY575" s="50"/>
      <c r="AZ575" s="50"/>
      <c r="BA575" s="50"/>
      <c r="BB575" s="50"/>
      <c r="BC575" s="50"/>
      <c r="BD575" s="50"/>
      <c r="BE575" s="50"/>
      <c r="BF575" s="50"/>
      <c r="BG575" s="50"/>
      <c r="BH575" s="50"/>
      <c r="BI575" s="50"/>
      <c r="BJ575" s="50"/>
      <c r="BK575" s="50"/>
      <c r="BL575" s="50"/>
      <c r="BM575" s="50"/>
      <c r="BN575" s="50"/>
      <c r="BO575" s="50"/>
      <c r="BP575" s="50"/>
      <c r="BQ575" s="50"/>
      <c r="BR575" s="50"/>
      <c r="BS575" s="50"/>
      <c r="BT575" s="50"/>
      <c r="BU575" s="50"/>
      <c r="BV575" s="50"/>
      <c r="BW575" s="50"/>
      <c r="BX575" s="50"/>
      <c r="BY575" s="50"/>
      <c r="BZ575" s="50"/>
      <c r="CA575" s="50"/>
      <c r="CB575" s="50"/>
      <c r="CC575" s="50"/>
      <c r="CD575" s="52"/>
      <c r="CE575" s="50"/>
      <c r="CF575" s="50"/>
      <c r="CG575" s="50"/>
      <c r="CH575" s="50"/>
      <c r="CI575" s="50"/>
      <c r="CJ575" s="50"/>
      <c r="CK575" s="50"/>
      <c r="CL575" s="50"/>
      <c r="CM575" s="50"/>
      <c r="CN575" s="50"/>
      <c r="CO575" s="50"/>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c r="FF575" s="3"/>
      <c r="FG575" s="3"/>
      <c r="FH575" s="3"/>
      <c r="FI575" s="3"/>
      <c r="FJ575" s="3"/>
      <c r="FK575" s="3"/>
      <c r="FL575" s="3"/>
      <c r="FM575" s="3"/>
      <c r="FN575" s="3"/>
      <c r="FO575" s="3"/>
      <c r="FP575" s="3"/>
      <c r="FQ575" s="3"/>
      <c r="FR575" s="3"/>
      <c r="FS575" s="3"/>
      <c r="FT575" s="3"/>
      <c r="FU575" s="3"/>
      <c r="FV575" s="3"/>
      <c r="FW575" s="3"/>
      <c r="FX575" s="3"/>
      <c r="FY575" s="3"/>
      <c r="FZ575" s="3"/>
      <c r="GA575" s="3"/>
      <c r="GB575" s="3"/>
      <c r="GC575" s="3"/>
      <c r="GD575" s="3"/>
      <c r="GE575" s="3"/>
      <c r="GF575" s="3"/>
      <c r="GG575" s="3"/>
      <c r="GH575" s="3"/>
      <c r="GI575" s="3"/>
      <c r="GJ575" s="3"/>
      <c r="GK575" s="3"/>
      <c r="GL575" s="3"/>
      <c r="GM575" s="3"/>
      <c r="GN575" s="3"/>
      <c r="GO575" s="3"/>
      <c r="GP575" s="3"/>
      <c r="GQ575" s="3"/>
      <c r="GR575" s="3"/>
      <c r="GS575" s="3"/>
      <c r="GT575" s="3"/>
      <c r="GU575" s="3"/>
      <c r="GV575" s="3"/>
      <c r="GW575" s="3"/>
      <c r="GX575" s="3"/>
      <c r="GY575" s="3"/>
      <c r="GZ575" s="3"/>
      <c r="HA575" s="3"/>
      <c r="HB575" s="3"/>
    </row>
    <row r="576" spans="1:210" ht="15.75" customHeight="1">
      <c r="A576" s="50"/>
      <c r="B576" s="50"/>
      <c r="C576" s="50"/>
      <c r="D576" s="50"/>
      <c r="E576" s="50"/>
      <c r="F576" s="50"/>
      <c r="G576" s="51"/>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c r="AR576" s="50"/>
      <c r="AS576" s="50"/>
      <c r="AT576" s="50"/>
      <c r="AU576" s="50"/>
      <c r="AV576" s="50"/>
      <c r="AW576" s="50"/>
      <c r="AX576" s="50"/>
      <c r="AY576" s="50"/>
      <c r="AZ576" s="50"/>
      <c r="BA576" s="50"/>
      <c r="BB576" s="50"/>
      <c r="BC576" s="50"/>
      <c r="BD576" s="50"/>
      <c r="BE576" s="50"/>
      <c r="BF576" s="50"/>
      <c r="BG576" s="50"/>
      <c r="BH576" s="50"/>
      <c r="BI576" s="50"/>
      <c r="BJ576" s="50"/>
      <c r="BK576" s="50"/>
      <c r="BL576" s="50"/>
      <c r="BM576" s="50"/>
      <c r="BN576" s="50"/>
      <c r="BO576" s="50"/>
      <c r="BP576" s="50"/>
      <c r="BQ576" s="50"/>
      <c r="BR576" s="50"/>
      <c r="BS576" s="50"/>
      <c r="BT576" s="50"/>
      <c r="BU576" s="50"/>
      <c r="BV576" s="50"/>
      <c r="BW576" s="50"/>
      <c r="BX576" s="50"/>
      <c r="BY576" s="50"/>
      <c r="BZ576" s="50"/>
      <c r="CA576" s="50"/>
      <c r="CB576" s="50"/>
      <c r="CC576" s="50"/>
      <c r="CD576" s="52"/>
      <c r="CE576" s="50"/>
      <c r="CF576" s="50"/>
      <c r="CG576" s="50"/>
      <c r="CH576" s="50"/>
      <c r="CI576" s="50"/>
      <c r="CJ576" s="50"/>
      <c r="CK576" s="50"/>
      <c r="CL576" s="50"/>
      <c r="CM576" s="50"/>
      <c r="CN576" s="50"/>
      <c r="CO576" s="50"/>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c r="FF576" s="3"/>
      <c r="FG576" s="3"/>
      <c r="FH576" s="3"/>
      <c r="FI576" s="3"/>
      <c r="FJ576" s="3"/>
      <c r="FK576" s="3"/>
      <c r="FL576" s="3"/>
      <c r="FM576" s="3"/>
      <c r="FN576" s="3"/>
      <c r="FO576" s="3"/>
      <c r="FP576" s="3"/>
      <c r="FQ576" s="3"/>
      <c r="FR576" s="3"/>
      <c r="FS576" s="3"/>
      <c r="FT576" s="3"/>
      <c r="FU576" s="3"/>
      <c r="FV576" s="3"/>
      <c r="FW576" s="3"/>
      <c r="FX576" s="3"/>
      <c r="FY576" s="3"/>
      <c r="FZ576" s="3"/>
      <c r="GA576" s="3"/>
      <c r="GB576" s="3"/>
      <c r="GC576" s="3"/>
      <c r="GD576" s="3"/>
      <c r="GE576" s="3"/>
      <c r="GF576" s="3"/>
      <c r="GG576" s="3"/>
      <c r="GH576" s="3"/>
      <c r="GI576" s="3"/>
      <c r="GJ576" s="3"/>
      <c r="GK576" s="3"/>
      <c r="GL576" s="3"/>
      <c r="GM576" s="3"/>
      <c r="GN576" s="3"/>
      <c r="GO576" s="3"/>
      <c r="GP576" s="3"/>
      <c r="GQ576" s="3"/>
      <c r="GR576" s="3"/>
      <c r="GS576" s="3"/>
      <c r="GT576" s="3"/>
      <c r="GU576" s="3"/>
      <c r="GV576" s="3"/>
      <c r="GW576" s="3"/>
      <c r="GX576" s="3"/>
      <c r="GY576" s="3"/>
      <c r="GZ576" s="3"/>
      <c r="HA576" s="3"/>
      <c r="HB576" s="3"/>
    </row>
    <row r="577" spans="1:210" ht="15.75" customHeight="1">
      <c r="A577" s="50"/>
      <c r="B577" s="50"/>
      <c r="C577" s="50"/>
      <c r="D577" s="50"/>
      <c r="E577" s="50"/>
      <c r="F577" s="50"/>
      <c r="G577" s="51"/>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c r="AR577" s="50"/>
      <c r="AS577" s="50"/>
      <c r="AT577" s="50"/>
      <c r="AU577" s="50"/>
      <c r="AV577" s="50"/>
      <c r="AW577" s="50"/>
      <c r="AX577" s="50"/>
      <c r="AY577" s="50"/>
      <c r="AZ577" s="50"/>
      <c r="BA577" s="50"/>
      <c r="BB577" s="50"/>
      <c r="BC577" s="50"/>
      <c r="BD577" s="50"/>
      <c r="BE577" s="50"/>
      <c r="BF577" s="50"/>
      <c r="BG577" s="50"/>
      <c r="BH577" s="50"/>
      <c r="BI577" s="50"/>
      <c r="BJ577" s="50"/>
      <c r="BK577" s="50"/>
      <c r="BL577" s="50"/>
      <c r="BM577" s="50"/>
      <c r="BN577" s="50"/>
      <c r="BO577" s="50"/>
      <c r="BP577" s="50"/>
      <c r="BQ577" s="50"/>
      <c r="BR577" s="50"/>
      <c r="BS577" s="50"/>
      <c r="BT577" s="50"/>
      <c r="BU577" s="50"/>
      <c r="BV577" s="50"/>
      <c r="BW577" s="50"/>
      <c r="BX577" s="50"/>
      <c r="BY577" s="50"/>
      <c r="BZ577" s="50"/>
      <c r="CA577" s="50"/>
      <c r="CB577" s="50"/>
      <c r="CC577" s="50"/>
      <c r="CD577" s="52"/>
      <c r="CE577" s="50"/>
      <c r="CF577" s="50"/>
      <c r="CG577" s="50"/>
      <c r="CH577" s="50"/>
      <c r="CI577" s="50"/>
      <c r="CJ577" s="50"/>
      <c r="CK577" s="50"/>
      <c r="CL577" s="50"/>
      <c r="CM577" s="50"/>
      <c r="CN577" s="50"/>
      <c r="CO577" s="50"/>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c r="FF577" s="3"/>
      <c r="FG577" s="3"/>
      <c r="FH577" s="3"/>
      <c r="FI577" s="3"/>
      <c r="FJ577" s="3"/>
      <c r="FK577" s="3"/>
      <c r="FL577" s="3"/>
      <c r="FM577" s="3"/>
      <c r="FN577" s="3"/>
      <c r="FO577" s="3"/>
      <c r="FP577" s="3"/>
      <c r="FQ577" s="3"/>
      <c r="FR577" s="3"/>
      <c r="FS577" s="3"/>
      <c r="FT577" s="3"/>
      <c r="FU577" s="3"/>
      <c r="FV577" s="3"/>
      <c r="FW577" s="3"/>
      <c r="FX577" s="3"/>
      <c r="FY577" s="3"/>
      <c r="FZ577" s="3"/>
      <c r="GA577" s="3"/>
      <c r="GB577" s="3"/>
      <c r="GC577" s="3"/>
      <c r="GD577" s="3"/>
      <c r="GE577" s="3"/>
      <c r="GF577" s="3"/>
      <c r="GG577" s="3"/>
      <c r="GH577" s="3"/>
      <c r="GI577" s="3"/>
      <c r="GJ577" s="3"/>
      <c r="GK577" s="3"/>
      <c r="GL577" s="3"/>
      <c r="GM577" s="3"/>
      <c r="GN577" s="3"/>
      <c r="GO577" s="3"/>
      <c r="GP577" s="3"/>
      <c r="GQ577" s="3"/>
      <c r="GR577" s="3"/>
      <c r="GS577" s="3"/>
      <c r="GT577" s="3"/>
      <c r="GU577" s="3"/>
      <c r="GV577" s="3"/>
      <c r="GW577" s="3"/>
      <c r="GX577" s="3"/>
      <c r="GY577" s="3"/>
      <c r="GZ577" s="3"/>
      <c r="HA577" s="3"/>
      <c r="HB577" s="3"/>
    </row>
    <row r="578" spans="1:210" ht="15.75" customHeight="1">
      <c r="A578" s="50"/>
      <c r="B578" s="50"/>
      <c r="C578" s="50"/>
      <c r="D578" s="50"/>
      <c r="E578" s="50"/>
      <c r="F578" s="50"/>
      <c r="G578" s="51"/>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c r="AR578" s="50"/>
      <c r="AS578" s="50"/>
      <c r="AT578" s="50"/>
      <c r="AU578" s="50"/>
      <c r="AV578" s="50"/>
      <c r="AW578" s="50"/>
      <c r="AX578" s="50"/>
      <c r="AY578" s="50"/>
      <c r="AZ578" s="50"/>
      <c r="BA578" s="50"/>
      <c r="BB578" s="50"/>
      <c r="BC578" s="50"/>
      <c r="BD578" s="50"/>
      <c r="BE578" s="50"/>
      <c r="BF578" s="50"/>
      <c r="BG578" s="50"/>
      <c r="BH578" s="50"/>
      <c r="BI578" s="50"/>
      <c r="BJ578" s="50"/>
      <c r="BK578" s="50"/>
      <c r="BL578" s="50"/>
      <c r="BM578" s="50"/>
      <c r="BN578" s="50"/>
      <c r="BO578" s="50"/>
      <c r="BP578" s="50"/>
      <c r="BQ578" s="50"/>
      <c r="BR578" s="50"/>
      <c r="BS578" s="50"/>
      <c r="BT578" s="50"/>
      <c r="BU578" s="50"/>
      <c r="BV578" s="50"/>
      <c r="BW578" s="50"/>
      <c r="BX578" s="50"/>
      <c r="BY578" s="50"/>
      <c r="BZ578" s="50"/>
      <c r="CA578" s="50"/>
      <c r="CB578" s="50"/>
      <c r="CC578" s="50"/>
      <c r="CD578" s="52"/>
      <c r="CE578" s="50"/>
      <c r="CF578" s="50"/>
      <c r="CG578" s="50"/>
      <c r="CH578" s="50"/>
      <c r="CI578" s="50"/>
      <c r="CJ578" s="50"/>
      <c r="CK578" s="50"/>
      <c r="CL578" s="50"/>
      <c r="CM578" s="50"/>
      <c r="CN578" s="50"/>
      <c r="CO578" s="50"/>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c r="FF578" s="3"/>
      <c r="FG578" s="3"/>
      <c r="FH578" s="3"/>
      <c r="FI578" s="3"/>
      <c r="FJ578" s="3"/>
      <c r="FK578" s="3"/>
      <c r="FL578" s="3"/>
      <c r="FM578" s="3"/>
      <c r="FN578" s="3"/>
      <c r="FO578" s="3"/>
      <c r="FP578" s="3"/>
      <c r="FQ578" s="3"/>
      <c r="FR578" s="3"/>
      <c r="FS578" s="3"/>
      <c r="FT578" s="3"/>
      <c r="FU578" s="3"/>
      <c r="FV578" s="3"/>
      <c r="FW578" s="3"/>
      <c r="FX578" s="3"/>
      <c r="FY578" s="3"/>
      <c r="FZ578" s="3"/>
      <c r="GA578" s="3"/>
      <c r="GB578" s="3"/>
      <c r="GC578" s="3"/>
      <c r="GD578" s="3"/>
      <c r="GE578" s="3"/>
      <c r="GF578" s="3"/>
      <c r="GG578" s="3"/>
      <c r="GH578" s="3"/>
      <c r="GI578" s="3"/>
      <c r="GJ578" s="3"/>
      <c r="GK578" s="3"/>
      <c r="GL578" s="3"/>
      <c r="GM578" s="3"/>
      <c r="GN578" s="3"/>
      <c r="GO578" s="3"/>
      <c r="GP578" s="3"/>
      <c r="GQ578" s="3"/>
      <c r="GR578" s="3"/>
      <c r="GS578" s="3"/>
      <c r="GT578" s="3"/>
      <c r="GU578" s="3"/>
      <c r="GV578" s="3"/>
      <c r="GW578" s="3"/>
      <c r="GX578" s="3"/>
      <c r="GY578" s="3"/>
      <c r="GZ578" s="3"/>
      <c r="HA578" s="3"/>
      <c r="HB578" s="3"/>
    </row>
    <row r="579" spans="1:210" ht="15.75" customHeight="1">
      <c r="A579" s="50"/>
      <c r="B579" s="50"/>
      <c r="C579" s="50"/>
      <c r="D579" s="50"/>
      <c r="E579" s="50"/>
      <c r="F579" s="50"/>
      <c r="G579" s="51"/>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c r="AR579" s="50"/>
      <c r="AS579" s="50"/>
      <c r="AT579" s="50"/>
      <c r="AU579" s="50"/>
      <c r="AV579" s="50"/>
      <c r="AW579" s="50"/>
      <c r="AX579" s="50"/>
      <c r="AY579" s="50"/>
      <c r="AZ579" s="50"/>
      <c r="BA579" s="50"/>
      <c r="BB579" s="50"/>
      <c r="BC579" s="50"/>
      <c r="BD579" s="50"/>
      <c r="BE579" s="50"/>
      <c r="BF579" s="50"/>
      <c r="BG579" s="50"/>
      <c r="BH579" s="50"/>
      <c r="BI579" s="50"/>
      <c r="BJ579" s="50"/>
      <c r="BK579" s="50"/>
      <c r="BL579" s="50"/>
      <c r="BM579" s="50"/>
      <c r="BN579" s="50"/>
      <c r="BO579" s="50"/>
      <c r="BP579" s="50"/>
      <c r="BQ579" s="50"/>
      <c r="BR579" s="50"/>
      <c r="BS579" s="50"/>
      <c r="BT579" s="50"/>
      <c r="BU579" s="50"/>
      <c r="BV579" s="50"/>
      <c r="BW579" s="50"/>
      <c r="BX579" s="50"/>
      <c r="BY579" s="50"/>
      <c r="BZ579" s="50"/>
      <c r="CA579" s="50"/>
      <c r="CB579" s="50"/>
      <c r="CC579" s="50"/>
      <c r="CD579" s="52"/>
      <c r="CE579" s="50"/>
      <c r="CF579" s="50"/>
      <c r="CG579" s="50"/>
      <c r="CH579" s="50"/>
      <c r="CI579" s="50"/>
      <c r="CJ579" s="50"/>
      <c r="CK579" s="50"/>
      <c r="CL579" s="50"/>
      <c r="CM579" s="50"/>
      <c r="CN579" s="50"/>
      <c r="CO579" s="50"/>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c r="FF579" s="3"/>
      <c r="FG579" s="3"/>
      <c r="FH579" s="3"/>
      <c r="FI579" s="3"/>
      <c r="FJ579" s="3"/>
      <c r="FK579" s="3"/>
      <c r="FL579" s="3"/>
      <c r="FM579" s="3"/>
      <c r="FN579" s="3"/>
      <c r="FO579" s="3"/>
      <c r="FP579" s="3"/>
      <c r="FQ579" s="3"/>
      <c r="FR579" s="3"/>
      <c r="FS579" s="3"/>
      <c r="FT579" s="3"/>
      <c r="FU579" s="3"/>
      <c r="FV579" s="3"/>
      <c r="FW579" s="3"/>
      <c r="FX579" s="3"/>
      <c r="FY579" s="3"/>
      <c r="FZ579" s="3"/>
      <c r="GA579" s="3"/>
      <c r="GB579" s="3"/>
      <c r="GC579" s="3"/>
      <c r="GD579" s="3"/>
      <c r="GE579" s="3"/>
      <c r="GF579" s="3"/>
      <c r="GG579" s="3"/>
      <c r="GH579" s="3"/>
      <c r="GI579" s="3"/>
      <c r="GJ579" s="3"/>
      <c r="GK579" s="3"/>
      <c r="GL579" s="3"/>
      <c r="GM579" s="3"/>
      <c r="GN579" s="3"/>
      <c r="GO579" s="3"/>
      <c r="GP579" s="3"/>
      <c r="GQ579" s="3"/>
      <c r="GR579" s="3"/>
      <c r="GS579" s="3"/>
      <c r="GT579" s="3"/>
      <c r="GU579" s="3"/>
      <c r="GV579" s="3"/>
      <c r="GW579" s="3"/>
      <c r="GX579" s="3"/>
      <c r="GY579" s="3"/>
      <c r="GZ579" s="3"/>
      <c r="HA579" s="3"/>
      <c r="HB579" s="3"/>
    </row>
    <row r="580" spans="1:210" ht="15.75" customHeight="1">
      <c r="A580" s="50"/>
      <c r="B580" s="50"/>
      <c r="C580" s="50"/>
      <c r="D580" s="50"/>
      <c r="E580" s="50"/>
      <c r="F580" s="50"/>
      <c r="G580" s="51"/>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50"/>
      <c r="AU580" s="50"/>
      <c r="AV580" s="50"/>
      <c r="AW580" s="50"/>
      <c r="AX580" s="50"/>
      <c r="AY580" s="50"/>
      <c r="AZ580" s="50"/>
      <c r="BA580" s="50"/>
      <c r="BB580" s="50"/>
      <c r="BC580" s="50"/>
      <c r="BD580" s="50"/>
      <c r="BE580" s="50"/>
      <c r="BF580" s="50"/>
      <c r="BG580" s="50"/>
      <c r="BH580" s="50"/>
      <c r="BI580" s="50"/>
      <c r="BJ580" s="50"/>
      <c r="BK580" s="50"/>
      <c r="BL580" s="50"/>
      <c r="BM580" s="50"/>
      <c r="BN580" s="50"/>
      <c r="BO580" s="50"/>
      <c r="BP580" s="50"/>
      <c r="BQ580" s="50"/>
      <c r="BR580" s="50"/>
      <c r="BS580" s="50"/>
      <c r="BT580" s="50"/>
      <c r="BU580" s="50"/>
      <c r="BV580" s="50"/>
      <c r="BW580" s="50"/>
      <c r="BX580" s="50"/>
      <c r="BY580" s="50"/>
      <c r="BZ580" s="50"/>
      <c r="CA580" s="50"/>
      <c r="CB580" s="50"/>
      <c r="CC580" s="50"/>
      <c r="CD580" s="52"/>
      <c r="CE580" s="50"/>
      <c r="CF580" s="50"/>
      <c r="CG580" s="50"/>
      <c r="CH580" s="50"/>
      <c r="CI580" s="50"/>
      <c r="CJ580" s="50"/>
      <c r="CK580" s="50"/>
      <c r="CL580" s="50"/>
      <c r="CM580" s="50"/>
      <c r="CN580" s="50"/>
      <c r="CO580" s="50"/>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c r="FF580" s="3"/>
      <c r="FG580" s="3"/>
      <c r="FH580" s="3"/>
      <c r="FI580" s="3"/>
      <c r="FJ580" s="3"/>
      <c r="FK580" s="3"/>
      <c r="FL580" s="3"/>
      <c r="FM580" s="3"/>
      <c r="FN580" s="3"/>
      <c r="FO580" s="3"/>
      <c r="FP580" s="3"/>
      <c r="FQ580" s="3"/>
      <c r="FR580" s="3"/>
      <c r="FS580" s="3"/>
      <c r="FT580" s="3"/>
      <c r="FU580" s="3"/>
      <c r="FV580" s="3"/>
      <c r="FW580" s="3"/>
      <c r="FX580" s="3"/>
      <c r="FY580" s="3"/>
      <c r="FZ580" s="3"/>
      <c r="GA580" s="3"/>
      <c r="GB580" s="3"/>
      <c r="GC580" s="3"/>
      <c r="GD580" s="3"/>
      <c r="GE580" s="3"/>
      <c r="GF580" s="3"/>
      <c r="GG580" s="3"/>
      <c r="GH580" s="3"/>
      <c r="GI580" s="3"/>
      <c r="GJ580" s="3"/>
      <c r="GK580" s="3"/>
      <c r="GL580" s="3"/>
      <c r="GM580" s="3"/>
      <c r="GN580" s="3"/>
      <c r="GO580" s="3"/>
      <c r="GP580" s="3"/>
      <c r="GQ580" s="3"/>
      <c r="GR580" s="3"/>
      <c r="GS580" s="3"/>
      <c r="GT580" s="3"/>
      <c r="GU580" s="3"/>
      <c r="GV580" s="3"/>
      <c r="GW580" s="3"/>
      <c r="GX580" s="3"/>
      <c r="GY580" s="3"/>
      <c r="GZ580" s="3"/>
      <c r="HA580" s="3"/>
      <c r="HB580" s="3"/>
    </row>
    <row r="581" spans="1:210" ht="15.75" customHeight="1">
      <c r="A581" s="50"/>
      <c r="B581" s="50"/>
      <c r="C581" s="50"/>
      <c r="D581" s="50"/>
      <c r="E581" s="50"/>
      <c r="F581" s="50"/>
      <c r="G581" s="51"/>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50"/>
      <c r="AU581" s="50"/>
      <c r="AV581" s="50"/>
      <c r="AW581" s="50"/>
      <c r="AX581" s="50"/>
      <c r="AY581" s="50"/>
      <c r="AZ581" s="50"/>
      <c r="BA581" s="50"/>
      <c r="BB581" s="50"/>
      <c r="BC581" s="50"/>
      <c r="BD581" s="50"/>
      <c r="BE581" s="50"/>
      <c r="BF581" s="50"/>
      <c r="BG581" s="50"/>
      <c r="BH581" s="50"/>
      <c r="BI581" s="50"/>
      <c r="BJ581" s="50"/>
      <c r="BK581" s="50"/>
      <c r="BL581" s="50"/>
      <c r="BM581" s="50"/>
      <c r="BN581" s="50"/>
      <c r="BO581" s="50"/>
      <c r="BP581" s="50"/>
      <c r="BQ581" s="50"/>
      <c r="BR581" s="50"/>
      <c r="BS581" s="50"/>
      <c r="BT581" s="50"/>
      <c r="BU581" s="50"/>
      <c r="BV581" s="50"/>
      <c r="BW581" s="50"/>
      <c r="BX581" s="50"/>
      <c r="BY581" s="50"/>
      <c r="BZ581" s="50"/>
      <c r="CA581" s="50"/>
      <c r="CB581" s="50"/>
      <c r="CC581" s="50"/>
      <c r="CD581" s="52"/>
      <c r="CE581" s="50"/>
      <c r="CF581" s="50"/>
      <c r="CG581" s="50"/>
      <c r="CH581" s="50"/>
      <c r="CI581" s="50"/>
      <c r="CJ581" s="50"/>
      <c r="CK581" s="50"/>
      <c r="CL581" s="50"/>
      <c r="CM581" s="50"/>
      <c r="CN581" s="50"/>
      <c r="CO581" s="50"/>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c r="FF581" s="3"/>
      <c r="FG581" s="3"/>
      <c r="FH581" s="3"/>
      <c r="FI581" s="3"/>
      <c r="FJ581" s="3"/>
      <c r="FK581" s="3"/>
      <c r="FL581" s="3"/>
      <c r="FM581" s="3"/>
      <c r="FN581" s="3"/>
      <c r="FO581" s="3"/>
      <c r="FP581" s="3"/>
      <c r="FQ581" s="3"/>
      <c r="FR581" s="3"/>
      <c r="FS581" s="3"/>
      <c r="FT581" s="3"/>
      <c r="FU581" s="3"/>
      <c r="FV581" s="3"/>
      <c r="FW581" s="3"/>
      <c r="FX581" s="3"/>
      <c r="FY581" s="3"/>
      <c r="FZ581" s="3"/>
      <c r="GA581" s="3"/>
      <c r="GB581" s="3"/>
      <c r="GC581" s="3"/>
      <c r="GD581" s="3"/>
      <c r="GE581" s="3"/>
      <c r="GF581" s="3"/>
      <c r="GG581" s="3"/>
      <c r="GH581" s="3"/>
      <c r="GI581" s="3"/>
      <c r="GJ581" s="3"/>
      <c r="GK581" s="3"/>
      <c r="GL581" s="3"/>
      <c r="GM581" s="3"/>
      <c r="GN581" s="3"/>
      <c r="GO581" s="3"/>
      <c r="GP581" s="3"/>
      <c r="GQ581" s="3"/>
      <c r="GR581" s="3"/>
      <c r="GS581" s="3"/>
      <c r="GT581" s="3"/>
      <c r="GU581" s="3"/>
      <c r="GV581" s="3"/>
      <c r="GW581" s="3"/>
      <c r="GX581" s="3"/>
      <c r="GY581" s="3"/>
      <c r="GZ581" s="3"/>
      <c r="HA581" s="3"/>
      <c r="HB581" s="3"/>
    </row>
    <row r="582" spans="1:210" ht="15.75" customHeight="1">
      <c r="A582" s="50"/>
      <c r="B582" s="50"/>
      <c r="C582" s="50"/>
      <c r="D582" s="50"/>
      <c r="E582" s="50"/>
      <c r="F582" s="50"/>
      <c r="G582" s="51"/>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c r="AR582" s="50"/>
      <c r="AS582" s="50"/>
      <c r="AT582" s="50"/>
      <c r="AU582" s="50"/>
      <c r="AV582" s="50"/>
      <c r="AW582" s="50"/>
      <c r="AX582" s="50"/>
      <c r="AY582" s="50"/>
      <c r="AZ582" s="50"/>
      <c r="BA582" s="50"/>
      <c r="BB582" s="50"/>
      <c r="BC582" s="50"/>
      <c r="BD582" s="50"/>
      <c r="BE582" s="50"/>
      <c r="BF582" s="50"/>
      <c r="BG582" s="50"/>
      <c r="BH582" s="50"/>
      <c r="BI582" s="50"/>
      <c r="BJ582" s="50"/>
      <c r="BK582" s="50"/>
      <c r="BL582" s="50"/>
      <c r="BM582" s="50"/>
      <c r="BN582" s="50"/>
      <c r="BO582" s="50"/>
      <c r="BP582" s="50"/>
      <c r="BQ582" s="50"/>
      <c r="BR582" s="50"/>
      <c r="BS582" s="50"/>
      <c r="BT582" s="50"/>
      <c r="BU582" s="50"/>
      <c r="BV582" s="50"/>
      <c r="BW582" s="50"/>
      <c r="BX582" s="50"/>
      <c r="BY582" s="50"/>
      <c r="BZ582" s="50"/>
      <c r="CA582" s="50"/>
      <c r="CB582" s="50"/>
      <c r="CC582" s="50"/>
      <c r="CD582" s="52"/>
      <c r="CE582" s="50"/>
      <c r="CF582" s="50"/>
      <c r="CG582" s="50"/>
      <c r="CH582" s="50"/>
      <c r="CI582" s="50"/>
      <c r="CJ582" s="50"/>
      <c r="CK582" s="50"/>
      <c r="CL582" s="50"/>
      <c r="CM582" s="50"/>
      <c r="CN582" s="50"/>
      <c r="CO582" s="50"/>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c r="FF582" s="3"/>
      <c r="FG582" s="3"/>
      <c r="FH582" s="3"/>
      <c r="FI582" s="3"/>
      <c r="FJ582" s="3"/>
      <c r="FK582" s="3"/>
      <c r="FL582" s="3"/>
      <c r="FM582" s="3"/>
      <c r="FN582" s="3"/>
      <c r="FO582" s="3"/>
      <c r="FP582" s="3"/>
      <c r="FQ582" s="3"/>
      <c r="FR582" s="3"/>
      <c r="FS582" s="3"/>
      <c r="FT582" s="3"/>
      <c r="FU582" s="3"/>
      <c r="FV582" s="3"/>
      <c r="FW582" s="3"/>
      <c r="FX582" s="3"/>
      <c r="FY582" s="3"/>
      <c r="FZ582" s="3"/>
      <c r="GA582" s="3"/>
      <c r="GB582" s="3"/>
      <c r="GC582" s="3"/>
      <c r="GD582" s="3"/>
      <c r="GE582" s="3"/>
      <c r="GF582" s="3"/>
      <c r="GG582" s="3"/>
      <c r="GH582" s="3"/>
      <c r="GI582" s="3"/>
      <c r="GJ582" s="3"/>
      <c r="GK582" s="3"/>
      <c r="GL582" s="3"/>
      <c r="GM582" s="3"/>
      <c r="GN582" s="3"/>
      <c r="GO582" s="3"/>
      <c r="GP582" s="3"/>
      <c r="GQ582" s="3"/>
      <c r="GR582" s="3"/>
      <c r="GS582" s="3"/>
      <c r="GT582" s="3"/>
      <c r="GU582" s="3"/>
      <c r="GV582" s="3"/>
      <c r="GW582" s="3"/>
      <c r="GX582" s="3"/>
      <c r="GY582" s="3"/>
      <c r="GZ582" s="3"/>
      <c r="HA582" s="3"/>
      <c r="HB582" s="3"/>
    </row>
    <row r="583" spans="1:210" ht="15.75" customHeight="1">
      <c r="A583" s="50"/>
      <c r="B583" s="50"/>
      <c r="C583" s="50"/>
      <c r="D583" s="50"/>
      <c r="E583" s="50"/>
      <c r="F583" s="50"/>
      <c r="G583" s="51"/>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c r="AR583" s="50"/>
      <c r="AS583" s="50"/>
      <c r="AT583" s="50"/>
      <c r="AU583" s="50"/>
      <c r="AV583" s="50"/>
      <c r="AW583" s="50"/>
      <c r="AX583" s="50"/>
      <c r="AY583" s="50"/>
      <c r="AZ583" s="50"/>
      <c r="BA583" s="50"/>
      <c r="BB583" s="50"/>
      <c r="BC583" s="50"/>
      <c r="BD583" s="50"/>
      <c r="BE583" s="50"/>
      <c r="BF583" s="50"/>
      <c r="BG583" s="50"/>
      <c r="BH583" s="50"/>
      <c r="BI583" s="50"/>
      <c r="BJ583" s="50"/>
      <c r="BK583" s="50"/>
      <c r="BL583" s="50"/>
      <c r="BM583" s="50"/>
      <c r="BN583" s="50"/>
      <c r="BO583" s="50"/>
      <c r="BP583" s="50"/>
      <c r="BQ583" s="50"/>
      <c r="BR583" s="50"/>
      <c r="BS583" s="50"/>
      <c r="BT583" s="50"/>
      <c r="BU583" s="50"/>
      <c r="BV583" s="50"/>
      <c r="BW583" s="50"/>
      <c r="BX583" s="50"/>
      <c r="BY583" s="50"/>
      <c r="BZ583" s="50"/>
      <c r="CA583" s="50"/>
      <c r="CB583" s="50"/>
      <c r="CC583" s="50"/>
      <c r="CD583" s="52"/>
      <c r="CE583" s="50"/>
      <c r="CF583" s="50"/>
      <c r="CG583" s="50"/>
      <c r="CH583" s="50"/>
      <c r="CI583" s="50"/>
      <c r="CJ583" s="50"/>
      <c r="CK583" s="50"/>
      <c r="CL583" s="50"/>
      <c r="CM583" s="50"/>
      <c r="CN583" s="50"/>
      <c r="CO583" s="50"/>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c r="FF583" s="3"/>
      <c r="FG583" s="3"/>
      <c r="FH583" s="3"/>
      <c r="FI583" s="3"/>
      <c r="FJ583" s="3"/>
      <c r="FK583" s="3"/>
      <c r="FL583" s="3"/>
      <c r="FM583" s="3"/>
      <c r="FN583" s="3"/>
      <c r="FO583" s="3"/>
      <c r="FP583" s="3"/>
      <c r="FQ583" s="3"/>
      <c r="FR583" s="3"/>
      <c r="FS583" s="3"/>
      <c r="FT583" s="3"/>
      <c r="FU583" s="3"/>
      <c r="FV583" s="3"/>
      <c r="FW583" s="3"/>
      <c r="FX583" s="3"/>
      <c r="FY583" s="3"/>
      <c r="FZ583" s="3"/>
      <c r="GA583" s="3"/>
      <c r="GB583" s="3"/>
      <c r="GC583" s="3"/>
      <c r="GD583" s="3"/>
      <c r="GE583" s="3"/>
      <c r="GF583" s="3"/>
      <c r="GG583" s="3"/>
      <c r="GH583" s="3"/>
      <c r="GI583" s="3"/>
      <c r="GJ583" s="3"/>
      <c r="GK583" s="3"/>
      <c r="GL583" s="3"/>
      <c r="GM583" s="3"/>
      <c r="GN583" s="3"/>
      <c r="GO583" s="3"/>
      <c r="GP583" s="3"/>
      <c r="GQ583" s="3"/>
      <c r="GR583" s="3"/>
      <c r="GS583" s="3"/>
      <c r="GT583" s="3"/>
      <c r="GU583" s="3"/>
      <c r="GV583" s="3"/>
      <c r="GW583" s="3"/>
      <c r="GX583" s="3"/>
      <c r="GY583" s="3"/>
      <c r="GZ583" s="3"/>
      <c r="HA583" s="3"/>
      <c r="HB583" s="3"/>
    </row>
    <row r="584" spans="1:210" ht="15.75" customHeight="1">
      <c r="A584" s="50"/>
      <c r="B584" s="50"/>
      <c r="C584" s="50"/>
      <c r="D584" s="50"/>
      <c r="E584" s="50"/>
      <c r="F584" s="50"/>
      <c r="G584" s="51"/>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c r="AR584" s="50"/>
      <c r="AS584" s="50"/>
      <c r="AT584" s="50"/>
      <c r="AU584" s="50"/>
      <c r="AV584" s="50"/>
      <c r="AW584" s="50"/>
      <c r="AX584" s="50"/>
      <c r="AY584" s="50"/>
      <c r="AZ584" s="50"/>
      <c r="BA584" s="50"/>
      <c r="BB584" s="50"/>
      <c r="BC584" s="50"/>
      <c r="BD584" s="50"/>
      <c r="BE584" s="50"/>
      <c r="BF584" s="50"/>
      <c r="BG584" s="50"/>
      <c r="BH584" s="50"/>
      <c r="BI584" s="50"/>
      <c r="BJ584" s="50"/>
      <c r="BK584" s="50"/>
      <c r="BL584" s="50"/>
      <c r="BM584" s="50"/>
      <c r="BN584" s="50"/>
      <c r="BO584" s="50"/>
      <c r="BP584" s="50"/>
      <c r="BQ584" s="50"/>
      <c r="BR584" s="50"/>
      <c r="BS584" s="50"/>
      <c r="BT584" s="50"/>
      <c r="BU584" s="50"/>
      <c r="BV584" s="50"/>
      <c r="BW584" s="50"/>
      <c r="BX584" s="50"/>
      <c r="BY584" s="50"/>
      <c r="BZ584" s="50"/>
      <c r="CA584" s="50"/>
      <c r="CB584" s="50"/>
      <c r="CC584" s="50"/>
      <c r="CD584" s="52"/>
      <c r="CE584" s="50"/>
      <c r="CF584" s="50"/>
      <c r="CG584" s="50"/>
      <c r="CH584" s="50"/>
      <c r="CI584" s="50"/>
      <c r="CJ584" s="50"/>
      <c r="CK584" s="50"/>
      <c r="CL584" s="50"/>
      <c r="CM584" s="50"/>
      <c r="CN584" s="50"/>
      <c r="CO584" s="50"/>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c r="FF584" s="3"/>
      <c r="FG584" s="3"/>
      <c r="FH584" s="3"/>
      <c r="FI584" s="3"/>
      <c r="FJ584" s="3"/>
      <c r="FK584" s="3"/>
      <c r="FL584" s="3"/>
      <c r="FM584" s="3"/>
      <c r="FN584" s="3"/>
      <c r="FO584" s="3"/>
      <c r="FP584" s="3"/>
      <c r="FQ584" s="3"/>
      <c r="FR584" s="3"/>
      <c r="FS584" s="3"/>
      <c r="FT584" s="3"/>
      <c r="FU584" s="3"/>
      <c r="FV584" s="3"/>
      <c r="FW584" s="3"/>
      <c r="FX584" s="3"/>
      <c r="FY584" s="3"/>
      <c r="FZ584" s="3"/>
      <c r="GA584" s="3"/>
      <c r="GB584" s="3"/>
      <c r="GC584" s="3"/>
      <c r="GD584" s="3"/>
      <c r="GE584" s="3"/>
      <c r="GF584" s="3"/>
      <c r="GG584" s="3"/>
      <c r="GH584" s="3"/>
      <c r="GI584" s="3"/>
      <c r="GJ584" s="3"/>
      <c r="GK584" s="3"/>
      <c r="GL584" s="3"/>
      <c r="GM584" s="3"/>
      <c r="GN584" s="3"/>
      <c r="GO584" s="3"/>
      <c r="GP584" s="3"/>
      <c r="GQ584" s="3"/>
      <c r="GR584" s="3"/>
      <c r="GS584" s="3"/>
      <c r="GT584" s="3"/>
      <c r="GU584" s="3"/>
      <c r="GV584" s="3"/>
      <c r="GW584" s="3"/>
      <c r="GX584" s="3"/>
      <c r="GY584" s="3"/>
      <c r="GZ584" s="3"/>
      <c r="HA584" s="3"/>
      <c r="HB584" s="3"/>
    </row>
    <row r="585" spans="1:210" ht="15.75" customHeight="1">
      <c r="A585" s="50"/>
      <c r="B585" s="50"/>
      <c r="C585" s="50"/>
      <c r="D585" s="50"/>
      <c r="E585" s="50"/>
      <c r="F585" s="50"/>
      <c r="G585" s="51"/>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c r="AR585" s="50"/>
      <c r="AS585" s="50"/>
      <c r="AT585" s="50"/>
      <c r="AU585" s="50"/>
      <c r="AV585" s="50"/>
      <c r="AW585" s="50"/>
      <c r="AX585" s="50"/>
      <c r="AY585" s="50"/>
      <c r="AZ585" s="50"/>
      <c r="BA585" s="50"/>
      <c r="BB585" s="50"/>
      <c r="BC585" s="50"/>
      <c r="BD585" s="50"/>
      <c r="BE585" s="50"/>
      <c r="BF585" s="50"/>
      <c r="BG585" s="50"/>
      <c r="BH585" s="50"/>
      <c r="BI585" s="50"/>
      <c r="BJ585" s="50"/>
      <c r="BK585" s="50"/>
      <c r="BL585" s="50"/>
      <c r="BM585" s="50"/>
      <c r="BN585" s="50"/>
      <c r="BO585" s="50"/>
      <c r="BP585" s="50"/>
      <c r="BQ585" s="50"/>
      <c r="BR585" s="50"/>
      <c r="BS585" s="50"/>
      <c r="BT585" s="50"/>
      <c r="BU585" s="50"/>
      <c r="BV585" s="50"/>
      <c r="BW585" s="50"/>
      <c r="BX585" s="50"/>
      <c r="BY585" s="50"/>
      <c r="BZ585" s="50"/>
      <c r="CA585" s="50"/>
      <c r="CB585" s="50"/>
      <c r="CC585" s="50"/>
      <c r="CD585" s="52"/>
      <c r="CE585" s="50"/>
      <c r="CF585" s="50"/>
      <c r="CG585" s="50"/>
      <c r="CH585" s="50"/>
      <c r="CI585" s="50"/>
      <c r="CJ585" s="50"/>
      <c r="CK585" s="50"/>
      <c r="CL585" s="50"/>
      <c r="CM585" s="50"/>
      <c r="CN585" s="50"/>
      <c r="CO585" s="50"/>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c r="FF585" s="3"/>
      <c r="FG585" s="3"/>
      <c r="FH585" s="3"/>
      <c r="FI585" s="3"/>
      <c r="FJ585" s="3"/>
      <c r="FK585" s="3"/>
      <c r="FL585" s="3"/>
      <c r="FM585" s="3"/>
      <c r="FN585" s="3"/>
      <c r="FO585" s="3"/>
      <c r="FP585" s="3"/>
      <c r="FQ585" s="3"/>
      <c r="FR585" s="3"/>
      <c r="FS585" s="3"/>
      <c r="FT585" s="3"/>
      <c r="FU585" s="3"/>
      <c r="FV585" s="3"/>
      <c r="FW585" s="3"/>
      <c r="FX585" s="3"/>
      <c r="FY585" s="3"/>
      <c r="FZ585" s="3"/>
      <c r="GA585" s="3"/>
      <c r="GB585" s="3"/>
      <c r="GC585" s="3"/>
      <c r="GD585" s="3"/>
      <c r="GE585" s="3"/>
      <c r="GF585" s="3"/>
      <c r="GG585" s="3"/>
      <c r="GH585" s="3"/>
      <c r="GI585" s="3"/>
      <c r="GJ585" s="3"/>
      <c r="GK585" s="3"/>
      <c r="GL585" s="3"/>
      <c r="GM585" s="3"/>
      <c r="GN585" s="3"/>
      <c r="GO585" s="3"/>
      <c r="GP585" s="3"/>
      <c r="GQ585" s="3"/>
      <c r="GR585" s="3"/>
      <c r="GS585" s="3"/>
      <c r="GT585" s="3"/>
      <c r="GU585" s="3"/>
      <c r="GV585" s="3"/>
      <c r="GW585" s="3"/>
      <c r="GX585" s="3"/>
      <c r="GY585" s="3"/>
      <c r="GZ585" s="3"/>
      <c r="HA585" s="3"/>
      <c r="HB585" s="3"/>
    </row>
    <row r="586" spans="1:210" ht="15.75" customHeight="1">
      <c r="A586" s="50"/>
      <c r="B586" s="50"/>
      <c r="C586" s="50"/>
      <c r="D586" s="50"/>
      <c r="E586" s="50"/>
      <c r="F586" s="50"/>
      <c r="G586" s="51"/>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c r="AR586" s="50"/>
      <c r="AS586" s="50"/>
      <c r="AT586" s="50"/>
      <c r="AU586" s="50"/>
      <c r="AV586" s="50"/>
      <c r="AW586" s="50"/>
      <c r="AX586" s="50"/>
      <c r="AY586" s="50"/>
      <c r="AZ586" s="50"/>
      <c r="BA586" s="50"/>
      <c r="BB586" s="50"/>
      <c r="BC586" s="50"/>
      <c r="BD586" s="50"/>
      <c r="BE586" s="50"/>
      <c r="BF586" s="50"/>
      <c r="BG586" s="50"/>
      <c r="BH586" s="50"/>
      <c r="BI586" s="50"/>
      <c r="BJ586" s="50"/>
      <c r="BK586" s="50"/>
      <c r="BL586" s="50"/>
      <c r="BM586" s="50"/>
      <c r="BN586" s="50"/>
      <c r="BO586" s="50"/>
      <c r="BP586" s="50"/>
      <c r="BQ586" s="50"/>
      <c r="BR586" s="50"/>
      <c r="BS586" s="50"/>
      <c r="BT586" s="50"/>
      <c r="BU586" s="50"/>
      <c r="BV586" s="50"/>
      <c r="BW586" s="50"/>
      <c r="BX586" s="50"/>
      <c r="BY586" s="50"/>
      <c r="BZ586" s="50"/>
      <c r="CA586" s="50"/>
      <c r="CB586" s="50"/>
      <c r="CC586" s="50"/>
      <c r="CD586" s="52"/>
      <c r="CE586" s="50"/>
      <c r="CF586" s="50"/>
      <c r="CG586" s="50"/>
      <c r="CH586" s="50"/>
      <c r="CI586" s="50"/>
      <c r="CJ586" s="50"/>
      <c r="CK586" s="50"/>
      <c r="CL586" s="50"/>
      <c r="CM586" s="50"/>
      <c r="CN586" s="50"/>
      <c r="CO586" s="50"/>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c r="FF586" s="3"/>
      <c r="FG586" s="3"/>
      <c r="FH586" s="3"/>
      <c r="FI586" s="3"/>
      <c r="FJ586" s="3"/>
      <c r="FK586" s="3"/>
      <c r="FL586" s="3"/>
      <c r="FM586" s="3"/>
      <c r="FN586" s="3"/>
      <c r="FO586" s="3"/>
      <c r="FP586" s="3"/>
      <c r="FQ586" s="3"/>
      <c r="FR586" s="3"/>
      <c r="FS586" s="3"/>
      <c r="FT586" s="3"/>
      <c r="FU586" s="3"/>
      <c r="FV586" s="3"/>
      <c r="FW586" s="3"/>
      <c r="FX586" s="3"/>
      <c r="FY586" s="3"/>
      <c r="FZ586" s="3"/>
      <c r="GA586" s="3"/>
      <c r="GB586" s="3"/>
      <c r="GC586" s="3"/>
      <c r="GD586" s="3"/>
      <c r="GE586" s="3"/>
      <c r="GF586" s="3"/>
      <c r="GG586" s="3"/>
      <c r="GH586" s="3"/>
      <c r="GI586" s="3"/>
      <c r="GJ586" s="3"/>
      <c r="GK586" s="3"/>
      <c r="GL586" s="3"/>
      <c r="GM586" s="3"/>
      <c r="GN586" s="3"/>
      <c r="GO586" s="3"/>
      <c r="GP586" s="3"/>
      <c r="GQ586" s="3"/>
      <c r="GR586" s="3"/>
      <c r="GS586" s="3"/>
      <c r="GT586" s="3"/>
      <c r="GU586" s="3"/>
      <c r="GV586" s="3"/>
      <c r="GW586" s="3"/>
      <c r="GX586" s="3"/>
      <c r="GY586" s="3"/>
      <c r="GZ586" s="3"/>
      <c r="HA586" s="3"/>
      <c r="HB586" s="3"/>
    </row>
    <row r="587" spans="1:210" ht="15.75" customHeight="1">
      <c r="A587" s="50"/>
      <c r="B587" s="50"/>
      <c r="C587" s="50"/>
      <c r="D587" s="50"/>
      <c r="E587" s="50"/>
      <c r="F587" s="50"/>
      <c r="G587" s="51"/>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c r="AR587" s="50"/>
      <c r="AS587" s="50"/>
      <c r="AT587" s="50"/>
      <c r="AU587" s="50"/>
      <c r="AV587" s="50"/>
      <c r="AW587" s="50"/>
      <c r="AX587" s="50"/>
      <c r="AY587" s="50"/>
      <c r="AZ587" s="50"/>
      <c r="BA587" s="50"/>
      <c r="BB587" s="50"/>
      <c r="BC587" s="50"/>
      <c r="BD587" s="50"/>
      <c r="BE587" s="50"/>
      <c r="BF587" s="50"/>
      <c r="BG587" s="50"/>
      <c r="BH587" s="50"/>
      <c r="BI587" s="50"/>
      <c r="BJ587" s="50"/>
      <c r="BK587" s="50"/>
      <c r="BL587" s="50"/>
      <c r="BM587" s="50"/>
      <c r="BN587" s="50"/>
      <c r="BO587" s="50"/>
      <c r="BP587" s="50"/>
      <c r="BQ587" s="50"/>
      <c r="BR587" s="50"/>
      <c r="BS587" s="50"/>
      <c r="BT587" s="50"/>
      <c r="BU587" s="50"/>
      <c r="BV587" s="50"/>
      <c r="BW587" s="50"/>
      <c r="BX587" s="50"/>
      <c r="BY587" s="50"/>
      <c r="BZ587" s="50"/>
      <c r="CA587" s="50"/>
      <c r="CB587" s="50"/>
      <c r="CC587" s="50"/>
      <c r="CD587" s="52"/>
      <c r="CE587" s="50"/>
      <c r="CF587" s="50"/>
      <c r="CG587" s="50"/>
      <c r="CH587" s="50"/>
      <c r="CI587" s="50"/>
      <c r="CJ587" s="50"/>
      <c r="CK587" s="50"/>
      <c r="CL587" s="50"/>
      <c r="CM587" s="50"/>
      <c r="CN587" s="50"/>
      <c r="CO587" s="50"/>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c r="FF587" s="3"/>
      <c r="FG587" s="3"/>
      <c r="FH587" s="3"/>
      <c r="FI587" s="3"/>
      <c r="FJ587" s="3"/>
      <c r="FK587" s="3"/>
      <c r="FL587" s="3"/>
      <c r="FM587" s="3"/>
      <c r="FN587" s="3"/>
      <c r="FO587" s="3"/>
      <c r="FP587" s="3"/>
      <c r="FQ587" s="3"/>
      <c r="FR587" s="3"/>
      <c r="FS587" s="3"/>
      <c r="FT587" s="3"/>
      <c r="FU587" s="3"/>
      <c r="FV587" s="3"/>
      <c r="FW587" s="3"/>
      <c r="FX587" s="3"/>
      <c r="FY587" s="3"/>
      <c r="FZ587" s="3"/>
      <c r="GA587" s="3"/>
      <c r="GB587" s="3"/>
      <c r="GC587" s="3"/>
      <c r="GD587" s="3"/>
      <c r="GE587" s="3"/>
      <c r="GF587" s="3"/>
      <c r="GG587" s="3"/>
      <c r="GH587" s="3"/>
      <c r="GI587" s="3"/>
      <c r="GJ587" s="3"/>
      <c r="GK587" s="3"/>
      <c r="GL587" s="3"/>
      <c r="GM587" s="3"/>
      <c r="GN587" s="3"/>
      <c r="GO587" s="3"/>
      <c r="GP587" s="3"/>
      <c r="GQ587" s="3"/>
      <c r="GR587" s="3"/>
      <c r="GS587" s="3"/>
      <c r="GT587" s="3"/>
      <c r="GU587" s="3"/>
      <c r="GV587" s="3"/>
      <c r="GW587" s="3"/>
      <c r="GX587" s="3"/>
      <c r="GY587" s="3"/>
      <c r="GZ587" s="3"/>
      <c r="HA587" s="3"/>
      <c r="HB587" s="3"/>
    </row>
    <row r="588" spans="1:210" ht="15.75" customHeight="1">
      <c r="A588" s="50"/>
      <c r="B588" s="50"/>
      <c r="C588" s="50"/>
      <c r="D588" s="50"/>
      <c r="E588" s="50"/>
      <c r="F588" s="50"/>
      <c r="G588" s="51"/>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c r="AR588" s="50"/>
      <c r="AS588" s="50"/>
      <c r="AT588" s="50"/>
      <c r="AU588" s="50"/>
      <c r="AV588" s="50"/>
      <c r="AW588" s="50"/>
      <c r="AX588" s="50"/>
      <c r="AY588" s="50"/>
      <c r="AZ588" s="50"/>
      <c r="BA588" s="50"/>
      <c r="BB588" s="50"/>
      <c r="BC588" s="50"/>
      <c r="BD588" s="50"/>
      <c r="BE588" s="50"/>
      <c r="BF588" s="50"/>
      <c r="BG588" s="50"/>
      <c r="BH588" s="50"/>
      <c r="BI588" s="50"/>
      <c r="BJ588" s="50"/>
      <c r="BK588" s="50"/>
      <c r="BL588" s="50"/>
      <c r="BM588" s="50"/>
      <c r="BN588" s="50"/>
      <c r="BO588" s="50"/>
      <c r="BP588" s="50"/>
      <c r="BQ588" s="50"/>
      <c r="BR588" s="50"/>
      <c r="BS588" s="50"/>
      <c r="BT588" s="50"/>
      <c r="BU588" s="50"/>
      <c r="BV588" s="50"/>
      <c r="BW588" s="50"/>
      <c r="BX588" s="50"/>
      <c r="BY588" s="50"/>
      <c r="BZ588" s="50"/>
      <c r="CA588" s="50"/>
      <c r="CB588" s="50"/>
      <c r="CC588" s="50"/>
      <c r="CD588" s="52"/>
      <c r="CE588" s="50"/>
      <c r="CF588" s="50"/>
      <c r="CG588" s="50"/>
      <c r="CH588" s="50"/>
      <c r="CI588" s="50"/>
      <c r="CJ588" s="50"/>
      <c r="CK588" s="50"/>
      <c r="CL588" s="50"/>
      <c r="CM588" s="50"/>
      <c r="CN588" s="50"/>
      <c r="CO588" s="50"/>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c r="FF588" s="3"/>
      <c r="FG588" s="3"/>
      <c r="FH588" s="3"/>
      <c r="FI588" s="3"/>
      <c r="FJ588" s="3"/>
      <c r="FK588" s="3"/>
      <c r="FL588" s="3"/>
      <c r="FM588" s="3"/>
      <c r="FN588" s="3"/>
      <c r="FO588" s="3"/>
      <c r="FP588" s="3"/>
      <c r="FQ588" s="3"/>
      <c r="FR588" s="3"/>
      <c r="FS588" s="3"/>
      <c r="FT588" s="3"/>
      <c r="FU588" s="3"/>
      <c r="FV588" s="3"/>
      <c r="FW588" s="3"/>
      <c r="FX588" s="3"/>
      <c r="FY588" s="3"/>
      <c r="FZ588" s="3"/>
      <c r="GA588" s="3"/>
      <c r="GB588" s="3"/>
      <c r="GC588" s="3"/>
      <c r="GD588" s="3"/>
      <c r="GE588" s="3"/>
      <c r="GF588" s="3"/>
      <c r="GG588" s="3"/>
      <c r="GH588" s="3"/>
      <c r="GI588" s="3"/>
      <c r="GJ588" s="3"/>
      <c r="GK588" s="3"/>
      <c r="GL588" s="3"/>
      <c r="GM588" s="3"/>
      <c r="GN588" s="3"/>
      <c r="GO588" s="3"/>
      <c r="GP588" s="3"/>
      <c r="GQ588" s="3"/>
      <c r="GR588" s="3"/>
      <c r="GS588" s="3"/>
      <c r="GT588" s="3"/>
      <c r="GU588" s="3"/>
      <c r="GV588" s="3"/>
      <c r="GW588" s="3"/>
      <c r="GX588" s="3"/>
      <c r="GY588" s="3"/>
      <c r="GZ588" s="3"/>
      <c r="HA588" s="3"/>
      <c r="HB588" s="3"/>
    </row>
    <row r="589" spans="1:210" ht="15.75" customHeight="1">
      <c r="A589" s="50"/>
      <c r="B589" s="50"/>
      <c r="C589" s="50"/>
      <c r="D589" s="50"/>
      <c r="E589" s="50"/>
      <c r="F589" s="50"/>
      <c r="G589" s="51"/>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c r="AR589" s="50"/>
      <c r="AS589" s="50"/>
      <c r="AT589" s="50"/>
      <c r="AU589" s="50"/>
      <c r="AV589" s="50"/>
      <c r="AW589" s="50"/>
      <c r="AX589" s="50"/>
      <c r="AY589" s="50"/>
      <c r="AZ589" s="50"/>
      <c r="BA589" s="50"/>
      <c r="BB589" s="50"/>
      <c r="BC589" s="50"/>
      <c r="BD589" s="50"/>
      <c r="BE589" s="50"/>
      <c r="BF589" s="50"/>
      <c r="BG589" s="50"/>
      <c r="BH589" s="50"/>
      <c r="BI589" s="50"/>
      <c r="BJ589" s="50"/>
      <c r="BK589" s="50"/>
      <c r="BL589" s="50"/>
      <c r="BM589" s="50"/>
      <c r="BN589" s="50"/>
      <c r="BO589" s="50"/>
      <c r="BP589" s="50"/>
      <c r="BQ589" s="50"/>
      <c r="BR589" s="50"/>
      <c r="BS589" s="50"/>
      <c r="BT589" s="50"/>
      <c r="BU589" s="50"/>
      <c r="BV589" s="50"/>
      <c r="BW589" s="50"/>
      <c r="BX589" s="50"/>
      <c r="BY589" s="50"/>
      <c r="BZ589" s="50"/>
      <c r="CA589" s="50"/>
      <c r="CB589" s="50"/>
      <c r="CC589" s="50"/>
      <c r="CD589" s="52"/>
      <c r="CE589" s="50"/>
      <c r="CF589" s="50"/>
      <c r="CG589" s="50"/>
      <c r="CH589" s="50"/>
      <c r="CI589" s="50"/>
      <c r="CJ589" s="50"/>
      <c r="CK589" s="50"/>
      <c r="CL589" s="50"/>
      <c r="CM589" s="50"/>
      <c r="CN589" s="50"/>
      <c r="CO589" s="50"/>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c r="FF589" s="3"/>
      <c r="FG589" s="3"/>
      <c r="FH589" s="3"/>
      <c r="FI589" s="3"/>
      <c r="FJ589" s="3"/>
      <c r="FK589" s="3"/>
      <c r="FL589" s="3"/>
      <c r="FM589" s="3"/>
      <c r="FN589" s="3"/>
      <c r="FO589" s="3"/>
      <c r="FP589" s="3"/>
      <c r="FQ589" s="3"/>
      <c r="FR589" s="3"/>
      <c r="FS589" s="3"/>
      <c r="FT589" s="3"/>
      <c r="FU589" s="3"/>
      <c r="FV589" s="3"/>
      <c r="FW589" s="3"/>
      <c r="FX589" s="3"/>
      <c r="FY589" s="3"/>
      <c r="FZ589" s="3"/>
      <c r="GA589" s="3"/>
      <c r="GB589" s="3"/>
      <c r="GC589" s="3"/>
      <c r="GD589" s="3"/>
      <c r="GE589" s="3"/>
      <c r="GF589" s="3"/>
      <c r="GG589" s="3"/>
      <c r="GH589" s="3"/>
      <c r="GI589" s="3"/>
      <c r="GJ589" s="3"/>
      <c r="GK589" s="3"/>
      <c r="GL589" s="3"/>
      <c r="GM589" s="3"/>
      <c r="GN589" s="3"/>
      <c r="GO589" s="3"/>
      <c r="GP589" s="3"/>
      <c r="GQ589" s="3"/>
      <c r="GR589" s="3"/>
      <c r="GS589" s="3"/>
      <c r="GT589" s="3"/>
      <c r="GU589" s="3"/>
      <c r="GV589" s="3"/>
      <c r="GW589" s="3"/>
      <c r="GX589" s="3"/>
      <c r="GY589" s="3"/>
      <c r="GZ589" s="3"/>
      <c r="HA589" s="3"/>
      <c r="HB589" s="3"/>
    </row>
    <row r="590" spans="1:210" ht="15.75" customHeight="1">
      <c r="A590" s="50"/>
      <c r="B590" s="50"/>
      <c r="C590" s="50"/>
      <c r="D590" s="50"/>
      <c r="E590" s="50"/>
      <c r="F590" s="50"/>
      <c r="G590" s="51"/>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c r="AR590" s="50"/>
      <c r="AS590" s="50"/>
      <c r="AT590" s="50"/>
      <c r="AU590" s="50"/>
      <c r="AV590" s="50"/>
      <c r="AW590" s="50"/>
      <c r="AX590" s="50"/>
      <c r="AY590" s="50"/>
      <c r="AZ590" s="50"/>
      <c r="BA590" s="50"/>
      <c r="BB590" s="50"/>
      <c r="BC590" s="50"/>
      <c r="BD590" s="50"/>
      <c r="BE590" s="50"/>
      <c r="BF590" s="50"/>
      <c r="BG590" s="50"/>
      <c r="BH590" s="50"/>
      <c r="BI590" s="50"/>
      <c r="BJ590" s="50"/>
      <c r="BK590" s="50"/>
      <c r="BL590" s="50"/>
      <c r="BM590" s="50"/>
      <c r="BN590" s="50"/>
      <c r="BO590" s="50"/>
      <c r="BP590" s="50"/>
      <c r="BQ590" s="50"/>
      <c r="BR590" s="50"/>
      <c r="BS590" s="50"/>
      <c r="BT590" s="50"/>
      <c r="BU590" s="50"/>
      <c r="BV590" s="50"/>
      <c r="BW590" s="50"/>
      <c r="BX590" s="50"/>
      <c r="BY590" s="50"/>
      <c r="BZ590" s="50"/>
      <c r="CA590" s="50"/>
      <c r="CB590" s="50"/>
      <c r="CC590" s="50"/>
      <c r="CD590" s="52"/>
      <c r="CE590" s="50"/>
      <c r="CF590" s="50"/>
      <c r="CG590" s="50"/>
      <c r="CH590" s="50"/>
      <c r="CI590" s="50"/>
      <c r="CJ590" s="50"/>
      <c r="CK590" s="50"/>
      <c r="CL590" s="50"/>
      <c r="CM590" s="50"/>
      <c r="CN590" s="50"/>
      <c r="CO590" s="50"/>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c r="FF590" s="3"/>
      <c r="FG590" s="3"/>
      <c r="FH590" s="3"/>
      <c r="FI590" s="3"/>
      <c r="FJ590" s="3"/>
      <c r="FK590" s="3"/>
      <c r="FL590" s="3"/>
      <c r="FM590" s="3"/>
      <c r="FN590" s="3"/>
      <c r="FO590" s="3"/>
      <c r="FP590" s="3"/>
      <c r="FQ590" s="3"/>
      <c r="FR590" s="3"/>
      <c r="FS590" s="3"/>
      <c r="FT590" s="3"/>
      <c r="FU590" s="3"/>
      <c r="FV590" s="3"/>
      <c r="FW590" s="3"/>
      <c r="FX590" s="3"/>
      <c r="FY590" s="3"/>
      <c r="FZ590" s="3"/>
      <c r="GA590" s="3"/>
      <c r="GB590" s="3"/>
      <c r="GC590" s="3"/>
      <c r="GD590" s="3"/>
      <c r="GE590" s="3"/>
      <c r="GF590" s="3"/>
      <c r="GG590" s="3"/>
      <c r="GH590" s="3"/>
      <c r="GI590" s="3"/>
      <c r="GJ590" s="3"/>
      <c r="GK590" s="3"/>
      <c r="GL590" s="3"/>
      <c r="GM590" s="3"/>
      <c r="GN590" s="3"/>
      <c r="GO590" s="3"/>
      <c r="GP590" s="3"/>
      <c r="GQ590" s="3"/>
      <c r="GR590" s="3"/>
      <c r="GS590" s="3"/>
      <c r="GT590" s="3"/>
      <c r="GU590" s="3"/>
      <c r="GV590" s="3"/>
      <c r="GW590" s="3"/>
      <c r="GX590" s="3"/>
      <c r="GY590" s="3"/>
      <c r="GZ590" s="3"/>
      <c r="HA590" s="3"/>
      <c r="HB590" s="3"/>
    </row>
    <row r="591" spans="1:210" ht="15.75" customHeight="1">
      <c r="A591" s="50"/>
      <c r="B591" s="50"/>
      <c r="C591" s="50"/>
      <c r="D591" s="50"/>
      <c r="E591" s="50"/>
      <c r="F591" s="50"/>
      <c r="G591" s="51"/>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c r="AR591" s="50"/>
      <c r="AS591" s="50"/>
      <c r="AT591" s="50"/>
      <c r="AU591" s="50"/>
      <c r="AV591" s="50"/>
      <c r="AW591" s="50"/>
      <c r="AX591" s="50"/>
      <c r="AY591" s="50"/>
      <c r="AZ591" s="50"/>
      <c r="BA591" s="50"/>
      <c r="BB591" s="50"/>
      <c r="BC591" s="50"/>
      <c r="BD591" s="50"/>
      <c r="BE591" s="50"/>
      <c r="BF591" s="50"/>
      <c r="BG591" s="50"/>
      <c r="BH591" s="50"/>
      <c r="BI591" s="50"/>
      <c r="BJ591" s="50"/>
      <c r="BK591" s="50"/>
      <c r="BL591" s="50"/>
      <c r="BM591" s="50"/>
      <c r="BN591" s="50"/>
      <c r="BO591" s="50"/>
      <c r="BP591" s="50"/>
      <c r="BQ591" s="50"/>
      <c r="BR591" s="50"/>
      <c r="BS591" s="50"/>
      <c r="BT591" s="50"/>
      <c r="BU591" s="50"/>
      <c r="BV591" s="50"/>
      <c r="BW591" s="50"/>
      <c r="BX591" s="50"/>
      <c r="BY591" s="50"/>
      <c r="BZ591" s="50"/>
      <c r="CA591" s="50"/>
      <c r="CB591" s="50"/>
      <c r="CC591" s="50"/>
      <c r="CD591" s="52"/>
      <c r="CE591" s="50"/>
      <c r="CF591" s="50"/>
      <c r="CG591" s="50"/>
      <c r="CH591" s="50"/>
      <c r="CI591" s="50"/>
      <c r="CJ591" s="50"/>
      <c r="CK591" s="50"/>
      <c r="CL591" s="50"/>
      <c r="CM591" s="50"/>
      <c r="CN591" s="50"/>
      <c r="CO591" s="50"/>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c r="FF591" s="3"/>
      <c r="FG591" s="3"/>
      <c r="FH591" s="3"/>
      <c r="FI591" s="3"/>
      <c r="FJ591" s="3"/>
      <c r="FK591" s="3"/>
      <c r="FL591" s="3"/>
      <c r="FM591" s="3"/>
      <c r="FN591" s="3"/>
      <c r="FO591" s="3"/>
      <c r="FP591" s="3"/>
      <c r="FQ591" s="3"/>
      <c r="FR591" s="3"/>
      <c r="FS591" s="3"/>
      <c r="FT591" s="3"/>
      <c r="FU591" s="3"/>
      <c r="FV591" s="3"/>
      <c r="FW591" s="3"/>
      <c r="FX591" s="3"/>
      <c r="FY591" s="3"/>
      <c r="FZ591" s="3"/>
      <c r="GA591" s="3"/>
      <c r="GB591" s="3"/>
      <c r="GC591" s="3"/>
      <c r="GD591" s="3"/>
      <c r="GE591" s="3"/>
      <c r="GF591" s="3"/>
      <c r="GG591" s="3"/>
      <c r="GH591" s="3"/>
      <c r="GI591" s="3"/>
      <c r="GJ591" s="3"/>
      <c r="GK591" s="3"/>
      <c r="GL591" s="3"/>
      <c r="GM591" s="3"/>
      <c r="GN591" s="3"/>
      <c r="GO591" s="3"/>
      <c r="GP591" s="3"/>
      <c r="GQ591" s="3"/>
      <c r="GR591" s="3"/>
      <c r="GS591" s="3"/>
      <c r="GT591" s="3"/>
      <c r="GU591" s="3"/>
      <c r="GV591" s="3"/>
      <c r="GW591" s="3"/>
      <c r="GX591" s="3"/>
      <c r="GY591" s="3"/>
      <c r="GZ591" s="3"/>
      <c r="HA591" s="3"/>
      <c r="HB591" s="3"/>
    </row>
    <row r="592" spans="1:210" ht="15.75" customHeight="1">
      <c r="A592" s="50"/>
      <c r="B592" s="50"/>
      <c r="C592" s="50"/>
      <c r="D592" s="50"/>
      <c r="E592" s="50"/>
      <c r="F592" s="50"/>
      <c r="G592" s="51"/>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c r="AR592" s="50"/>
      <c r="AS592" s="50"/>
      <c r="AT592" s="50"/>
      <c r="AU592" s="50"/>
      <c r="AV592" s="50"/>
      <c r="AW592" s="50"/>
      <c r="AX592" s="50"/>
      <c r="AY592" s="50"/>
      <c r="AZ592" s="50"/>
      <c r="BA592" s="50"/>
      <c r="BB592" s="50"/>
      <c r="BC592" s="50"/>
      <c r="BD592" s="50"/>
      <c r="BE592" s="50"/>
      <c r="BF592" s="50"/>
      <c r="BG592" s="50"/>
      <c r="BH592" s="50"/>
      <c r="BI592" s="50"/>
      <c r="BJ592" s="50"/>
      <c r="BK592" s="50"/>
      <c r="BL592" s="50"/>
      <c r="BM592" s="50"/>
      <c r="BN592" s="50"/>
      <c r="BO592" s="50"/>
      <c r="BP592" s="50"/>
      <c r="BQ592" s="50"/>
      <c r="BR592" s="50"/>
      <c r="BS592" s="50"/>
      <c r="BT592" s="50"/>
      <c r="BU592" s="50"/>
      <c r="BV592" s="50"/>
      <c r="BW592" s="50"/>
      <c r="BX592" s="50"/>
      <c r="BY592" s="50"/>
      <c r="BZ592" s="50"/>
      <c r="CA592" s="50"/>
      <c r="CB592" s="50"/>
      <c r="CC592" s="50"/>
      <c r="CD592" s="52"/>
      <c r="CE592" s="50"/>
      <c r="CF592" s="50"/>
      <c r="CG592" s="50"/>
      <c r="CH592" s="50"/>
      <c r="CI592" s="50"/>
      <c r="CJ592" s="50"/>
      <c r="CK592" s="50"/>
      <c r="CL592" s="50"/>
      <c r="CM592" s="50"/>
      <c r="CN592" s="50"/>
      <c r="CO592" s="50"/>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c r="FF592" s="3"/>
      <c r="FG592" s="3"/>
      <c r="FH592" s="3"/>
      <c r="FI592" s="3"/>
      <c r="FJ592" s="3"/>
      <c r="FK592" s="3"/>
      <c r="FL592" s="3"/>
      <c r="FM592" s="3"/>
      <c r="FN592" s="3"/>
      <c r="FO592" s="3"/>
      <c r="FP592" s="3"/>
      <c r="FQ592" s="3"/>
      <c r="FR592" s="3"/>
      <c r="FS592" s="3"/>
      <c r="FT592" s="3"/>
      <c r="FU592" s="3"/>
      <c r="FV592" s="3"/>
      <c r="FW592" s="3"/>
      <c r="FX592" s="3"/>
      <c r="FY592" s="3"/>
      <c r="FZ592" s="3"/>
      <c r="GA592" s="3"/>
      <c r="GB592" s="3"/>
      <c r="GC592" s="3"/>
      <c r="GD592" s="3"/>
      <c r="GE592" s="3"/>
      <c r="GF592" s="3"/>
      <c r="GG592" s="3"/>
      <c r="GH592" s="3"/>
      <c r="GI592" s="3"/>
      <c r="GJ592" s="3"/>
      <c r="GK592" s="3"/>
      <c r="GL592" s="3"/>
      <c r="GM592" s="3"/>
      <c r="GN592" s="3"/>
      <c r="GO592" s="3"/>
      <c r="GP592" s="3"/>
      <c r="GQ592" s="3"/>
      <c r="GR592" s="3"/>
      <c r="GS592" s="3"/>
      <c r="GT592" s="3"/>
      <c r="GU592" s="3"/>
      <c r="GV592" s="3"/>
      <c r="GW592" s="3"/>
      <c r="GX592" s="3"/>
      <c r="GY592" s="3"/>
      <c r="GZ592" s="3"/>
      <c r="HA592" s="3"/>
      <c r="HB592" s="3"/>
    </row>
    <row r="593" spans="1:210" ht="15.75" customHeight="1">
      <c r="A593" s="50"/>
      <c r="B593" s="50"/>
      <c r="C593" s="50"/>
      <c r="D593" s="50"/>
      <c r="E593" s="50"/>
      <c r="F593" s="50"/>
      <c r="G593" s="51"/>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c r="AR593" s="50"/>
      <c r="AS593" s="50"/>
      <c r="AT593" s="50"/>
      <c r="AU593" s="50"/>
      <c r="AV593" s="50"/>
      <c r="AW593" s="50"/>
      <c r="AX593" s="50"/>
      <c r="AY593" s="50"/>
      <c r="AZ593" s="50"/>
      <c r="BA593" s="50"/>
      <c r="BB593" s="50"/>
      <c r="BC593" s="50"/>
      <c r="BD593" s="50"/>
      <c r="BE593" s="50"/>
      <c r="BF593" s="50"/>
      <c r="BG593" s="50"/>
      <c r="BH593" s="50"/>
      <c r="BI593" s="50"/>
      <c r="BJ593" s="50"/>
      <c r="BK593" s="50"/>
      <c r="BL593" s="50"/>
      <c r="BM593" s="50"/>
      <c r="BN593" s="50"/>
      <c r="BO593" s="50"/>
      <c r="BP593" s="50"/>
      <c r="BQ593" s="50"/>
      <c r="BR593" s="50"/>
      <c r="BS593" s="50"/>
      <c r="BT593" s="50"/>
      <c r="BU593" s="50"/>
      <c r="BV593" s="50"/>
      <c r="BW593" s="50"/>
      <c r="BX593" s="50"/>
      <c r="BY593" s="50"/>
      <c r="BZ593" s="50"/>
      <c r="CA593" s="50"/>
      <c r="CB593" s="50"/>
      <c r="CC593" s="50"/>
      <c r="CD593" s="52"/>
      <c r="CE593" s="50"/>
      <c r="CF593" s="50"/>
      <c r="CG593" s="50"/>
      <c r="CH593" s="50"/>
      <c r="CI593" s="50"/>
      <c r="CJ593" s="50"/>
      <c r="CK593" s="50"/>
      <c r="CL593" s="50"/>
      <c r="CM593" s="50"/>
      <c r="CN593" s="50"/>
      <c r="CO593" s="50"/>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c r="FF593" s="3"/>
      <c r="FG593" s="3"/>
      <c r="FH593" s="3"/>
      <c r="FI593" s="3"/>
      <c r="FJ593" s="3"/>
      <c r="FK593" s="3"/>
      <c r="FL593" s="3"/>
      <c r="FM593" s="3"/>
      <c r="FN593" s="3"/>
      <c r="FO593" s="3"/>
      <c r="FP593" s="3"/>
      <c r="FQ593" s="3"/>
      <c r="FR593" s="3"/>
      <c r="FS593" s="3"/>
      <c r="FT593" s="3"/>
      <c r="FU593" s="3"/>
      <c r="FV593" s="3"/>
      <c r="FW593" s="3"/>
      <c r="FX593" s="3"/>
      <c r="FY593" s="3"/>
      <c r="FZ593" s="3"/>
      <c r="GA593" s="3"/>
      <c r="GB593" s="3"/>
      <c r="GC593" s="3"/>
      <c r="GD593" s="3"/>
      <c r="GE593" s="3"/>
      <c r="GF593" s="3"/>
      <c r="GG593" s="3"/>
      <c r="GH593" s="3"/>
      <c r="GI593" s="3"/>
      <c r="GJ593" s="3"/>
      <c r="GK593" s="3"/>
      <c r="GL593" s="3"/>
      <c r="GM593" s="3"/>
      <c r="GN593" s="3"/>
      <c r="GO593" s="3"/>
      <c r="GP593" s="3"/>
      <c r="GQ593" s="3"/>
      <c r="GR593" s="3"/>
      <c r="GS593" s="3"/>
      <c r="GT593" s="3"/>
      <c r="GU593" s="3"/>
      <c r="GV593" s="3"/>
      <c r="GW593" s="3"/>
      <c r="GX593" s="3"/>
      <c r="GY593" s="3"/>
      <c r="GZ593" s="3"/>
      <c r="HA593" s="3"/>
      <c r="HB593" s="3"/>
    </row>
    <row r="594" spans="1:210" ht="15.75" customHeight="1">
      <c r="A594" s="50"/>
      <c r="B594" s="50"/>
      <c r="C594" s="50"/>
      <c r="D594" s="50"/>
      <c r="E594" s="50"/>
      <c r="F594" s="50"/>
      <c r="G594" s="51"/>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c r="AR594" s="50"/>
      <c r="AS594" s="50"/>
      <c r="AT594" s="50"/>
      <c r="AU594" s="50"/>
      <c r="AV594" s="50"/>
      <c r="AW594" s="50"/>
      <c r="AX594" s="50"/>
      <c r="AY594" s="50"/>
      <c r="AZ594" s="50"/>
      <c r="BA594" s="50"/>
      <c r="BB594" s="50"/>
      <c r="BC594" s="50"/>
      <c r="BD594" s="50"/>
      <c r="BE594" s="50"/>
      <c r="BF594" s="50"/>
      <c r="BG594" s="50"/>
      <c r="BH594" s="50"/>
      <c r="BI594" s="50"/>
      <c r="BJ594" s="50"/>
      <c r="BK594" s="50"/>
      <c r="BL594" s="50"/>
      <c r="BM594" s="50"/>
      <c r="BN594" s="50"/>
      <c r="BO594" s="50"/>
      <c r="BP594" s="50"/>
      <c r="BQ594" s="50"/>
      <c r="BR594" s="50"/>
      <c r="BS594" s="50"/>
      <c r="BT594" s="50"/>
      <c r="BU594" s="50"/>
      <c r="BV594" s="50"/>
      <c r="BW594" s="50"/>
      <c r="BX594" s="50"/>
      <c r="BY594" s="50"/>
      <c r="BZ594" s="50"/>
      <c r="CA594" s="50"/>
      <c r="CB594" s="50"/>
      <c r="CC594" s="50"/>
      <c r="CD594" s="52"/>
      <c r="CE594" s="50"/>
      <c r="CF594" s="50"/>
      <c r="CG594" s="50"/>
      <c r="CH594" s="50"/>
      <c r="CI594" s="50"/>
      <c r="CJ594" s="50"/>
      <c r="CK594" s="50"/>
      <c r="CL594" s="50"/>
      <c r="CM594" s="50"/>
      <c r="CN594" s="50"/>
      <c r="CO594" s="50"/>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c r="FF594" s="3"/>
      <c r="FG594" s="3"/>
      <c r="FH594" s="3"/>
      <c r="FI594" s="3"/>
      <c r="FJ594" s="3"/>
      <c r="FK594" s="3"/>
      <c r="FL594" s="3"/>
      <c r="FM594" s="3"/>
      <c r="FN594" s="3"/>
      <c r="FO594" s="3"/>
      <c r="FP594" s="3"/>
      <c r="FQ594" s="3"/>
      <c r="FR594" s="3"/>
      <c r="FS594" s="3"/>
      <c r="FT594" s="3"/>
      <c r="FU594" s="3"/>
      <c r="FV594" s="3"/>
      <c r="FW594" s="3"/>
      <c r="FX594" s="3"/>
      <c r="FY594" s="3"/>
      <c r="FZ594" s="3"/>
      <c r="GA594" s="3"/>
      <c r="GB594" s="3"/>
      <c r="GC594" s="3"/>
      <c r="GD594" s="3"/>
      <c r="GE594" s="3"/>
      <c r="GF594" s="3"/>
      <c r="GG594" s="3"/>
      <c r="GH594" s="3"/>
      <c r="GI594" s="3"/>
      <c r="GJ594" s="3"/>
      <c r="GK594" s="3"/>
      <c r="GL594" s="3"/>
      <c r="GM594" s="3"/>
      <c r="GN594" s="3"/>
      <c r="GO594" s="3"/>
      <c r="GP594" s="3"/>
      <c r="GQ594" s="3"/>
      <c r="GR594" s="3"/>
      <c r="GS594" s="3"/>
      <c r="GT594" s="3"/>
      <c r="GU594" s="3"/>
      <c r="GV594" s="3"/>
      <c r="GW594" s="3"/>
      <c r="GX594" s="3"/>
      <c r="GY594" s="3"/>
      <c r="GZ594" s="3"/>
      <c r="HA594" s="3"/>
      <c r="HB594" s="3"/>
    </row>
    <row r="595" spans="1:210" ht="15.75" customHeight="1">
      <c r="A595" s="50"/>
      <c r="B595" s="50"/>
      <c r="C595" s="50"/>
      <c r="D595" s="50"/>
      <c r="E595" s="50"/>
      <c r="F595" s="50"/>
      <c r="G595" s="51"/>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c r="AR595" s="50"/>
      <c r="AS595" s="50"/>
      <c r="AT595" s="50"/>
      <c r="AU595" s="50"/>
      <c r="AV595" s="50"/>
      <c r="AW595" s="50"/>
      <c r="AX595" s="50"/>
      <c r="AY595" s="50"/>
      <c r="AZ595" s="50"/>
      <c r="BA595" s="50"/>
      <c r="BB595" s="50"/>
      <c r="BC595" s="50"/>
      <c r="BD595" s="50"/>
      <c r="BE595" s="50"/>
      <c r="BF595" s="50"/>
      <c r="BG595" s="50"/>
      <c r="BH595" s="50"/>
      <c r="BI595" s="50"/>
      <c r="BJ595" s="50"/>
      <c r="BK595" s="50"/>
      <c r="BL595" s="50"/>
      <c r="BM595" s="50"/>
      <c r="BN595" s="50"/>
      <c r="BO595" s="50"/>
      <c r="BP595" s="50"/>
      <c r="BQ595" s="50"/>
      <c r="BR595" s="50"/>
      <c r="BS595" s="50"/>
      <c r="BT595" s="50"/>
      <c r="BU595" s="50"/>
      <c r="BV595" s="50"/>
      <c r="BW595" s="50"/>
      <c r="BX595" s="50"/>
      <c r="BY595" s="50"/>
      <c r="BZ595" s="50"/>
      <c r="CA595" s="50"/>
      <c r="CB595" s="50"/>
      <c r="CC595" s="50"/>
      <c r="CD595" s="52"/>
      <c r="CE595" s="50"/>
      <c r="CF595" s="50"/>
      <c r="CG595" s="50"/>
      <c r="CH595" s="50"/>
      <c r="CI595" s="50"/>
      <c r="CJ595" s="50"/>
      <c r="CK595" s="50"/>
      <c r="CL595" s="50"/>
      <c r="CM595" s="50"/>
      <c r="CN595" s="50"/>
      <c r="CO595" s="50"/>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c r="FF595" s="3"/>
      <c r="FG595" s="3"/>
      <c r="FH595" s="3"/>
      <c r="FI595" s="3"/>
      <c r="FJ595" s="3"/>
      <c r="FK595" s="3"/>
      <c r="FL595" s="3"/>
      <c r="FM595" s="3"/>
      <c r="FN595" s="3"/>
      <c r="FO595" s="3"/>
      <c r="FP595" s="3"/>
      <c r="FQ595" s="3"/>
      <c r="FR595" s="3"/>
      <c r="FS595" s="3"/>
      <c r="FT595" s="3"/>
      <c r="FU595" s="3"/>
      <c r="FV595" s="3"/>
      <c r="FW595" s="3"/>
      <c r="FX595" s="3"/>
      <c r="FY595" s="3"/>
      <c r="FZ595" s="3"/>
      <c r="GA595" s="3"/>
      <c r="GB595" s="3"/>
      <c r="GC595" s="3"/>
      <c r="GD595" s="3"/>
      <c r="GE595" s="3"/>
      <c r="GF595" s="3"/>
      <c r="GG595" s="3"/>
      <c r="GH595" s="3"/>
      <c r="GI595" s="3"/>
      <c r="GJ595" s="3"/>
      <c r="GK595" s="3"/>
      <c r="GL595" s="3"/>
      <c r="GM595" s="3"/>
      <c r="GN595" s="3"/>
      <c r="GO595" s="3"/>
      <c r="GP595" s="3"/>
      <c r="GQ595" s="3"/>
      <c r="GR595" s="3"/>
      <c r="GS595" s="3"/>
      <c r="GT595" s="3"/>
      <c r="GU595" s="3"/>
      <c r="GV595" s="3"/>
      <c r="GW595" s="3"/>
      <c r="GX595" s="3"/>
      <c r="GY595" s="3"/>
      <c r="GZ595" s="3"/>
      <c r="HA595" s="3"/>
      <c r="HB595" s="3"/>
    </row>
    <row r="596" spans="1:210" ht="15.75" customHeight="1">
      <c r="A596" s="50"/>
      <c r="B596" s="50"/>
      <c r="C596" s="50"/>
      <c r="D596" s="50"/>
      <c r="E596" s="50"/>
      <c r="F596" s="50"/>
      <c r="G596" s="51"/>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c r="AR596" s="50"/>
      <c r="AS596" s="50"/>
      <c r="AT596" s="50"/>
      <c r="AU596" s="50"/>
      <c r="AV596" s="50"/>
      <c r="AW596" s="50"/>
      <c r="AX596" s="50"/>
      <c r="AY596" s="50"/>
      <c r="AZ596" s="50"/>
      <c r="BA596" s="50"/>
      <c r="BB596" s="50"/>
      <c r="BC596" s="50"/>
      <c r="BD596" s="50"/>
      <c r="BE596" s="50"/>
      <c r="BF596" s="50"/>
      <c r="BG596" s="50"/>
      <c r="BH596" s="50"/>
      <c r="BI596" s="50"/>
      <c r="BJ596" s="50"/>
      <c r="BK596" s="50"/>
      <c r="BL596" s="50"/>
      <c r="BM596" s="50"/>
      <c r="BN596" s="50"/>
      <c r="BO596" s="50"/>
      <c r="BP596" s="50"/>
      <c r="BQ596" s="50"/>
      <c r="BR596" s="50"/>
      <c r="BS596" s="50"/>
      <c r="BT596" s="50"/>
      <c r="BU596" s="50"/>
      <c r="BV596" s="50"/>
      <c r="BW596" s="50"/>
      <c r="BX596" s="50"/>
      <c r="BY596" s="50"/>
      <c r="BZ596" s="50"/>
      <c r="CA596" s="50"/>
      <c r="CB596" s="50"/>
      <c r="CC596" s="50"/>
      <c r="CD596" s="52"/>
      <c r="CE596" s="50"/>
      <c r="CF596" s="50"/>
      <c r="CG596" s="50"/>
      <c r="CH596" s="50"/>
      <c r="CI596" s="50"/>
      <c r="CJ596" s="50"/>
      <c r="CK596" s="50"/>
      <c r="CL596" s="50"/>
      <c r="CM596" s="50"/>
      <c r="CN596" s="50"/>
      <c r="CO596" s="50"/>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c r="FF596" s="3"/>
      <c r="FG596" s="3"/>
      <c r="FH596" s="3"/>
      <c r="FI596" s="3"/>
      <c r="FJ596" s="3"/>
      <c r="FK596" s="3"/>
      <c r="FL596" s="3"/>
      <c r="FM596" s="3"/>
      <c r="FN596" s="3"/>
      <c r="FO596" s="3"/>
      <c r="FP596" s="3"/>
      <c r="FQ596" s="3"/>
      <c r="FR596" s="3"/>
      <c r="FS596" s="3"/>
      <c r="FT596" s="3"/>
      <c r="FU596" s="3"/>
      <c r="FV596" s="3"/>
      <c r="FW596" s="3"/>
      <c r="FX596" s="3"/>
      <c r="FY596" s="3"/>
      <c r="FZ596" s="3"/>
      <c r="GA596" s="3"/>
      <c r="GB596" s="3"/>
      <c r="GC596" s="3"/>
      <c r="GD596" s="3"/>
      <c r="GE596" s="3"/>
      <c r="GF596" s="3"/>
      <c r="GG596" s="3"/>
      <c r="GH596" s="3"/>
      <c r="GI596" s="3"/>
      <c r="GJ596" s="3"/>
      <c r="GK596" s="3"/>
      <c r="GL596" s="3"/>
      <c r="GM596" s="3"/>
      <c r="GN596" s="3"/>
      <c r="GO596" s="3"/>
      <c r="GP596" s="3"/>
      <c r="GQ596" s="3"/>
      <c r="GR596" s="3"/>
      <c r="GS596" s="3"/>
      <c r="GT596" s="3"/>
      <c r="GU596" s="3"/>
      <c r="GV596" s="3"/>
      <c r="GW596" s="3"/>
      <c r="GX596" s="3"/>
      <c r="GY596" s="3"/>
      <c r="GZ596" s="3"/>
      <c r="HA596" s="3"/>
      <c r="HB596" s="3"/>
    </row>
    <row r="597" spans="1:210" ht="15.75" customHeight="1">
      <c r="A597" s="50"/>
      <c r="B597" s="50"/>
      <c r="C597" s="50"/>
      <c r="D597" s="50"/>
      <c r="E597" s="50"/>
      <c r="F597" s="50"/>
      <c r="G597" s="51"/>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c r="AR597" s="50"/>
      <c r="AS597" s="50"/>
      <c r="AT597" s="50"/>
      <c r="AU597" s="50"/>
      <c r="AV597" s="50"/>
      <c r="AW597" s="50"/>
      <c r="AX597" s="50"/>
      <c r="AY597" s="50"/>
      <c r="AZ597" s="50"/>
      <c r="BA597" s="50"/>
      <c r="BB597" s="50"/>
      <c r="BC597" s="50"/>
      <c r="BD597" s="50"/>
      <c r="BE597" s="50"/>
      <c r="BF597" s="50"/>
      <c r="BG597" s="50"/>
      <c r="BH597" s="50"/>
      <c r="BI597" s="50"/>
      <c r="BJ597" s="50"/>
      <c r="BK597" s="50"/>
      <c r="BL597" s="50"/>
      <c r="BM597" s="50"/>
      <c r="BN597" s="50"/>
      <c r="BO597" s="50"/>
      <c r="BP597" s="50"/>
      <c r="BQ597" s="50"/>
      <c r="BR597" s="50"/>
      <c r="BS597" s="50"/>
      <c r="BT597" s="50"/>
      <c r="BU597" s="50"/>
      <c r="BV597" s="50"/>
      <c r="BW597" s="50"/>
      <c r="BX597" s="50"/>
      <c r="BY597" s="50"/>
      <c r="BZ597" s="50"/>
      <c r="CA597" s="50"/>
      <c r="CB597" s="50"/>
      <c r="CC597" s="50"/>
      <c r="CD597" s="52"/>
      <c r="CE597" s="50"/>
      <c r="CF597" s="50"/>
      <c r="CG597" s="50"/>
      <c r="CH597" s="50"/>
      <c r="CI597" s="50"/>
      <c r="CJ597" s="50"/>
      <c r="CK597" s="50"/>
      <c r="CL597" s="50"/>
      <c r="CM597" s="50"/>
      <c r="CN597" s="50"/>
      <c r="CO597" s="50"/>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c r="FF597" s="3"/>
      <c r="FG597" s="3"/>
      <c r="FH597" s="3"/>
      <c r="FI597" s="3"/>
      <c r="FJ597" s="3"/>
      <c r="FK597" s="3"/>
      <c r="FL597" s="3"/>
      <c r="FM597" s="3"/>
      <c r="FN597" s="3"/>
      <c r="FO597" s="3"/>
      <c r="FP597" s="3"/>
      <c r="FQ597" s="3"/>
      <c r="FR597" s="3"/>
      <c r="FS597" s="3"/>
      <c r="FT597" s="3"/>
      <c r="FU597" s="3"/>
      <c r="FV597" s="3"/>
      <c r="FW597" s="3"/>
      <c r="FX597" s="3"/>
      <c r="FY597" s="3"/>
      <c r="FZ597" s="3"/>
      <c r="GA597" s="3"/>
      <c r="GB597" s="3"/>
      <c r="GC597" s="3"/>
      <c r="GD597" s="3"/>
      <c r="GE597" s="3"/>
      <c r="GF597" s="3"/>
      <c r="GG597" s="3"/>
      <c r="GH597" s="3"/>
      <c r="GI597" s="3"/>
      <c r="GJ597" s="3"/>
      <c r="GK597" s="3"/>
      <c r="GL597" s="3"/>
      <c r="GM597" s="3"/>
      <c r="GN597" s="3"/>
      <c r="GO597" s="3"/>
      <c r="GP597" s="3"/>
      <c r="GQ597" s="3"/>
      <c r="GR597" s="3"/>
      <c r="GS597" s="3"/>
      <c r="GT597" s="3"/>
      <c r="GU597" s="3"/>
      <c r="GV597" s="3"/>
      <c r="GW597" s="3"/>
      <c r="GX597" s="3"/>
      <c r="GY597" s="3"/>
      <c r="GZ597" s="3"/>
      <c r="HA597" s="3"/>
      <c r="HB597" s="3"/>
    </row>
    <row r="598" spans="1:210" ht="15.75" customHeight="1">
      <c r="A598" s="50"/>
      <c r="B598" s="50"/>
      <c r="C598" s="50"/>
      <c r="D598" s="50"/>
      <c r="E598" s="50"/>
      <c r="F598" s="50"/>
      <c r="G598" s="51"/>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c r="AR598" s="50"/>
      <c r="AS598" s="50"/>
      <c r="AT598" s="50"/>
      <c r="AU598" s="50"/>
      <c r="AV598" s="50"/>
      <c r="AW598" s="50"/>
      <c r="AX598" s="50"/>
      <c r="AY598" s="50"/>
      <c r="AZ598" s="50"/>
      <c r="BA598" s="50"/>
      <c r="BB598" s="50"/>
      <c r="BC598" s="50"/>
      <c r="BD598" s="50"/>
      <c r="BE598" s="50"/>
      <c r="BF598" s="50"/>
      <c r="BG598" s="50"/>
      <c r="BH598" s="50"/>
      <c r="BI598" s="50"/>
      <c r="BJ598" s="50"/>
      <c r="BK598" s="50"/>
      <c r="BL598" s="50"/>
      <c r="BM598" s="50"/>
      <c r="BN598" s="50"/>
      <c r="BO598" s="50"/>
      <c r="BP598" s="50"/>
      <c r="BQ598" s="50"/>
      <c r="BR598" s="50"/>
      <c r="BS598" s="50"/>
      <c r="BT598" s="50"/>
      <c r="BU598" s="50"/>
      <c r="BV598" s="50"/>
      <c r="BW598" s="50"/>
      <c r="BX598" s="50"/>
      <c r="BY598" s="50"/>
      <c r="BZ598" s="50"/>
      <c r="CA598" s="50"/>
      <c r="CB598" s="50"/>
      <c r="CC598" s="50"/>
      <c r="CD598" s="52"/>
      <c r="CE598" s="50"/>
      <c r="CF598" s="50"/>
      <c r="CG598" s="50"/>
      <c r="CH598" s="50"/>
      <c r="CI598" s="50"/>
      <c r="CJ598" s="50"/>
      <c r="CK598" s="50"/>
      <c r="CL598" s="50"/>
      <c r="CM598" s="50"/>
      <c r="CN598" s="50"/>
      <c r="CO598" s="50"/>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c r="FF598" s="3"/>
      <c r="FG598" s="3"/>
      <c r="FH598" s="3"/>
      <c r="FI598" s="3"/>
      <c r="FJ598" s="3"/>
      <c r="FK598" s="3"/>
      <c r="FL598" s="3"/>
      <c r="FM598" s="3"/>
      <c r="FN598" s="3"/>
      <c r="FO598" s="3"/>
      <c r="FP598" s="3"/>
      <c r="FQ598" s="3"/>
      <c r="FR598" s="3"/>
      <c r="FS598" s="3"/>
      <c r="FT598" s="3"/>
      <c r="FU598" s="3"/>
      <c r="FV598" s="3"/>
      <c r="FW598" s="3"/>
      <c r="FX598" s="3"/>
      <c r="FY598" s="3"/>
      <c r="FZ598" s="3"/>
      <c r="GA598" s="3"/>
      <c r="GB598" s="3"/>
      <c r="GC598" s="3"/>
      <c r="GD598" s="3"/>
      <c r="GE598" s="3"/>
      <c r="GF598" s="3"/>
      <c r="GG598" s="3"/>
      <c r="GH598" s="3"/>
      <c r="GI598" s="3"/>
      <c r="GJ598" s="3"/>
      <c r="GK598" s="3"/>
      <c r="GL598" s="3"/>
      <c r="GM598" s="3"/>
      <c r="GN598" s="3"/>
      <c r="GO598" s="3"/>
      <c r="GP598" s="3"/>
      <c r="GQ598" s="3"/>
      <c r="GR598" s="3"/>
      <c r="GS598" s="3"/>
      <c r="GT598" s="3"/>
      <c r="GU598" s="3"/>
      <c r="GV598" s="3"/>
      <c r="GW598" s="3"/>
      <c r="GX598" s="3"/>
      <c r="GY598" s="3"/>
      <c r="GZ598" s="3"/>
      <c r="HA598" s="3"/>
      <c r="HB598" s="3"/>
    </row>
    <row r="599" spans="1:210" ht="15.75" customHeight="1">
      <c r="A599" s="50"/>
      <c r="B599" s="50"/>
      <c r="C599" s="50"/>
      <c r="D599" s="50"/>
      <c r="E599" s="50"/>
      <c r="F599" s="50"/>
      <c r="G599" s="51"/>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c r="AR599" s="50"/>
      <c r="AS599" s="50"/>
      <c r="AT599" s="50"/>
      <c r="AU599" s="50"/>
      <c r="AV599" s="50"/>
      <c r="AW599" s="50"/>
      <c r="AX599" s="50"/>
      <c r="AY599" s="50"/>
      <c r="AZ599" s="50"/>
      <c r="BA599" s="50"/>
      <c r="BB599" s="50"/>
      <c r="BC599" s="50"/>
      <c r="BD599" s="50"/>
      <c r="BE599" s="50"/>
      <c r="BF599" s="50"/>
      <c r="BG599" s="50"/>
      <c r="BH599" s="50"/>
      <c r="BI599" s="50"/>
      <c r="BJ599" s="50"/>
      <c r="BK599" s="50"/>
      <c r="BL599" s="50"/>
      <c r="BM599" s="50"/>
      <c r="BN599" s="50"/>
      <c r="BO599" s="50"/>
      <c r="BP599" s="50"/>
      <c r="BQ599" s="50"/>
      <c r="BR599" s="50"/>
      <c r="BS599" s="50"/>
      <c r="BT599" s="50"/>
      <c r="BU599" s="50"/>
      <c r="BV599" s="50"/>
      <c r="BW599" s="50"/>
      <c r="BX599" s="50"/>
      <c r="BY599" s="50"/>
      <c r="BZ599" s="50"/>
      <c r="CA599" s="50"/>
      <c r="CB599" s="50"/>
      <c r="CC599" s="50"/>
      <c r="CD599" s="52"/>
      <c r="CE599" s="50"/>
      <c r="CF599" s="50"/>
      <c r="CG599" s="50"/>
      <c r="CH599" s="50"/>
      <c r="CI599" s="50"/>
      <c r="CJ599" s="50"/>
      <c r="CK599" s="50"/>
      <c r="CL599" s="50"/>
      <c r="CM599" s="50"/>
      <c r="CN599" s="50"/>
      <c r="CO599" s="50"/>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c r="FF599" s="3"/>
      <c r="FG599" s="3"/>
      <c r="FH599" s="3"/>
      <c r="FI599" s="3"/>
      <c r="FJ599" s="3"/>
      <c r="FK599" s="3"/>
      <c r="FL599" s="3"/>
      <c r="FM599" s="3"/>
      <c r="FN599" s="3"/>
      <c r="FO599" s="3"/>
      <c r="FP599" s="3"/>
      <c r="FQ599" s="3"/>
      <c r="FR599" s="3"/>
      <c r="FS599" s="3"/>
      <c r="FT599" s="3"/>
      <c r="FU599" s="3"/>
      <c r="FV599" s="3"/>
      <c r="FW599" s="3"/>
      <c r="FX599" s="3"/>
      <c r="FY599" s="3"/>
      <c r="FZ599" s="3"/>
      <c r="GA599" s="3"/>
      <c r="GB599" s="3"/>
      <c r="GC599" s="3"/>
      <c r="GD599" s="3"/>
      <c r="GE599" s="3"/>
      <c r="GF599" s="3"/>
      <c r="GG599" s="3"/>
      <c r="GH599" s="3"/>
      <c r="GI599" s="3"/>
      <c r="GJ599" s="3"/>
      <c r="GK599" s="3"/>
      <c r="GL599" s="3"/>
      <c r="GM599" s="3"/>
      <c r="GN599" s="3"/>
      <c r="GO599" s="3"/>
      <c r="GP599" s="3"/>
      <c r="GQ599" s="3"/>
      <c r="GR599" s="3"/>
      <c r="GS599" s="3"/>
      <c r="GT599" s="3"/>
      <c r="GU599" s="3"/>
      <c r="GV599" s="3"/>
      <c r="GW599" s="3"/>
      <c r="GX599" s="3"/>
      <c r="GY599" s="3"/>
      <c r="GZ599" s="3"/>
      <c r="HA599" s="3"/>
      <c r="HB599" s="3"/>
    </row>
    <row r="600" spans="1:210" ht="15.75" customHeight="1">
      <c r="A600" s="50"/>
      <c r="B600" s="50"/>
      <c r="C600" s="50"/>
      <c r="D600" s="50"/>
      <c r="E600" s="50"/>
      <c r="F600" s="50"/>
      <c r="G600" s="51"/>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c r="AR600" s="50"/>
      <c r="AS600" s="50"/>
      <c r="AT600" s="50"/>
      <c r="AU600" s="50"/>
      <c r="AV600" s="50"/>
      <c r="AW600" s="50"/>
      <c r="AX600" s="50"/>
      <c r="AY600" s="50"/>
      <c r="AZ600" s="50"/>
      <c r="BA600" s="50"/>
      <c r="BB600" s="50"/>
      <c r="BC600" s="50"/>
      <c r="BD600" s="50"/>
      <c r="BE600" s="50"/>
      <c r="BF600" s="50"/>
      <c r="BG600" s="50"/>
      <c r="BH600" s="50"/>
      <c r="BI600" s="50"/>
      <c r="BJ600" s="50"/>
      <c r="BK600" s="50"/>
      <c r="BL600" s="50"/>
      <c r="BM600" s="50"/>
      <c r="BN600" s="50"/>
      <c r="BO600" s="50"/>
      <c r="BP600" s="50"/>
      <c r="BQ600" s="50"/>
      <c r="BR600" s="50"/>
      <c r="BS600" s="50"/>
      <c r="BT600" s="50"/>
      <c r="BU600" s="50"/>
      <c r="BV600" s="50"/>
      <c r="BW600" s="50"/>
      <c r="BX600" s="50"/>
      <c r="BY600" s="50"/>
      <c r="BZ600" s="50"/>
      <c r="CA600" s="50"/>
      <c r="CB600" s="50"/>
      <c r="CC600" s="50"/>
      <c r="CD600" s="52"/>
      <c r="CE600" s="50"/>
      <c r="CF600" s="50"/>
      <c r="CG600" s="50"/>
      <c r="CH600" s="50"/>
      <c r="CI600" s="50"/>
      <c r="CJ600" s="50"/>
      <c r="CK600" s="50"/>
      <c r="CL600" s="50"/>
      <c r="CM600" s="50"/>
      <c r="CN600" s="50"/>
      <c r="CO600" s="50"/>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c r="FF600" s="3"/>
      <c r="FG600" s="3"/>
      <c r="FH600" s="3"/>
      <c r="FI600" s="3"/>
      <c r="FJ600" s="3"/>
      <c r="FK600" s="3"/>
      <c r="FL600" s="3"/>
      <c r="FM600" s="3"/>
      <c r="FN600" s="3"/>
      <c r="FO600" s="3"/>
      <c r="FP600" s="3"/>
      <c r="FQ600" s="3"/>
      <c r="FR600" s="3"/>
      <c r="FS600" s="3"/>
      <c r="FT600" s="3"/>
      <c r="FU600" s="3"/>
      <c r="FV600" s="3"/>
      <c r="FW600" s="3"/>
      <c r="FX600" s="3"/>
      <c r="FY600" s="3"/>
      <c r="FZ600" s="3"/>
      <c r="GA600" s="3"/>
      <c r="GB600" s="3"/>
      <c r="GC600" s="3"/>
      <c r="GD600" s="3"/>
      <c r="GE600" s="3"/>
      <c r="GF600" s="3"/>
      <c r="GG600" s="3"/>
      <c r="GH600" s="3"/>
      <c r="GI600" s="3"/>
      <c r="GJ600" s="3"/>
      <c r="GK600" s="3"/>
      <c r="GL600" s="3"/>
      <c r="GM600" s="3"/>
      <c r="GN600" s="3"/>
      <c r="GO600" s="3"/>
      <c r="GP600" s="3"/>
      <c r="GQ600" s="3"/>
      <c r="GR600" s="3"/>
      <c r="GS600" s="3"/>
      <c r="GT600" s="3"/>
      <c r="GU600" s="3"/>
      <c r="GV600" s="3"/>
      <c r="GW600" s="3"/>
      <c r="GX600" s="3"/>
      <c r="GY600" s="3"/>
      <c r="GZ600" s="3"/>
      <c r="HA600" s="3"/>
      <c r="HB600" s="3"/>
    </row>
    <row r="601" spans="1:210" ht="15.75" customHeight="1">
      <c r="A601" s="50"/>
      <c r="B601" s="50"/>
      <c r="C601" s="50"/>
      <c r="D601" s="50"/>
      <c r="E601" s="50"/>
      <c r="F601" s="50"/>
      <c r="G601" s="51"/>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c r="AR601" s="50"/>
      <c r="AS601" s="50"/>
      <c r="AT601" s="50"/>
      <c r="AU601" s="50"/>
      <c r="AV601" s="50"/>
      <c r="AW601" s="50"/>
      <c r="AX601" s="50"/>
      <c r="AY601" s="50"/>
      <c r="AZ601" s="50"/>
      <c r="BA601" s="50"/>
      <c r="BB601" s="50"/>
      <c r="BC601" s="50"/>
      <c r="BD601" s="50"/>
      <c r="BE601" s="50"/>
      <c r="BF601" s="50"/>
      <c r="BG601" s="50"/>
      <c r="BH601" s="50"/>
      <c r="BI601" s="50"/>
      <c r="BJ601" s="50"/>
      <c r="BK601" s="50"/>
      <c r="BL601" s="50"/>
      <c r="BM601" s="50"/>
      <c r="BN601" s="50"/>
      <c r="BO601" s="50"/>
      <c r="BP601" s="50"/>
      <c r="BQ601" s="50"/>
      <c r="BR601" s="50"/>
      <c r="BS601" s="50"/>
      <c r="BT601" s="50"/>
      <c r="BU601" s="50"/>
      <c r="BV601" s="50"/>
      <c r="BW601" s="50"/>
      <c r="BX601" s="50"/>
      <c r="BY601" s="50"/>
      <c r="BZ601" s="50"/>
      <c r="CA601" s="50"/>
      <c r="CB601" s="50"/>
      <c r="CC601" s="50"/>
      <c r="CD601" s="52"/>
      <c r="CE601" s="50"/>
      <c r="CF601" s="50"/>
      <c r="CG601" s="50"/>
      <c r="CH601" s="50"/>
      <c r="CI601" s="50"/>
      <c r="CJ601" s="50"/>
      <c r="CK601" s="50"/>
      <c r="CL601" s="50"/>
      <c r="CM601" s="50"/>
      <c r="CN601" s="50"/>
      <c r="CO601" s="50"/>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c r="FF601" s="3"/>
      <c r="FG601" s="3"/>
      <c r="FH601" s="3"/>
      <c r="FI601" s="3"/>
      <c r="FJ601" s="3"/>
      <c r="FK601" s="3"/>
      <c r="FL601" s="3"/>
      <c r="FM601" s="3"/>
      <c r="FN601" s="3"/>
      <c r="FO601" s="3"/>
      <c r="FP601" s="3"/>
      <c r="FQ601" s="3"/>
      <c r="FR601" s="3"/>
      <c r="FS601" s="3"/>
      <c r="FT601" s="3"/>
      <c r="FU601" s="3"/>
      <c r="FV601" s="3"/>
      <c r="FW601" s="3"/>
      <c r="FX601" s="3"/>
      <c r="FY601" s="3"/>
      <c r="FZ601" s="3"/>
      <c r="GA601" s="3"/>
      <c r="GB601" s="3"/>
      <c r="GC601" s="3"/>
      <c r="GD601" s="3"/>
      <c r="GE601" s="3"/>
      <c r="GF601" s="3"/>
      <c r="GG601" s="3"/>
      <c r="GH601" s="3"/>
      <c r="GI601" s="3"/>
      <c r="GJ601" s="3"/>
      <c r="GK601" s="3"/>
      <c r="GL601" s="3"/>
      <c r="GM601" s="3"/>
      <c r="GN601" s="3"/>
      <c r="GO601" s="3"/>
      <c r="GP601" s="3"/>
      <c r="GQ601" s="3"/>
      <c r="GR601" s="3"/>
      <c r="GS601" s="3"/>
      <c r="GT601" s="3"/>
      <c r="GU601" s="3"/>
      <c r="GV601" s="3"/>
      <c r="GW601" s="3"/>
      <c r="GX601" s="3"/>
      <c r="GY601" s="3"/>
      <c r="GZ601" s="3"/>
      <c r="HA601" s="3"/>
      <c r="HB601" s="3"/>
    </row>
    <row r="602" spans="1:210" ht="15.75" customHeight="1">
      <c r="A602" s="50"/>
      <c r="B602" s="50"/>
      <c r="C602" s="50"/>
      <c r="D602" s="50"/>
      <c r="E602" s="50"/>
      <c r="F602" s="50"/>
      <c r="G602" s="51"/>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c r="AR602" s="50"/>
      <c r="AS602" s="50"/>
      <c r="AT602" s="50"/>
      <c r="AU602" s="50"/>
      <c r="AV602" s="50"/>
      <c r="AW602" s="50"/>
      <c r="AX602" s="50"/>
      <c r="AY602" s="50"/>
      <c r="AZ602" s="50"/>
      <c r="BA602" s="50"/>
      <c r="BB602" s="50"/>
      <c r="BC602" s="50"/>
      <c r="BD602" s="50"/>
      <c r="BE602" s="50"/>
      <c r="BF602" s="50"/>
      <c r="BG602" s="50"/>
      <c r="BH602" s="50"/>
      <c r="BI602" s="50"/>
      <c r="BJ602" s="50"/>
      <c r="BK602" s="50"/>
      <c r="BL602" s="50"/>
      <c r="BM602" s="50"/>
      <c r="BN602" s="50"/>
      <c r="BO602" s="50"/>
      <c r="BP602" s="50"/>
      <c r="BQ602" s="50"/>
      <c r="BR602" s="50"/>
      <c r="BS602" s="50"/>
      <c r="BT602" s="50"/>
      <c r="BU602" s="50"/>
      <c r="BV602" s="50"/>
      <c r="BW602" s="50"/>
      <c r="BX602" s="50"/>
      <c r="BY602" s="50"/>
      <c r="BZ602" s="50"/>
      <c r="CA602" s="50"/>
      <c r="CB602" s="50"/>
      <c r="CC602" s="50"/>
      <c r="CD602" s="52"/>
      <c r="CE602" s="50"/>
      <c r="CF602" s="50"/>
      <c r="CG602" s="50"/>
      <c r="CH602" s="50"/>
      <c r="CI602" s="50"/>
      <c r="CJ602" s="50"/>
      <c r="CK602" s="50"/>
      <c r="CL602" s="50"/>
      <c r="CM602" s="50"/>
      <c r="CN602" s="50"/>
      <c r="CO602" s="50"/>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c r="FF602" s="3"/>
      <c r="FG602" s="3"/>
      <c r="FH602" s="3"/>
      <c r="FI602" s="3"/>
      <c r="FJ602" s="3"/>
      <c r="FK602" s="3"/>
      <c r="FL602" s="3"/>
      <c r="FM602" s="3"/>
      <c r="FN602" s="3"/>
      <c r="FO602" s="3"/>
      <c r="FP602" s="3"/>
      <c r="FQ602" s="3"/>
      <c r="FR602" s="3"/>
      <c r="FS602" s="3"/>
      <c r="FT602" s="3"/>
      <c r="FU602" s="3"/>
      <c r="FV602" s="3"/>
      <c r="FW602" s="3"/>
      <c r="FX602" s="3"/>
      <c r="FY602" s="3"/>
      <c r="FZ602" s="3"/>
      <c r="GA602" s="3"/>
      <c r="GB602" s="3"/>
      <c r="GC602" s="3"/>
      <c r="GD602" s="3"/>
      <c r="GE602" s="3"/>
      <c r="GF602" s="3"/>
      <c r="GG602" s="3"/>
      <c r="GH602" s="3"/>
      <c r="GI602" s="3"/>
      <c r="GJ602" s="3"/>
      <c r="GK602" s="3"/>
      <c r="GL602" s="3"/>
      <c r="GM602" s="3"/>
      <c r="GN602" s="3"/>
      <c r="GO602" s="3"/>
      <c r="GP602" s="3"/>
      <c r="GQ602" s="3"/>
      <c r="GR602" s="3"/>
      <c r="GS602" s="3"/>
      <c r="GT602" s="3"/>
      <c r="GU602" s="3"/>
      <c r="GV602" s="3"/>
      <c r="GW602" s="3"/>
      <c r="GX602" s="3"/>
      <c r="GY602" s="3"/>
      <c r="GZ602" s="3"/>
      <c r="HA602" s="3"/>
      <c r="HB602" s="3"/>
    </row>
    <row r="603" spans="1:210" ht="15.75" customHeight="1">
      <c r="A603" s="50"/>
      <c r="B603" s="50"/>
      <c r="C603" s="50"/>
      <c r="D603" s="50"/>
      <c r="E603" s="50"/>
      <c r="F603" s="50"/>
      <c r="G603" s="51"/>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c r="AR603" s="50"/>
      <c r="AS603" s="50"/>
      <c r="AT603" s="50"/>
      <c r="AU603" s="50"/>
      <c r="AV603" s="50"/>
      <c r="AW603" s="50"/>
      <c r="AX603" s="50"/>
      <c r="AY603" s="50"/>
      <c r="AZ603" s="50"/>
      <c r="BA603" s="50"/>
      <c r="BB603" s="50"/>
      <c r="BC603" s="50"/>
      <c r="BD603" s="50"/>
      <c r="BE603" s="50"/>
      <c r="BF603" s="50"/>
      <c r="BG603" s="50"/>
      <c r="BH603" s="50"/>
      <c r="BI603" s="50"/>
      <c r="BJ603" s="50"/>
      <c r="BK603" s="50"/>
      <c r="BL603" s="50"/>
      <c r="BM603" s="50"/>
      <c r="BN603" s="50"/>
      <c r="BO603" s="50"/>
      <c r="BP603" s="50"/>
      <c r="BQ603" s="50"/>
      <c r="BR603" s="50"/>
      <c r="BS603" s="50"/>
      <c r="BT603" s="50"/>
      <c r="BU603" s="50"/>
      <c r="BV603" s="50"/>
      <c r="BW603" s="50"/>
      <c r="BX603" s="50"/>
      <c r="BY603" s="50"/>
      <c r="BZ603" s="50"/>
      <c r="CA603" s="50"/>
      <c r="CB603" s="50"/>
      <c r="CC603" s="50"/>
      <c r="CD603" s="52"/>
      <c r="CE603" s="50"/>
      <c r="CF603" s="50"/>
      <c r="CG603" s="50"/>
      <c r="CH603" s="50"/>
      <c r="CI603" s="50"/>
      <c r="CJ603" s="50"/>
      <c r="CK603" s="50"/>
      <c r="CL603" s="50"/>
      <c r="CM603" s="50"/>
      <c r="CN603" s="50"/>
      <c r="CO603" s="50"/>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c r="FF603" s="3"/>
      <c r="FG603" s="3"/>
      <c r="FH603" s="3"/>
      <c r="FI603" s="3"/>
      <c r="FJ603" s="3"/>
      <c r="FK603" s="3"/>
      <c r="FL603" s="3"/>
      <c r="FM603" s="3"/>
      <c r="FN603" s="3"/>
      <c r="FO603" s="3"/>
      <c r="FP603" s="3"/>
      <c r="FQ603" s="3"/>
      <c r="FR603" s="3"/>
      <c r="FS603" s="3"/>
      <c r="FT603" s="3"/>
      <c r="FU603" s="3"/>
      <c r="FV603" s="3"/>
      <c r="FW603" s="3"/>
      <c r="FX603" s="3"/>
      <c r="FY603" s="3"/>
      <c r="FZ603" s="3"/>
      <c r="GA603" s="3"/>
      <c r="GB603" s="3"/>
      <c r="GC603" s="3"/>
      <c r="GD603" s="3"/>
      <c r="GE603" s="3"/>
      <c r="GF603" s="3"/>
      <c r="GG603" s="3"/>
      <c r="GH603" s="3"/>
      <c r="GI603" s="3"/>
      <c r="GJ603" s="3"/>
      <c r="GK603" s="3"/>
      <c r="GL603" s="3"/>
      <c r="GM603" s="3"/>
      <c r="GN603" s="3"/>
      <c r="GO603" s="3"/>
      <c r="GP603" s="3"/>
      <c r="GQ603" s="3"/>
      <c r="GR603" s="3"/>
      <c r="GS603" s="3"/>
      <c r="GT603" s="3"/>
      <c r="GU603" s="3"/>
      <c r="GV603" s="3"/>
      <c r="GW603" s="3"/>
      <c r="GX603" s="3"/>
      <c r="GY603" s="3"/>
      <c r="GZ603" s="3"/>
      <c r="HA603" s="3"/>
      <c r="HB603" s="3"/>
    </row>
    <row r="604" spans="1:210" ht="15.75" customHeight="1">
      <c r="A604" s="50"/>
      <c r="B604" s="50"/>
      <c r="C604" s="50"/>
      <c r="D604" s="50"/>
      <c r="E604" s="50"/>
      <c r="F604" s="50"/>
      <c r="G604" s="51"/>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c r="AR604" s="50"/>
      <c r="AS604" s="50"/>
      <c r="AT604" s="50"/>
      <c r="AU604" s="50"/>
      <c r="AV604" s="50"/>
      <c r="AW604" s="50"/>
      <c r="AX604" s="50"/>
      <c r="AY604" s="50"/>
      <c r="AZ604" s="50"/>
      <c r="BA604" s="50"/>
      <c r="BB604" s="50"/>
      <c r="BC604" s="50"/>
      <c r="BD604" s="50"/>
      <c r="BE604" s="50"/>
      <c r="BF604" s="50"/>
      <c r="BG604" s="50"/>
      <c r="BH604" s="50"/>
      <c r="BI604" s="50"/>
      <c r="BJ604" s="50"/>
      <c r="BK604" s="50"/>
      <c r="BL604" s="50"/>
      <c r="BM604" s="50"/>
      <c r="BN604" s="50"/>
      <c r="BO604" s="50"/>
      <c r="BP604" s="50"/>
      <c r="BQ604" s="50"/>
      <c r="BR604" s="50"/>
      <c r="BS604" s="50"/>
      <c r="BT604" s="50"/>
      <c r="BU604" s="50"/>
      <c r="BV604" s="50"/>
      <c r="BW604" s="50"/>
      <c r="BX604" s="50"/>
      <c r="BY604" s="50"/>
      <c r="BZ604" s="50"/>
      <c r="CA604" s="50"/>
      <c r="CB604" s="50"/>
      <c r="CC604" s="50"/>
      <c r="CD604" s="52"/>
      <c r="CE604" s="50"/>
      <c r="CF604" s="50"/>
      <c r="CG604" s="50"/>
      <c r="CH604" s="50"/>
      <c r="CI604" s="50"/>
      <c r="CJ604" s="50"/>
      <c r="CK604" s="50"/>
      <c r="CL604" s="50"/>
      <c r="CM604" s="50"/>
      <c r="CN604" s="50"/>
      <c r="CO604" s="50"/>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c r="FF604" s="3"/>
      <c r="FG604" s="3"/>
      <c r="FH604" s="3"/>
      <c r="FI604" s="3"/>
      <c r="FJ604" s="3"/>
      <c r="FK604" s="3"/>
      <c r="FL604" s="3"/>
      <c r="FM604" s="3"/>
      <c r="FN604" s="3"/>
      <c r="FO604" s="3"/>
      <c r="FP604" s="3"/>
      <c r="FQ604" s="3"/>
      <c r="FR604" s="3"/>
      <c r="FS604" s="3"/>
      <c r="FT604" s="3"/>
      <c r="FU604" s="3"/>
      <c r="FV604" s="3"/>
      <c r="FW604" s="3"/>
      <c r="FX604" s="3"/>
      <c r="FY604" s="3"/>
      <c r="FZ604" s="3"/>
      <c r="GA604" s="3"/>
      <c r="GB604" s="3"/>
      <c r="GC604" s="3"/>
      <c r="GD604" s="3"/>
      <c r="GE604" s="3"/>
      <c r="GF604" s="3"/>
      <c r="GG604" s="3"/>
      <c r="GH604" s="3"/>
      <c r="GI604" s="3"/>
      <c r="GJ604" s="3"/>
      <c r="GK604" s="3"/>
      <c r="GL604" s="3"/>
      <c r="GM604" s="3"/>
      <c r="GN604" s="3"/>
      <c r="GO604" s="3"/>
      <c r="GP604" s="3"/>
      <c r="GQ604" s="3"/>
      <c r="GR604" s="3"/>
      <c r="GS604" s="3"/>
      <c r="GT604" s="3"/>
      <c r="GU604" s="3"/>
      <c r="GV604" s="3"/>
      <c r="GW604" s="3"/>
      <c r="GX604" s="3"/>
      <c r="GY604" s="3"/>
      <c r="GZ604" s="3"/>
      <c r="HA604" s="3"/>
      <c r="HB604" s="3"/>
    </row>
    <row r="605" spans="1:210" ht="15.75" customHeight="1">
      <c r="A605" s="50"/>
      <c r="B605" s="50"/>
      <c r="C605" s="50"/>
      <c r="D605" s="50"/>
      <c r="E605" s="50"/>
      <c r="F605" s="50"/>
      <c r="G605" s="51"/>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c r="AR605" s="50"/>
      <c r="AS605" s="50"/>
      <c r="AT605" s="50"/>
      <c r="AU605" s="50"/>
      <c r="AV605" s="50"/>
      <c r="AW605" s="50"/>
      <c r="AX605" s="50"/>
      <c r="AY605" s="50"/>
      <c r="AZ605" s="50"/>
      <c r="BA605" s="50"/>
      <c r="BB605" s="50"/>
      <c r="BC605" s="50"/>
      <c r="BD605" s="50"/>
      <c r="BE605" s="50"/>
      <c r="BF605" s="50"/>
      <c r="BG605" s="50"/>
      <c r="BH605" s="50"/>
      <c r="BI605" s="50"/>
      <c r="BJ605" s="50"/>
      <c r="BK605" s="50"/>
      <c r="BL605" s="50"/>
      <c r="BM605" s="50"/>
      <c r="BN605" s="50"/>
      <c r="BO605" s="50"/>
      <c r="BP605" s="50"/>
      <c r="BQ605" s="50"/>
      <c r="BR605" s="50"/>
      <c r="BS605" s="50"/>
      <c r="BT605" s="50"/>
      <c r="BU605" s="50"/>
      <c r="BV605" s="50"/>
      <c r="BW605" s="50"/>
      <c r="BX605" s="50"/>
      <c r="BY605" s="50"/>
      <c r="BZ605" s="50"/>
      <c r="CA605" s="50"/>
      <c r="CB605" s="50"/>
      <c r="CC605" s="50"/>
      <c r="CD605" s="52"/>
      <c r="CE605" s="50"/>
      <c r="CF605" s="50"/>
      <c r="CG605" s="50"/>
      <c r="CH605" s="50"/>
      <c r="CI605" s="50"/>
      <c r="CJ605" s="50"/>
      <c r="CK605" s="50"/>
      <c r="CL605" s="50"/>
      <c r="CM605" s="50"/>
      <c r="CN605" s="50"/>
      <c r="CO605" s="50"/>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c r="FF605" s="3"/>
      <c r="FG605" s="3"/>
      <c r="FH605" s="3"/>
      <c r="FI605" s="3"/>
      <c r="FJ605" s="3"/>
      <c r="FK605" s="3"/>
      <c r="FL605" s="3"/>
      <c r="FM605" s="3"/>
      <c r="FN605" s="3"/>
      <c r="FO605" s="3"/>
      <c r="FP605" s="3"/>
      <c r="FQ605" s="3"/>
      <c r="FR605" s="3"/>
      <c r="FS605" s="3"/>
      <c r="FT605" s="3"/>
      <c r="FU605" s="3"/>
      <c r="FV605" s="3"/>
      <c r="FW605" s="3"/>
      <c r="FX605" s="3"/>
      <c r="FY605" s="3"/>
      <c r="FZ605" s="3"/>
      <c r="GA605" s="3"/>
      <c r="GB605" s="3"/>
      <c r="GC605" s="3"/>
      <c r="GD605" s="3"/>
      <c r="GE605" s="3"/>
      <c r="GF605" s="3"/>
      <c r="GG605" s="3"/>
      <c r="GH605" s="3"/>
      <c r="GI605" s="3"/>
      <c r="GJ605" s="3"/>
      <c r="GK605" s="3"/>
      <c r="GL605" s="3"/>
      <c r="GM605" s="3"/>
      <c r="GN605" s="3"/>
      <c r="GO605" s="3"/>
      <c r="GP605" s="3"/>
      <c r="GQ605" s="3"/>
      <c r="GR605" s="3"/>
      <c r="GS605" s="3"/>
      <c r="GT605" s="3"/>
      <c r="GU605" s="3"/>
      <c r="GV605" s="3"/>
      <c r="GW605" s="3"/>
      <c r="GX605" s="3"/>
      <c r="GY605" s="3"/>
      <c r="GZ605" s="3"/>
      <c r="HA605" s="3"/>
      <c r="HB605" s="3"/>
    </row>
    <row r="606" spans="1:210" ht="15.75" customHeight="1">
      <c r="A606" s="50"/>
      <c r="B606" s="50"/>
      <c r="C606" s="50"/>
      <c r="D606" s="50"/>
      <c r="E606" s="50"/>
      <c r="F606" s="50"/>
      <c r="G606" s="51"/>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c r="AR606" s="50"/>
      <c r="AS606" s="50"/>
      <c r="AT606" s="50"/>
      <c r="AU606" s="50"/>
      <c r="AV606" s="50"/>
      <c r="AW606" s="50"/>
      <c r="AX606" s="50"/>
      <c r="AY606" s="50"/>
      <c r="AZ606" s="50"/>
      <c r="BA606" s="50"/>
      <c r="BB606" s="50"/>
      <c r="BC606" s="50"/>
      <c r="BD606" s="50"/>
      <c r="BE606" s="50"/>
      <c r="BF606" s="50"/>
      <c r="BG606" s="50"/>
      <c r="BH606" s="50"/>
      <c r="BI606" s="50"/>
      <c r="BJ606" s="50"/>
      <c r="BK606" s="50"/>
      <c r="BL606" s="50"/>
      <c r="BM606" s="50"/>
      <c r="BN606" s="50"/>
      <c r="BO606" s="50"/>
      <c r="BP606" s="50"/>
      <c r="BQ606" s="50"/>
      <c r="BR606" s="50"/>
      <c r="BS606" s="50"/>
      <c r="BT606" s="50"/>
      <c r="BU606" s="50"/>
      <c r="BV606" s="50"/>
      <c r="BW606" s="50"/>
      <c r="BX606" s="50"/>
      <c r="BY606" s="50"/>
      <c r="BZ606" s="50"/>
      <c r="CA606" s="50"/>
      <c r="CB606" s="50"/>
      <c r="CC606" s="50"/>
      <c r="CD606" s="52"/>
      <c r="CE606" s="50"/>
      <c r="CF606" s="50"/>
      <c r="CG606" s="50"/>
      <c r="CH606" s="50"/>
      <c r="CI606" s="50"/>
      <c r="CJ606" s="50"/>
      <c r="CK606" s="50"/>
      <c r="CL606" s="50"/>
      <c r="CM606" s="50"/>
      <c r="CN606" s="50"/>
      <c r="CO606" s="50"/>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c r="FF606" s="3"/>
      <c r="FG606" s="3"/>
      <c r="FH606" s="3"/>
      <c r="FI606" s="3"/>
      <c r="FJ606" s="3"/>
      <c r="FK606" s="3"/>
      <c r="FL606" s="3"/>
      <c r="FM606" s="3"/>
      <c r="FN606" s="3"/>
      <c r="FO606" s="3"/>
      <c r="FP606" s="3"/>
      <c r="FQ606" s="3"/>
      <c r="FR606" s="3"/>
      <c r="FS606" s="3"/>
      <c r="FT606" s="3"/>
      <c r="FU606" s="3"/>
      <c r="FV606" s="3"/>
      <c r="FW606" s="3"/>
      <c r="FX606" s="3"/>
      <c r="FY606" s="3"/>
      <c r="FZ606" s="3"/>
      <c r="GA606" s="3"/>
      <c r="GB606" s="3"/>
      <c r="GC606" s="3"/>
      <c r="GD606" s="3"/>
      <c r="GE606" s="3"/>
      <c r="GF606" s="3"/>
      <c r="GG606" s="3"/>
      <c r="GH606" s="3"/>
      <c r="GI606" s="3"/>
      <c r="GJ606" s="3"/>
      <c r="GK606" s="3"/>
      <c r="GL606" s="3"/>
      <c r="GM606" s="3"/>
      <c r="GN606" s="3"/>
      <c r="GO606" s="3"/>
      <c r="GP606" s="3"/>
      <c r="GQ606" s="3"/>
      <c r="GR606" s="3"/>
      <c r="GS606" s="3"/>
      <c r="GT606" s="3"/>
      <c r="GU606" s="3"/>
      <c r="GV606" s="3"/>
      <c r="GW606" s="3"/>
      <c r="GX606" s="3"/>
      <c r="GY606" s="3"/>
      <c r="GZ606" s="3"/>
      <c r="HA606" s="3"/>
      <c r="HB606" s="3"/>
    </row>
    <row r="607" spans="1:210" ht="15.75" customHeight="1">
      <c r="A607" s="50"/>
      <c r="B607" s="50"/>
      <c r="C607" s="50"/>
      <c r="D607" s="50"/>
      <c r="E607" s="50"/>
      <c r="F607" s="50"/>
      <c r="G607" s="51"/>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c r="AR607" s="50"/>
      <c r="AS607" s="50"/>
      <c r="AT607" s="50"/>
      <c r="AU607" s="50"/>
      <c r="AV607" s="50"/>
      <c r="AW607" s="50"/>
      <c r="AX607" s="50"/>
      <c r="AY607" s="50"/>
      <c r="AZ607" s="50"/>
      <c r="BA607" s="50"/>
      <c r="BB607" s="50"/>
      <c r="BC607" s="50"/>
      <c r="BD607" s="50"/>
      <c r="BE607" s="50"/>
      <c r="BF607" s="50"/>
      <c r="BG607" s="50"/>
      <c r="BH607" s="50"/>
      <c r="BI607" s="50"/>
      <c r="BJ607" s="50"/>
      <c r="BK607" s="50"/>
      <c r="BL607" s="50"/>
      <c r="BM607" s="50"/>
      <c r="BN607" s="50"/>
      <c r="BO607" s="50"/>
      <c r="BP607" s="50"/>
      <c r="BQ607" s="50"/>
      <c r="BR607" s="50"/>
      <c r="BS607" s="50"/>
      <c r="BT607" s="50"/>
      <c r="BU607" s="50"/>
      <c r="BV607" s="50"/>
      <c r="BW607" s="50"/>
      <c r="BX607" s="50"/>
      <c r="BY607" s="50"/>
      <c r="BZ607" s="50"/>
      <c r="CA607" s="50"/>
      <c r="CB607" s="50"/>
      <c r="CC607" s="50"/>
      <c r="CD607" s="52"/>
      <c r="CE607" s="50"/>
      <c r="CF607" s="50"/>
      <c r="CG607" s="50"/>
      <c r="CH607" s="50"/>
      <c r="CI607" s="50"/>
      <c r="CJ607" s="50"/>
      <c r="CK607" s="50"/>
      <c r="CL607" s="50"/>
      <c r="CM607" s="50"/>
      <c r="CN607" s="50"/>
      <c r="CO607" s="50"/>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c r="FF607" s="3"/>
      <c r="FG607" s="3"/>
      <c r="FH607" s="3"/>
      <c r="FI607" s="3"/>
      <c r="FJ607" s="3"/>
      <c r="FK607" s="3"/>
      <c r="FL607" s="3"/>
      <c r="FM607" s="3"/>
      <c r="FN607" s="3"/>
      <c r="FO607" s="3"/>
      <c r="FP607" s="3"/>
      <c r="FQ607" s="3"/>
      <c r="FR607" s="3"/>
      <c r="FS607" s="3"/>
      <c r="FT607" s="3"/>
      <c r="FU607" s="3"/>
      <c r="FV607" s="3"/>
      <c r="FW607" s="3"/>
      <c r="FX607" s="3"/>
      <c r="FY607" s="3"/>
      <c r="FZ607" s="3"/>
      <c r="GA607" s="3"/>
      <c r="GB607" s="3"/>
      <c r="GC607" s="3"/>
      <c r="GD607" s="3"/>
      <c r="GE607" s="3"/>
      <c r="GF607" s="3"/>
      <c r="GG607" s="3"/>
      <c r="GH607" s="3"/>
      <c r="GI607" s="3"/>
      <c r="GJ607" s="3"/>
      <c r="GK607" s="3"/>
      <c r="GL607" s="3"/>
      <c r="GM607" s="3"/>
      <c r="GN607" s="3"/>
      <c r="GO607" s="3"/>
      <c r="GP607" s="3"/>
      <c r="GQ607" s="3"/>
      <c r="GR607" s="3"/>
      <c r="GS607" s="3"/>
      <c r="GT607" s="3"/>
      <c r="GU607" s="3"/>
      <c r="GV607" s="3"/>
      <c r="GW607" s="3"/>
      <c r="GX607" s="3"/>
      <c r="GY607" s="3"/>
      <c r="GZ607" s="3"/>
      <c r="HA607" s="3"/>
      <c r="HB607" s="3"/>
    </row>
    <row r="608" spans="1:210" ht="15.75" customHeight="1">
      <c r="A608" s="50"/>
      <c r="B608" s="50"/>
      <c r="C608" s="50"/>
      <c r="D608" s="50"/>
      <c r="E608" s="50"/>
      <c r="F608" s="50"/>
      <c r="G608" s="51"/>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c r="AR608" s="50"/>
      <c r="AS608" s="50"/>
      <c r="AT608" s="50"/>
      <c r="AU608" s="50"/>
      <c r="AV608" s="50"/>
      <c r="AW608" s="50"/>
      <c r="AX608" s="50"/>
      <c r="AY608" s="50"/>
      <c r="AZ608" s="50"/>
      <c r="BA608" s="50"/>
      <c r="BB608" s="50"/>
      <c r="BC608" s="50"/>
      <c r="BD608" s="50"/>
      <c r="BE608" s="50"/>
      <c r="BF608" s="50"/>
      <c r="BG608" s="50"/>
      <c r="BH608" s="50"/>
      <c r="BI608" s="50"/>
      <c r="BJ608" s="50"/>
      <c r="BK608" s="50"/>
      <c r="BL608" s="50"/>
      <c r="BM608" s="50"/>
      <c r="BN608" s="50"/>
      <c r="BO608" s="50"/>
      <c r="BP608" s="50"/>
      <c r="BQ608" s="50"/>
      <c r="BR608" s="50"/>
      <c r="BS608" s="50"/>
      <c r="BT608" s="50"/>
      <c r="BU608" s="50"/>
      <c r="BV608" s="50"/>
      <c r="BW608" s="50"/>
      <c r="BX608" s="50"/>
      <c r="BY608" s="50"/>
      <c r="BZ608" s="50"/>
      <c r="CA608" s="50"/>
      <c r="CB608" s="50"/>
      <c r="CC608" s="50"/>
      <c r="CD608" s="52"/>
      <c r="CE608" s="50"/>
      <c r="CF608" s="50"/>
      <c r="CG608" s="50"/>
      <c r="CH608" s="50"/>
      <c r="CI608" s="50"/>
      <c r="CJ608" s="50"/>
      <c r="CK608" s="50"/>
      <c r="CL608" s="50"/>
      <c r="CM608" s="50"/>
      <c r="CN608" s="50"/>
      <c r="CO608" s="50"/>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c r="FF608" s="3"/>
      <c r="FG608" s="3"/>
      <c r="FH608" s="3"/>
      <c r="FI608" s="3"/>
      <c r="FJ608" s="3"/>
      <c r="FK608" s="3"/>
      <c r="FL608" s="3"/>
      <c r="FM608" s="3"/>
      <c r="FN608" s="3"/>
      <c r="FO608" s="3"/>
      <c r="FP608" s="3"/>
      <c r="FQ608" s="3"/>
      <c r="FR608" s="3"/>
      <c r="FS608" s="3"/>
      <c r="FT608" s="3"/>
      <c r="FU608" s="3"/>
      <c r="FV608" s="3"/>
      <c r="FW608" s="3"/>
      <c r="FX608" s="3"/>
      <c r="FY608" s="3"/>
      <c r="FZ608" s="3"/>
      <c r="GA608" s="3"/>
      <c r="GB608" s="3"/>
      <c r="GC608" s="3"/>
      <c r="GD608" s="3"/>
      <c r="GE608" s="3"/>
      <c r="GF608" s="3"/>
      <c r="GG608" s="3"/>
      <c r="GH608" s="3"/>
      <c r="GI608" s="3"/>
      <c r="GJ608" s="3"/>
      <c r="GK608" s="3"/>
      <c r="GL608" s="3"/>
      <c r="GM608" s="3"/>
      <c r="GN608" s="3"/>
      <c r="GO608" s="3"/>
      <c r="GP608" s="3"/>
      <c r="GQ608" s="3"/>
      <c r="GR608" s="3"/>
      <c r="GS608" s="3"/>
      <c r="GT608" s="3"/>
      <c r="GU608" s="3"/>
      <c r="GV608" s="3"/>
      <c r="GW608" s="3"/>
      <c r="GX608" s="3"/>
      <c r="GY608" s="3"/>
      <c r="GZ608" s="3"/>
      <c r="HA608" s="3"/>
      <c r="HB608" s="3"/>
    </row>
    <row r="609" spans="1:210" ht="15.75" customHeight="1">
      <c r="A609" s="50"/>
      <c r="B609" s="50"/>
      <c r="C609" s="50"/>
      <c r="D609" s="50"/>
      <c r="E609" s="50"/>
      <c r="F609" s="50"/>
      <c r="G609" s="51"/>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c r="AR609" s="50"/>
      <c r="AS609" s="50"/>
      <c r="AT609" s="50"/>
      <c r="AU609" s="50"/>
      <c r="AV609" s="50"/>
      <c r="AW609" s="50"/>
      <c r="AX609" s="50"/>
      <c r="AY609" s="50"/>
      <c r="AZ609" s="50"/>
      <c r="BA609" s="50"/>
      <c r="BB609" s="50"/>
      <c r="BC609" s="50"/>
      <c r="BD609" s="50"/>
      <c r="BE609" s="50"/>
      <c r="BF609" s="50"/>
      <c r="BG609" s="50"/>
      <c r="BH609" s="50"/>
      <c r="BI609" s="50"/>
      <c r="BJ609" s="50"/>
      <c r="BK609" s="50"/>
      <c r="BL609" s="50"/>
      <c r="BM609" s="50"/>
      <c r="BN609" s="50"/>
      <c r="BO609" s="50"/>
      <c r="BP609" s="50"/>
      <c r="BQ609" s="50"/>
      <c r="BR609" s="50"/>
      <c r="BS609" s="50"/>
      <c r="BT609" s="50"/>
      <c r="BU609" s="50"/>
      <c r="BV609" s="50"/>
      <c r="BW609" s="50"/>
      <c r="BX609" s="50"/>
      <c r="BY609" s="50"/>
      <c r="BZ609" s="50"/>
      <c r="CA609" s="50"/>
      <c r="CB609" s="50"/>
      <c r="CC609" s="50"/>
      <c r="CD609" s="52"/>
      <c r="CE609" s="50"/>
      <c r="CF609" s="50"/>
      <c r="CG609" s="50"/>
      <c r="CH609" s="50"/>
      <c r="CI609" s="50"/>
      <c r="CJ609" s="50"/>
      <c r="CK609" s="50"/>
      <c r="CL609" s="50"/>
      <c r="CM609" s="50"/>
      <c r="CN609" s="50"/>
      <c r="CO609" s="50"/>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c r="FF609" s="3"/>
      <c r="FG609" s="3"/>
      <c r="FH609" s="3"/>
      <c r="FI609" s="3"/>
      <c r="FJ609" s="3"/>
      <c r="FK609" s="3"/>
      <c r="FL609" s="3"/>
      <c r="FM609" s="3"/>
      <c r="FN609" s="3"/>
      <c r="FO609" s="3"/>
      <c r="FP609" s="3"/>
      <c r="FQ609" s="3"/>
      <c r="FR609" s="3"/>
      <c r="FS609" s="3"/>
      <c r="FT609" s="3"/>
      <c r="FU609" s="3"/>
      <c r="FV609" s="3"/>
      <c r="FW609" s="3"/>
      <c r="FX609" s="3"/>
      <c r="FY609" s="3"/>
      <c r="FZ609" s="3"/>
      <c r="GA609" s="3"/>
      <c r="GB609" s="3"/>
      <c r="GC609" s="3"/>
      <c r="GD609" s="3"/>
      <c r="GE609" s="3"/>
      <c r="GF609" s="3"/>
      <c r="GG609" s="3"/>
      <c r="GH609" s="3"/>
      <c r="GI609" s="3"/>
      <c r="GJ609" s="3"/>
      <c r="GK609" s="3"/>
      <c r="GL609" s="3"/>
      <c r="GM609" s="3"/>
      <c r="GN609" s="3"/>
      <c r="GO609" s="3"/>
      <c r="GP609" s="3"/>
      <c r="GQ609" s="3"/>
      <c r="GR609" s="3"/>
      <c r="GS609" s="3"/>
      <c r="GT609" s="3"/>
      <c r="GU609" s="3"/>
      <c r="GV609" s="3"/>
      <c r="GW609" s="3"/>
      <c r="GX609" s="3"/>
      <c r="GY609" s="3"/>
      <c r="GZ609" s="3"/>
      <c r="HA609" s="3"/>
      <c r="HB609" s="3"/>
    </row>
    <row r="610" spans="1:210" ht="15.75" customHeight="1">
      <c r="A610" s="50"/>
      <c r="B610" s="50"/>
      <c r="C610" s="50"/>
      <c r="D610" s="50"/>
      <c r="E610" s="50"/>
      <c r="F610" s="50"/>
      <c r="G610" s="51"/>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c r="AR610" s="50"/>
      <c r="AS610" s="50"/>
      <c r="AT610" s="50"/>
      <c r="AU610" s="50"/>
      <c r="AV610" s="50"/>
      <c r="AW610" s="50"/>
      <c r="AX610" s="50"/>
      <c r="AY610" s="50"/>
      <c r="AZ610" s="50"/>
      <c r="BA610" s="50"/>
      <c r="BB610" s="50"/>
      <c r="BC610" s="50"/>
      <c r="BD610" s="50"/>
      <c r="BE610" s="50"/>
      <c r="BF610" s="50"/>
      <c r="BG610" s="50"/>
      <c r="BH610" s="50"/>
      <c r="BI610" s="50"/>
      <c r="BJ610" s="50"/>
      <c r="BK610" s="50"/>
      <c r="BL610" s="50"/>
      <c r="BM610" s="50"/>
      <c r="BN610" s="50"/>
      <c r="BO610" s="50"/>
      <c r="BP610" s="50"/>
      <c r="BQ610" s="50"/>
      <c r="BR610" s="50"/>
      <c r="BS610" s="50"/>
      <c r="BT610" s="50"/>
      <c r="BU610" s="50"/>
      <c r="BV610" s="50"/>
      <c r="BW610" s="50"/>
      <c r="BX610" s="50"/>
      <c r="BY610" s="50"/>
      <c r="BZ610" s="50"/>
      <c r="CA610" s="50"/>
      <c r="CB610" s="50"/>
      <c r="CC610" s="50"/>
      <c r="CD610" s="52"/>
      <c r="CE610" s="50"/>
      <c r="CF610" s="50"/>
      <c r="CG610" s="50"/>
      <c r="CH610" s="50"/>
      <c r="CI610" s="50"/>
      <c r="CJ610" s="50"/>
      <c r="CK610" s="50"/>
      <c r="CL610" s="50"/>
      <c r="CM610" s="50"/>
      <c r="CN610" s="50"/>
      <c r="CO610" s="50"/>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c r="FF610" s="3"/>
      <c r="FG610" s="3"/>
      <c r="FH610" s="3"/>
      <c r="FI610" s="3"/>
      <c r="FJ610" s="3"/>
      <c r="FK610" s="3"/>
      <c r="FL610" s="3"/>
      <c r="FM610" s="3"/>
      <c r="FN610" s="3"/>
      <c r="FO610" s="3"/>
      <c r="FP610" s="3"/>
      <c r="FQ610" s="3"/>
      <c r="FR610" s="3"/>
      <c r="FS610" s="3"/>
      <c r="FT610" s="3"/>
      <c r="FU610" s="3"/>
      <c r="FV610" s="3"/>
      <c r="FW610" s="3"/>
      <c r="FX610" s="3"/>
      <c r="FY610" s="3"/>
      <c r="FZ610" s="3"/>
      <c r="GA610" s="3"/>
      <c r="GB610" s="3"/>
      <c r="GC610" s="3"/>
      <c r="GD610" s="3"/>
      <c r="GE610" s="3"/>
      <c r="GF610" s="3"/>
      <c r="GG610" s="3"/>
      <c r="GH610" s="3"/>
      <c r="GI610" s="3"/>
      <c r="GJ610" s="3"/>
      <c r="GK610" s="3"/>
      <c r="GL610" s="3"/>
      <c r="GM610" s="3"/>
      <c r="GN610" s="3"/>
      <c r="GO610" s="3"/>
      <c r="GP610" s="3"/>
      <c r="GQ610" s="3"/>
      <c r="GR610" s="3"/>
      <c r="GS610" s="3"/>
      <c r="GT610" s="3"/>
      <c r="GU610" s="3"/>
      <c r="GV610" s="3"/>
      <c r="GW610" s="3"/>
      <c r="GX610" s="3"/>
      <c r="GY610" s="3"/>
      <c r="GZ610" s="3"/>
      <c r="HA610" s="3"/>
      <c r="HB610" s="3"/>
    </row>
    <row r="611" spans="1:210" ht="15.75" customHeight="1">
      <c r="A611" s="50"/>
      <c r="B611" s="50"/>
      <c r="C611" s="50"/>
      <c r="D611" s="50"/>
      <c r="E611" s="50"/>
      <c r="F611" s="50"/>
      <c r="G611" s="51"/>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c r="AR611" s="50"/>
      <c r="AS611" s="50"/>
      <c r="AT611" s="50"/>
      <c r="AU611" s="50"/>
      <c r="AV611" s="50"/>
      <c r="AW611" s="50"/>
      <c r="AX611" s="50"/>
      <c r="AY611" s="50"/>
      <c r="AZ611" s="50"/>
      <c r="BA611" s="50"/>
      <c r="BB611" s="50"/>
      <c r="BC611" s="50"/>
      <c r="BD611" s="50"/>
      <c r="BE611" s="50"/>
      <c r="BF611" s="50"/>
      <c r="BG611" s="50"/>
      <c r="BH611" s="50"/>
      <c r="BI611" s="50"/>
      <c r="BJ611" s="50"/>
      <c r="BK611" s="50"/>
      <c r="BL611" s="50"/>
      <c r="BM611" s="50"/>
      <c r="BN611" s="50"/>
      <c r="BO611" s="50"/>
      <c r="BP611" s="50"/>
      <c r="BQ611" s="50"/>
      <c r="BR611" s="50"/>
      <c r="BS611" s="50"/>
      <c r="BT611" s="50"/>
      <c r="BU611" s="50"/>
      <c r="BV611" s="50"/>
      <c r="BW611" s="50"/>
      <c r="BX611" s="50"/>
      <c r="BY611" s="50"/>
      <c r="BZ611" s="50"/>
      <c r="CA611" s="50"/>
      <c r="CB611" s="50"/>
      <c r="CC611" s="50"/>
      <c r="CD611" s="52"/>
      <c r="CE611" s="50"/>
      <c r="CF611" s="50"/>
      <c r="CG611" s="50"/>
      <c r="CH611" s="50"/>
      <c r="CI611" s="50"/>
      <c r="CJ611" s="50"/>
      <c r="CK611" s="50"/>
      <c r="CL611" s="50"/>
      <c r="CM611" s="50"/>
      <c r="CN611" s="50"/>
      <c r="CO611" s="50"/>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c r="FF611" s="3"/>
      <c r="FG611" s="3"/>
      <c r="FH611" s="3"/>
      <c r="FI611" s="3"/>
      <c r="FJ611" s="3"/>
      <c r="FK611" s="3"/>
      <c r="FL611" s="3"/>
      <c r="FM611" s="3"/>
      <c r="FN611" s="3"/>
      <c r="FO611" s="3"/>
      <c r="FP611" s="3"/>
      <c r="FQ611" s="3"/>
      <c r="FR611" s="3"/>
      <c r="FS611" s="3"/>
      <c r="FT611" s="3"/>
      <c r="FU611" s="3"/>
      <c r="FV611" s="3"/>
      <c r="FW611" s="3"/>
      <c r="FX611" s="3"/>
      <c r="FY611" s="3"/>
      <c r="FZ611" s="3"/>
      <c r="GA611" s="3"/>
      <c r="GB611" s="3"/>
      <c r="GC611" s="3"/>
      <c r="GD611" s="3"/>
      <c r="GE611" s="3"/>
      <c r="GF611" s="3"/>
      <c r="GG611" s="3"/>
      <c r="GH611" s="3"/>
      <c r="GI611" s="3"/>
      <c r="GJ611" s="3"/>
      <c r="GK611" s="3"/>
      <c r="GL611" s="3"/>
      <c r="GM611" s="3"/>
      <c r="GN611" s="3"/>
      <c r="GO611" s="3"/>
      <c r="GP611" s="3"/>
      <c r="GQ611" s="3"/>
      <c r="GR611" s="3"/>
      <c r="GS611" s="3"/>
      <c r="GT611" s="3"/>
      <c r="GU611" s="3"/>
      <c r="GV611" s="3"/>
      <c r="GW611" s="3"/>
      <c r="GX611" s="3"/>
      <c r="GY611" s="3"/>
      <c r="GZ611" s="3"/>
      <c r="HA611" s="3"/>
      <c r="HB611" s="3"/>
    </row>
    <row r="612" spans="1:210" ht="15.75" customHeight="1">
      <c r="A612" s="50"/>
      <c r="B612" s="50"/>
      <c r="C612" s="50"/>
      <c r="D612" s="50"/>
      <c r="E612" s="50"/>
      <c r="F612" s="50"/>
      <c r="G612" s="51"/>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c r="AS612" s="50"/>
      <c r="AT612" s="50"/>
      <c r="AU612" s="50"/>
      <c r="AV612" s="50"/>
      <c r="AW612" s="50"/>
      <c r="AX612" s="50"/>
      <c r="AY612" s="50"/>
      <c r="AZ612" s="50"/>
      <c r="BA612" s="50"/>
      <c r="BB612" s="50"/>
      <c r="BC612" s="50"/>
      <c r="BD612" s="50"/>
      <c r="BE612" s="50"/>
      <c r="BF612" s="50"/>
      <c r="BG612" s="50"/>
      <c r="BH612" s="50"/>
      <c r="BI612" s="50"/>
      <c r="BJ612" s="50"/>
      <c r="BK612" s="50"/>
      <c r="BL612" s="50"/>
      <c r="BM612" s="50"/>
      <c r="BN612" s="50"/>
      <c r="BO612" s="50"/>
      <c r="BP612" s="50"/>
      <c r="BQ612" s="50"/>
      <c r="BR612" s="50"/>
      <c r="BS612" s="50"/>
      <c r="BT612" s="50"/>
      <c r="BU612" s="50"/>
      <c r="BV612" s="50"/>
      <c r="BW612" s="50"/>
      <c r="BX612" s="50"/>
      <c r="BY612" s="50"/>
      <c r="BZ612" s="50"/>
      <c r="CA612" s="50"/>
      <c r="CB612" s="50"/>
      <c r="CC612" s="50"/>
      <c r="CD612" s="52"/>
      <c r="CE612" s="50"/>
      <c r="CF612" s="50"/>
      <c r="CG612" s="50"/>
      <c r="CH612" s="50"/>
      <c r="CI612" s="50"/>
      <c r="CJ612" s="50"/>
      <c r="CK612" s="50"/>
      <c r="CL612" s="50"/>
      <c r="CM612" s="50"/>
      <c r="CN612" s="50"/>
      <c r="CO612" s="50"/>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c r="FF612" s="3"/>
      <c r="FG612" s="3"/>
      <c r="FH612" s="3"/>
      <c r="FI612" s="3"/>
      <c r="FJ612" s="3"/>
      <c r="FK612" s="3"/>
      <c r="FL612" s="3"/>
      <c r="FM612" s="3"/>
      <c r="FN612" s="3"/>
      <c r="FO612" s="3"/>
      <c r="FP612" s="3"/>
      <c r="FQ612" s="3"/>
      <c r="FR612" s="3"/>
      <c r="FS612" s="3"/>
      <c r="FT612" s="3"/>
      <c r="FU612" s="3"/>
      <c r="FV612" s="3"/>
      <c r="FW612" s="3"/>
      <c r="FX612" s="3"/>
      <c r="FY612" s="3"/>
      <c r="FZ612" s="3"/>
      <c r="GA612" s="3"/>
      <c r="GB612" s="3"/>
      <c r="GC612" s="3"/>
      <c r="GD612" s="3"/>
      <c r="GE612" s="3"/>
      <c r="GF612" s="3"/>
      <c r="GG612" s="3"/>
      <c r="GH612" s="3"/>
      <c r="GI612" s="3"/>
      <c r="GJ612" s="3"/>
      <c r="GK612" s="3"/>
      <c r="GL612" s="3"/>
      <c r="GM612" s="3"/>
      <c r="GN612" s="3"/>
      <c r="GO612" s="3"/>
      <c r="GP612" s="3"/>
      <c r="GQ612" s="3"/>
      <c r="GR612" s="3"/>
      <c r="GS612" s="3"/>
      <c r="GT612" s="3"/>
      <c r="GU612" s="3"/>
      <c r="GV612" s="3"/>
      <c r="GW612" s="3"/>
      <c r="GX612" s="3"/>
      <c r="GY612" s="3"/>
      <c r="GZ612" s="3"/>
      <c r="HA612" s="3"/>
      <c r="HB612" s="3"/>
    </row>
    <row r="613" spans="1:210" ht="15.75" customHeight="1">
      <c r="A613" s="50"/>
      <c r="B613" s="50"/>
      <c r="C613" s="50"/>
      <c r="D613" s="50"/>
      <c r="E613" s="50"/>
      <c r="F613" s="50"/>
      <c r="G613" s="51"/>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c r="AS613" s="50"/>
      <c r="AT613" s="50"/>
      <c r="AU613" s="50"/>
      <c r="AV613" s="50"/>
      <c r="AW613" s="50"/>
      <c r="AX613" s="50"/>
      <c r="AY613" s="50"/>
      <c r="AZ613" s="50"/>
      <c r="BA613" s="50"/>
      <c r="BB613" s="50"/>
      <c r="BC613" s="50"/>
      <c r="BD613" s="50"/>
      <c r="BE613" s="50"/>
      <c r="BF613" s="50"/>
      <c r="BG613" s="50"/>
      <c r="BH613" s="50"/>
      <c r="BI613" s="50"/>
      <c r="BJ613" s="50"/>
      <c r="BK613" s="50"/>
      <c r="BL613" s="50"/>
      <c r="BM613" s="50"/>
      <c r="BN613" s="50"/>
      <c r="BO613" s="50"/>
      <c r="BP613" s="50"/>
      <c r="BQ613" s="50"/>
      <c r="BR613" s="50"/>
      <c r="BS613" s="50"/>
      <c r="BT613" s="50"/>
      <c r="BU613" s="50"/>
      <c r="BV613" s="50"/>
      <c r="BW613" s="50"/>
      <c r="BX613" s="50"/>
      <c r="BY613" s="50"/>
      <c r="BZ613" s="50"/>
      <c r="CA613" s="50"/>
      <c r="CB613" s="50"/>
      <c r="CC613" s="50"/>
      <c r="CD613" s="52"/>
      <c r="CE613" s="50"/>
      <c r="CF613" s="50"/>
      <c r="CG613" s="50"/>
      <c r="CH613" s="50"/>
      <c r="CI613" s="50"/>
      <c r="CJ613" s="50"/>
      <c r="CK613" s="50"/>
      <c r="CL613" s="50"/>
      <c r="CM613" s="50"/>
      <c r="CN613" s="50"/>
      <c r="CO613" s="50"/>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c r="FF613" s="3"/>
      <c r="FG613" s="3"/>
      <c r="FH613" s="3"/>
      <c r="FI613" s="3"/>
      <c r="FJ613" s="3"/>
      <c r="FK613" s="3"/>
      <c r="FL613" s="3"/>
      <c r="FM613" s="3"/>
      <c r="FN613" s="3"/>
      <c r="FO613" s="3"/>
      <c r="FP613" s="3"/>
      <c r="FQ613" s="3"/>
      <c r="FR613" s="3"/>
      <c r="FS613" s="3"/>
      <c r="FT613" s="3"/>
      <c r="FU613" s="3"/>
      <c r="FV613" s="3"/>
      <c r="FW613" s="3"/>
      <c r="FX613" s="3"/>
      <c r="FY613" s="3"/>
      <c r="FZ613" s="3"/>
      <c r="GA613" s="3"/>
      <c r="GB613" s="3"/>
      <c r="GC613" s="3"/>
      <c r="GD613" s="3"/>
      <c r="GE613" s="3"/>
      <c r="GF613" s="3"/>
      <c r="GG613" s="3"/>
      <c r="GH613" s="3"/>
      <c r="GI613" s="3"/>
      <c r="GJ613" s="3"/>
      <c r="GK613" s="3"/>
      <c r="GL613" s="3"/>
      <c r="GM613" s="3"/>
      <c r="GN613" s="3"/>
      <c r="GO613" s="3"/>
      <c r="GP613" s="3"/>
      <c r="GQ613" s="3"/>
      <c r="GR613" s="3"/>
      <c r="GS613" s="3"/>
      <c r="GT613" s="3"/>
      <c r="GU613" s="3"/>
      <c r="GV613" s="3"/>
      <c r="GW613" s="3"/>
      <c r="GX613" s="3"/>
      <c r="GY613" s="3"/>
      <c r="GZ613" s="3"/>
      <c r="HA613" s="3"/>
      <c r="HB613" s="3"/>
    </row>
    <row r="614" spans="1:210" ht="15.75" customHeight="1">
      <c r="A614" s="50"/>
      <c r="B614" s="50"/>
      <c r="C614" s="50"/>
      <c r="D614" s="50"/>
      <c r="E614" s="50"/>
      <c r="F614" s="50"/>
      <c r="G614" s="51"/>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c r="AS614" s="50"/>
      <c r="AT614" s="50"/>
      <c r="AU614" s="50"/>
      <c r="AV614" s="50"/>
      <c r="AW614" s="50"/>
      <c r="AX614" s="50"/>
      <c r="AY614" s="50"/>
      <c r="AZ614" s="50"/>
      <c r="BA614" s="50"/>
      <c r="BB614" s="50"/>
      <c r="BC614" s="50"/>
      <c r="BD614" s="50"/>
      <c r="BE614" s="50"/>
      <c r="BF614" s="50"/>
      <c r="BG614" s="50"/>
      <c r="BH614" s="50"/>
      <c r="BI614" s="50"/>
      <c r="BJ614" s="50"/>
      <c r="BK614" s="50"/>
      <c r="BL614" s="50"/>
      <c r="BM614" s="50"/>
      <c r="BN614" s="50"/>
      <c r="BO614" s="50"/>
      <c r="BP614" s="50"/>
      <c r="BQ614" s="50"/>
      <c r="BR614" s="50"/>
      <c r="BS614" s="50"/>
      <c r="BT614" s="50"/>
      <c r="BU614" s="50"/>
      <c r="BV614" s="50"/>
      <c r="BW614" s="50"/>
      <c r="BX614" s="50"/>
      <c r="BY614" s="50"/>
      <c r="BZ614" s="50"/>
      <c r="CA614" s="50"/>
      <c r="CB614" s="50"/>
      <c r="CC614" s="50"/>
      <c r="CD614" s="52"/>
      <c r="CE614" s="50"/>
      <c r="CF614" s="50"/>
      <c r="CG614" s="50"/>
      <c r="CH614" s="50"/>
      <c r="CI614" s="50"/>
      <c r="CJ614" s="50"/>
      <c r="CK614" s="50"/>
      <c r="CL614" s="50"/>
      <c r="CM614" s="50"/>
      <c r="CN614" s="50"/>
      <c r="CO614" s="50"/>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c r="FF614" s="3"/>
      <c r="FG614" s="3"/>
      <c r="FH614" s="3"/>
      <c r="FI614" s="3"/>
      <c r="FJ614" s="3"/>
      <c r="FK614" s="3"/>
      <c r="FL614" s="3"/>
      <c r="FM614" s="3"/>
      <c r="FN614" s="3"/>
      <c r="FO614" s="3"/>
      <c r="FP614" s="3"/>
      <c r="FQ614" s="3"/>
      <c r="FR614" s="3"/>
      <c r="FS614" s="3"/>
      <c r="FT614" s="3"/>
      <c r="FU614" s="3"/>
      <c r="FV614" s="3"/>
      <c r="FW614" s="3"/>
      <c r="FX614" s="3"/>
      <c r="FY614" s="3"/>
      <c r="FZ614" s="3"/>
      <c r="GA614" s="3"/>
      <c r="GB614" s="3"/>
      <c r="GC614" s="3"/>
      <c r="GD614" s="3"/>
      <c r="GE614" s="3"/>
      <c r="GF614" s="3"/>
      <c r="GG614" s="3"/>
      <c r="GH614" s="3"/>
      <c r="GI614" s="3"/>
      <c r="GJ614" s="3"/>
      <c r="GK614" s="3"/>
      <c r="GL614" s="3"/>
      <c r="GM614" s="3"/>
      <c r="GN614" s="3"/>
      <c r="GO614" s="3"/>
      <c r="GP614" s="3"/>
      <c r="GQ614" s="3"/>
      <c r="GR614" s="3"/>
      <c r="GS614" s="3"/>
      <c r="GT614" s="3"/>
      <c r="GU614" s="3"/>
      <c r="GV614" s="3"/>
      <c r="GW614" s="3"/>
      <c r="GX614" s="3"/>
      <c r="GY614" s="3"/>
      <c r="GZ614" s="3"/>
      <c r="HA614" s="3"/>
      <c r="HB614" s="3"/>
    </row>
    <row r="615" spans="1:210" ht="15.75" customHeight="1">
      <c r="A615" s="50"/>
      <c r="B615" s="50"/>
      <c r="C615" s="50"/>
      <c r="D615" s="50"/>
      <c r="E615" s="50"/>
      <c r="F615" s="50"/>
      <c r="G615" s="51"/>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c r="AR615" s="50"/>
      <c r="AS615" s="50"/>
      <c r="AT615" s="50"/>
      <c r="AU615" s="50"/>
      <c r="AV615" s="50"/>
      <c r="AW615" s="50"/>
      <c r="AX615" s="50"/>
      <c r="AY615" s="50"/>
      <c r="AZ615" s="50"/>
      <c r="BA615" s="50"/>
      <c r="BB615" s="50"/>
      <c r="BC615" s="50"/>
      <c r="BD615" s="50"/>
      <c r="BE615" s="50"/>
      <c r="BF615" s="50"/>
      <c r="BG615" s="50"/>
      <c r="BH615" s="50"/>
      <c r="BI615" s="50"/>
      <c r="BJ615" s="50"/>
      <c r="BK615" s="50"/>
      <c r="BL615" s="50"/>
      <c r="BM615" s="50"/>
      <c r="BN615" s="50"/>
      <c r="BO615" s="50"/>
      <c r="BP615" s="50"/>
      <c r="BQ615" s="50"/>
      <c r="BR615" s="50"/>
      <c r="BS615" s="50"/>
      <c r="BT615" s="50"/>
      <c r="BU615" s="50"/>
      <c r="BV615" s="50"/>
      <c r="BW615" s="50"/>
      <c r="BX615" s="50"/>
      <c r="BY615" s="50"/>
      <c r="BZ615" s="50"/>
      <c r="CA615" s="50"/>
      <c r="CB615" s="50"/>
      <c r="CC615" s="50"/>
      <c r="CD615" s="52"/>
      <c r="CE615" s="50"/>
      <c r="CF615" s="50"/>
      <c r="CG615" s="50"/>
      <c r="CH615" s="50"/>
      <c r="CI615" s="50"/>
      <c r="CJ615" s="50"/>
      <c r="CK615" s="50"/>
      <c r="CL615" s="50"/>
      <c r="CM615" s="50"/>
      <c r="CN615" s="50"/>
      <c r="CO615" s="50"/>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c r="FF615" s="3"/>
      <c r="FG615" s="3"/>
      <c r="FH615" s="3"/>
      <c r="FI615" s="3"/>
      <c r="FJ615" s="3"/>
      <c r="FK615" s="3"/>
      <c r="FL615" s="3"/>
      <c r="FM615" s="3"/>
      <c r="FN615" s="3"/>
      <c r="FO615" s="3"/>
      <c r="FP615" s="3"/>
      <c r="FQ615" s="3"/>
      <c r="FR615" s="3"/>
      <c r="FS615" s="3"/>
      <c r="FT615" s="3"/>
      <c r="FU615" s="3"/>
      <c r="FV615" s="3"/>
      <c r="FW615" s="3"/>
      <c r="FX615" s="3"/>
      <c r="FY615" s="3"/>
      <c r="FZ615" s="3"/>
      <c r="GA615" s="3"/>
      <c r="GB615" s="3"/>
      <c r="GC615" s="3"/>
      <c r="GD615" s="3"/>
      <c r="GE615" s="3"/>
      <c r="GF615" s="3"/>
      <c r="GG615" s="3"/>
      <c r="GH615" s="3"/>
      <c r="GI615" s="3"/>
      <c r="GJ615" s="3"/>
      <c r="GK615" s="3"/>
      <c r="GL615" s="3"/>
      <c r="GM615" s="3"/>
      <c r="GN615" s="3"/>
      <c r="GO615" s="3"/>
      <c r="GP615" s="3"/>
      <c r="GQ615" s="3"/>
      <c r="GR615" s="3"/>
      <c r="GS615" s="3"/>
      <c r="GT615" s="3"/>
      <c r="GU615" s="3"/>
      <c r="GV615" s="3"/>
      <c r="GW615" s="3"/>
      <c r="GX615" s="3"/>
      <c r="GY615" s="3"/>
      <c r="GZ615" s="3"/>
      <c r="HA615" s="3"/>
      <c r="HB615" s="3"/>
    </row>
    <row r="616" spans="1:210" ht="15.75" customHeight="1">
      <c r="A616" s="50"/>
      <c r="B616" s="50"/>
      <c r="C616" s="50"/>
      <c r="D616" s="50"/>
      <c r="E616" s="50"/>
      <c r="F616" s="50"/>
      <c r="G616" s="51"/>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c r="AR616" s="50"/>
      <c r="AS616" s="50"/>
      <c r="AT616" s="50"/>
      <c r="AU616" s="50"/>
      <c r="AV616" s="50"/>
      <c r="AW616" s="50"/>
      <c r="AX616" s="50"/>
      <c r="AY616" s="50"/>
      <c r="AZ616" s="50"/>
      <c r="BA616" s="50"/>
      <c r="BB616" s="50"/>
      <c r="BC616" s="50"/>
      <c r="BD616" s="50"/>
      <c r="BE616" s="50"/>
      <c r="BF616" s="50"/>
      <c r="BG616" s="50"/>
      <c r="BH616" s="50"/>
      <c r="BI616" s="50"/>
      <c r="BJ616" s="50"/>
      <c r="BK616" s="50"/>
      <c r="BL616" s="50"/>
      <c r="BM616" s="50"/>
      <c r="BN616" s="50"/>
      <c r="BO616" s="50"/>
      <c r="BP616" s="50"/>
      <c r="BQ616" s="50"/>
      <c r="BR616" s="50"/>
      <c r="BS616" s="50"/>
      <c r="BT616" s="50"/>
      <c r="BU616" s="50"/>
      <c r="BV616" s="50"/>
      <c r="BW616" s="50"/>
      <c r="BX616" s="50"/>
      <c r="BY616" s="50"/>
      <c r="BZ616" s="50"/>
      <c r="CA616" s="50"/>
      <c r="CB616" s="50"/>
      <c r="CC616" s="50"/>
      <c r="CD616" s="52"/>
      <c r="CE616" s="50"/>
      <c r="CF616" s="50"/>
      <c r="CG616" s="50"/>
      <c r="CH616" s="50"/>
      <c r="CI616" s="50"/>
      <c r="CJ616" s="50"/>
      <c r="CK616" s="50"/>
      <c r="CL616" s="50"/>
      <c r="CM616" s="50"/>
      <c r="CN616" s="50"/>
      <c r="CO616" s="50"/>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c r="FF616" s="3"/>
      <c r="FG616" s="3"/>
      <c r="FH616" s="3"/>
      <c r="FI616" s="3"/>
      <c r="FJ616" s="3"/>
      <c r="FK616" s="3"/>
      <c r="FL616" s="3"/>
      <c r="FM616" s="3"/>
      <c r="FN616" s="3"/>
      <c r="FO616" s="3"/>
      <c r="FP616" s="3"/>
      <c r="FQ616" s="3"/>
      <c r="FR616" s="3"/>
      <c r="FS616" s="3"/>
      <c r="FT616" s="3"/>
      <c r="FU616" s="3"/>
      <c r="FV616" s="3"/>
      <c r="FW616" s="3"/>
      <c r="FX616" s="3"/>
      <c r="FY616" s="3"/>
      <c r="FZ616" s="3"/>
      <c r="GA616" s="3"/>
      <c r="GB616" s="3"/>
      <c r="GC616" s="3"/>
      <c r="GD616" s="3"/>
      <c r="GE616" s="3"/>
      <c r="GF616" s="3"/>
      <c r="GG616" s="3"/>
      <c r="GH616" s="3"/>
      <c r="GI616" s="3"/>
      <c r="GJ616" s="3"/>
      <c r="GK616" s="3"/>
      <c r="GL616" s="3"/>
      <c r="GM616" s="3"/>
      <c r="GN616" s="3"/>
      <c r="GO616" s="3"/>
      <c r="GP616" s="3"/>
      <c r="GQ616" s="3"/>
      <c r="GR616" s="3"/>
      <c r="GS616" s="3"/>
      <c r="GT616" s="3"/>
      <c r="GU616" s="3"/>
      <c r="GV616" s="3"/>
      <c r="GW616" s="3"/>
      <c r="GX616" s="3"/>
      <c r="GY616" s="3"/>
      <c r="GZ616" s="3"/>
      <c r="HA616" s="3"/>
      <c r="HB616" s="3"/>
    </row>
    <row r="617" spans="1:210" ht="15.75" customHeight="1">
      <c r="A617" s="50"/>
      <c r="B617" s="50"/>
      <c r="C617" s="50"/>
      <c r="D617" s="50"/>
      <c r="E617" s="50"/>
      <c r="F617" s="50"/>
      <c r="G617" s="51"/>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c r="AR617" s="50"/>
      <c r="AS617" s="50"/>
      <c r="AT617" s="50"/>
      <c r="AU617" s="50"/>
      <c r="AV617" s="50"/>
      <c r="AW617" s="50"/>
      <c r="AX617" s="50"/>
      <c r="AY617" s="50"/>
      <c r="AZ617" s="50"/>
      <c r="BA617" s="50"/>
      <c r="BB617" s="50"/>
      <c r="BC617" s="50"/>
      <c r="BD617" s="50"/>
      <c r="BE617" s="50"/>
      <c r="BF617" s="50"/>
      <c r="BG617" s="50"/>
      <c r="BH617" s="50"/>
      <c r="BI617" s="50"/>
      <c r="BJ617" s="50"/>
      <c r="BK617" s="50"/>
      <c r="BL617" s="50"/>
      <c r="BM617" s="50"/>
      <c r="BN617" s="50"/>
      <c r="BO617" s="50"/>
      <c r="BP617" s="50"/>
      <c r="BQ617" s="50"/>
      <c r="BR617" s="50"/>
      <c r="BS617" s="50"/>
      <c r="BT617" s="50"/>
      <c r="BU617" s="50"/>
      <c r="BV617" s="50"/>
      <c r="BW617" s="50"/>
      <c r="BX617" s="50"/>
      <c r="BY617" s="50"/>
      <c r="BZ617" s="50"/>
      <c r="CA617" s="50"/>
      <c r="CB617" s="50"/>
      <c r="CC617" s="50"/>
      <c r="CD617" s="52"/>
      <c r="CE617" s="50"/>
      <c r="CF617" s="50"/>
      <c r="CG617" s="50"/>
      <c r="CH617" s="50"/>
      <c r="CI617" s="50"/>
      <c r="CJ617" s="50"/>
      <c r="CK617" s="50"/>
      <c r="CL617" s="50"/>
      <c r="CM617" s="50"/>
      <c r="CN617" s="50"/>
      <c r="CO617" s="50"/>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c r="FF617" s="3"/>
      <c r="FG617" s="3"/>
      <c r="FH617" s="3"/>
      <c r="FI617" s="3"/>
      <c r="FJ617" s="3"/>
      <c r="FK617" s="3"/>
      <c r="FL617" s="3"/>
      <c r="FM617" s="3"/>
      <c r="FN617" s="3"/>
      <c r="FO617" s="3"/>
      <c r="FP617" s="3"/>
      <c r="FQ617" s="3"/>
      <c r="FR617" s="3"/>
      <c r="FS617" s="3"/>
      <c r="FT617" s="3"/>
      <c r="FU617" s="3"/>
      <c r="FV617" s="3"/>
      <c r="FW617" s="3"/>
      <c r="FX617" s="3"/>
      <c r="FY617" s="3"/>
      <c r="FZ617" s="3"/>
      <c r="GA617" s="3"/>
      <c r="GB617" s="3"/>
      <c r="GC617" s="3"/>
      <c r="GD617" s="3"/>
      <c r="GE617" s="3"/>
      <c r="GF617" s="3"/>
      <c r="GG617" s="3"/>
      <c r="GH617" s="3"/>
      <c r="GI617" s="3"/>
      <c r="GJ617" s="3"/>
      <c r="GK617" s="3"/>
      <c r="GL617" s="3"/>
      <c r="GM617" s="3"/>
      <c r="GN617" s="3"/>
      <c r="GO617" s="3"/>
      <c r="GP617" s="3"/>
      <c r="GQ617" s="3"/>
      <c r="GR617" s="3"/>
      <c r="GS617" s="3"/>
      <c r="GT617" s="3"/>
      <c r="GU617" s="3"/>
      <c r="GV617" s="3"/>
      <c r="GW617" s="3"/>
      <c r="GX617" s="3"/>
      <c r="GY617" s="3"/>
      <c r="GZ617" s="3"/>
      <c r="HA617" s="3"/>
      <c r="HB617" s="3"/>
    </row>
    <row r="618" spans="1:210" ht="15.75" customHeight="1">
      <c r="A618" s="50"/>
      <c r="B618" s="50"/>
      <c r="C618" s="50"/>
      <c r="D618" s="50"/>
      <c r="E618" s="50"/>
      <c r="F618" s="50"/>
      <c r="G618" s="51"/>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c r="AR618" s="50"/>
      <c r="AS618" s="50"/>
      <c r="AT618" s="50"/>
      <c r="AU618" s="50"/>
      <c r="AV618" s="50"/>
      <c r="AW618" s="50"/>
      <c r="AX618" s="50"/>
      <c r="AY618" s="50"/>
      <c r="AZ618" s="50"/>
      <c r="BA618" s="50"/>
      <c r="BB618" s="50"/>
      <c r="BC618" s="50"/>
      <c r="BD618" s="50"/>
      <c r="BE618" s="50"/>
      <c r="BF618" s="50"/>
      <c r="BG618" s="50"/>
      <c r="BH618" s="50"/>
      <c r="BI618" s="50"/>
      <c r="BJ618" s="50"/>
      <c r="BK618" s="50"/>
      <c r="BL618" s="50"/>
      <c r="BM618" s="50"/>
      <c r="BN618" s="50"/>
      <c r="BO618" s="50"/>
      <c r="BP618" s="50"/>
      <c r="BQ618" s="50"/>
      <c r="BR618" s="50"/>
      <c r="BS618" s="50"/>
      <c r="BT618" s="50"/>
      <c r="BU618" s="50"/>
      <c r="BV618" s="50"/>
      <c r="BW618" s="50"/>
      <c r="BX618" s="50"/>
      <c r="BY618" s="50"/>
      <c r="BZ618" s="50"/>
      <c r="CA618" s="50"/>
      <c r="CB618" s="50"/>
      <c r="CC618" s="50"/>
      <c r="CD618" s="52"/>
      <c r="CE618" s="50"/>
      <c r="CF618" s="50"/>
      <c r="CG618" s="50"/>
      <c r="CH618" s="50"/>
      <c r="CI618" s="50"/>
      <c r="CJ618" s="50"/>
      <c r="CK618" s="50"/>
      <c r="CL618" s="50"/>
      <c r="CM618" s="50"/>
      <c r="CN618" s="50"/>
      <c r="CO618" s="50"/>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c r="FF618" s="3"/>
      <c r="FG618" s="3"/>
      <c r="FH618" s="3"/>
      <c r="FI618" s="3"/>
      <c r="FJ618" s="3"/>
      <c r="FK618" s="3"/>
      <c r="FL618" s="3"/>
      <c r="FM618" s="3"/>
      <c r="FN618" s="3"/>
      <c r="FO618" s="3"/>
      <c r="FP618" s="3"/>
      <c r="FQ618" s="3"/>
      <c r="FR618" s="3"/>
      <c r="FS618" s="3"/>
      <c r="FT618" s="3"/>
      <c r="FU618" s="3"/>
      <c r="FV618" s="3"/>
      <c r="FW618" s="3"/>
      <c r="FX618" s="3"/>
      <c r="FY618" s="3"/>
      <c r="FZ618" s="3"/>
      <c r="GA618" s="3"/>
      <c r="GB618" s="3"/>
      <c r="GC618" s="3"/>
      <c r="GD618" s="3"/>
      <c r="GE618" s="3"/>
      <c r="GF618" s="3"/>
      <c r="GG618" s="3"/>
      <c r="GH618" s="3"/>
      <c r="GI618" s="3"/>
      <c r="GJ618" s="3"/>
      <c r="GK618" s="3"/>
      <c r="GL618" s="3"/>
      <c r="GM618" s="3"/>
      <c r="GN618" s="3"/>
      <c r="GO618" s="3"/>
      <c r="GP618" s="3"/>
      <c r="GQ618" s="3"/>
      <c r="GR618" s="3"/>
      <c r="GS618" s="3"/>
      <c r="GT618" s="3"/>
      <c r="GU618" s="3"/>
      <c r="GV618" s="3"/>
      <c r="GW618" s="3"/>
      <c r="GX618" s="3"/>
      <c r="GY618" s="3"/>
      <c r="GZ618" s="3"/>
      <c r="HA618" s="3"/>
      <c r="HB618" s="3"/>
    </row>
    <row r="619" spans="1:210" ht="15.75" customHeight="1">
      <c r="A619" s="50"/>
      <c r="B619" s="50"/>
      <c r="C619" s="50"/>
      <c r="D619" s="50"/>
      <c r="E619" s="50"/>
      <c r="F619" s="50"/>
      <c r="G619" s="51"/>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c r="AR619" s="50"/>
      <c r="AS619" s="50"/>
      <c r="AT619" s="50"/>
      <c r="AU619" s="50"/>
      <c r="AV619" s="50"/>
      <c r="AW619" s="50"/>
      <c r="AX619" s="50"/>
      <c r="AY619" s="50"/>
      <c r="AZ619" s="50"/>
      <c r="BA619" s="50"/>
      <c r="BB619" s="50"/>
      <c r="BC619" s="50"/>
      <c r="BD619" s="50"/>
      <c r="BE619" s="50"/>
      <c r="BF619" s="50"/>
      <c r="BG619" s="50"/>
      <c r="BH619" s="50"/>
      <c r="BI619" s="50"/>
      <c r="BJ619" s="50"/>
      <c r="BK619" s="50"/>
      <c r="BL619" s="50"/>
      <c r="BM619" s="50"/>
      <c r="BN619" s="50"/>
      <c r="BO619" s="50"/>
      <c r="BP619" s="50"/>
      <c r="BQ619" s="50"/>
      <c r="BR619" s="50"/>
      <c r="BS619" s="50"/>
      <c r="BT619" s="50"/>
      <c r="BU619" s="50"/>
      <c r="BV619" s="50"/>
      <c r="BW619" s="50"/>
      <c r="BX619" s="50"/>
      <c r="BY619" s="50"/>
      <c r="BZ619" s="50"/>
      <c r="CA619" s="50"/>
      <c r="CB619" s="50"/>
      <c r="CC619" s="50"/>
      <c r="CD619" s="52"/>
      <c r="CE619" s="50"/>
      <c r="CF619" s="50"/>
      <c r="CG619" s="50"/>
      <c r="CH619" s="50"/>
      <c r="CI619" s="50"/>
      <c r="CJ619" s="50"/>
      <c r="CK619" s="50"/>
      <c r="CL619" s="50"/>
      <c r="CM619" s="50"/>
      <c r="CN619" s="50"/>
      <c r="CO619" s="50"/>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c r="FF619" s="3"/>
      <c r="FG619" s="3"/>
      <c r="FH619" s="3"/>
      <c r="FI619" s="3"/>
      <c r="FJ619" s="3"/>
      <c r="FK619" s="3"/>
      <c r="FL619" s="3"/>
      <c r="FM619" s="3"/>
      <c r="FN619" s="3"/>
      <c r="FO619" s="3"/>
      <c r="FP619" s="3"/>
      <c r="FQ619" s="3"/>
      <c r="FR619" s="3"/>
      <c r="FS619" s="3"/>
      <c r="FT619" s="3"/>
      <c r="FU619" s="3"/>
      <c r="FV619" s="3"/>
      <c r="FW619" s="3"/>
      <c r="FX619" s="3"/>
      <c r="FY619" s="3"/>
      <c r="FZ619" s="3"/>
      <c r="GA619" s="3"/>
      <c r="GB619" s="3"/>
      <c r="GC619" s="3"/>
      <c r="GD619" s="3"/>
      <c r="GE619" s="3"/>
      <c r="GF619" s="3"/>
      <c r="GG619" s="3"/>
      <c r="GH619" s="3"/>
      <c r="GI619" s="3"/>
      <c r="GJ619" s="3"/>
      <c r="GK619" s="3"/>
      <c r="GL619" s="3"/>
      <c r="GM619" s="3"/>
      <c r="GN619" s="3"/>
      <c r="GO619" s="3"/>
      <c r="GP619" s="3"/>
      <c r="GQ619" s="3"/>
      <c r="GR619" s="3"/>
      <c r="GS619" s="3"/>
      <c r="GT619" s="3"/>
      <c r="GU619" s="3"/>
      <c r="GV619" s="3"/>
      <c r="GW619" s="3"/>
      <c r="GX619" s="3"/>
      <c r="GY619" s="3"/>
      <c r="GZ619" s="3"/>
      <c r="HA619" s="3"/>
      <c r="HB619" s="3"/>
    </row>
    <row r="620" spans="1:210" ht="15.75" customHeight="1">
      <c r="A620" s="50"/>
      <c r="B620" s="50"/>
      <c r="C620" s="50"/>
      <c r="D620" s="50"/>
      <c r="E620" s="50"/>
      <c r="F620" s="50"/>
      <c r="G620" s="51"/>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c r="AR620" s="50"/>
      <c r="AS620" s="50"/>
      <c r="AT620" s="50"/>
      <c r="AU620" s="50"/>
      <c r="AV620" s="50"/>
      <c r="AW620" s="50"/>
      <c r="AX620" s="50"/>
      <c r="AY620" s="50"/>
      <c r="AZ620" s="50"/>
      <c r="BA620" s="50"/>
      <c r="BB620" s="50"/>
      <c r="BC620" s="50"/>
      <c r="BD620" s="50"/>
      <c r="BE620" s="50"/>
      <c r="BF620" s="50"/>
      <c r="BG620" s="50"/>
      <c r="BH620" s="50"/>
      <c r="BI620" s="50"/>
      <c r="BJ620" s="50"/>
      <c r="BK620" s="50"/>
      <c r="BL620" s="50"/>
      <c r="BM620" s="50"/>
      <c r="BN620" s="50"/>
      <c r="BO620" s="50"/>
      <c r="BP620" s="50"/>
      <c r="BQ620" s="50"/>
      <c r="BR620" s="50"/>
      <c r="BS620" s="50"/>
      <c r="BT620" s="50"/>
      <c r="BU620" s="50"/>
      <c r="BV620" s="50"/>
      <c r="BW620" s="50"/>
      <c r="BX620" s="50"/>
      <c r="BY620" s="50"/>
      <c r="BZ620" s="50"/>
      <c r="CA620" s="50"/>
      <c r="CB620" s="50"/>
      <c r="CC620" s="50"/>
      <c r="CD620" s="52"/>
      <c r="CE620" s="50"/>
      <c r="CF620" s="50"/>
      <c r="CG620" s="50"/>
      <c r="CH620" s="50"/>
      <c r="CI620" s="50"/>
      <c r="CJ620" s="50"/>
      <c r="CK620" s="50"/>
      <c r="CL620" s="50"/>
      <c r="CM620" s="50"/>
      <c r="CN620" s="50"/>
      <c r="CO620" s="50"/>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c r="FF620" s="3"/>
      <c r="FG620" s="3"/>
      <c r="FH620" s="3"/>
      <c r="FI620" s="3"/>
      <c r="FJ620" s="3"/>
      <c r="FK620" s="3"/>
      <c r="FL620" s="3"/>
      <c r="FM620" s="3"/>
      <c r="FN620" s="3"/>
      <c r="FO620" s="3"/>
      <c r="FP620" s="3"/>
      <c r="FQ620" s="3"/>
      <c r="FR620" s="3"/>
      <c r="FS620" s="3"/>
      <c r="FT620" s="3"/>
      <c r="FU620" s="3"/>
      <c r="FV620" s="3"/>
      <c r="FW620" s="3"/>
      <c r="FX620" s="3"/>
      <c r="FY620" s="3"/>
      <c r="FZ620" s="3"/>
      <c r="GA620" s="3"/>
      <c r="GB620" s="3"/>
      <c r="GC620" s="3"/>
      <c r="GD620" s="3"/>
      <c r="GE620" s="3"/>
      <c r="GF620" s="3"/>
      <c r="GG620" s="3"/>
      <c r="GH620" s="3"/>
      <c r="GI620" s="3"/>
      <c r="GJ620" s="3"/>
      <c r="GK620" s="3"/>
      <c r="GL620" s="3"/>
      <c r="GM620" s="3"/>
      <c r="GN620" s="3"/>
      <c r="GO620" s="3"/>
      <c r="GP620" s="3"/>
      <c r="GQ620" s="3"/>
      <c r="GR620" s="3"/>
      <c r="GS620" s="3"/>
      <c r="GT620" s="3"/>
      <c r="GU620" s="3"/>
      <c r="GV620" s="3"/>
      <c r="GW620" s="3"/>
      <c r="GX620" s="3"/>
      <c r="GY620" s="3"/>
      <c r="GZ620" s="3"/>
      <c r="HA620" s="3"/>
      <c r="HB620" s="3"/>
    </row>
    <row r="621" spans="1:210" ht="15.75" customHeight="1">
      <c r="A621" s="50"/>
      <c r="B621" s="50"/>
      <c r="C621" s="50"/>
      <c r="D621" s="50"/>
      <c r="E621" s="50"/>
      <c r="F621" s="50"/>
      <c r="G621" s="51"/>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c r="AR621" s="50"/>
      <c r="AS621" s="50"/>
      <c r="AT621" s="50"/>
      <c r="AU621" s="50"/>
      <c r="AV621" s="50"/>
      <c r="AW621" s="50"/>
      <c r="AX621" s="50"/>
      <c r="AY621" s="50"/>
      <c r="AZ621" s="50"/>
      <c r="BA621" s="50"/>
      <c r="BB621" s="50"/>
      <c r="BC621" s="50"/>
      <c r="BD621" s="50"/>
      <c r="BE621" s="50"/>
      <c r="BF621" s="50"/>
      <c r="BG621" s="50"/>
      <c r="BH621" s="50"/>
      <c r="BI621" s="50"/>
      <c r="BJ621" s="50"/>
      <c r="BK621" s="50"/>
      <c r="BL621" s="50"/>
      <c r="BM621" s="50"/>
      <c r="BN621" s="50"/>
      <c r="BO621" s="50"/>
      <c r="BP621" s="50"/>
      <c r="BQ621" s="50"/>
      <c r="BR621" s="50"/>
      <c r="BS621" s="50"/>
      <c r="BT621" s="50"/>
      <c r="BU621" s="50"/>
      <c r="BV621" s="50"/>
      <c r="BW621" s="50"/>
      <c r="BX621" s="50"/>
      <c r="BY621" s="50"/>
      <c r="BZ621" s="50"/>
      <c r="CA621" s="50"/>
      <c r="CB621" s="50"/>
      <c r="CC621" s="50"/>
      <c r="CD621" s="52"/>
      <c r="CE621" s="50"/>
      <c r="CF621" s="50"/>
      <c r="CG621" s="50"/>
      <c r="CH621" s="50"/>
      <c r="CI621" s="50"/>
      <c r="CJ621" s="50"/>
      <c r="CK621" s="50"/>
      <c r="CL621" s="50"/>
      <c r="CM621" s="50"/>
      <c r="CN621" s="50"/>
      <c r="CO621" s="50"/>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c r="FF621" s="3"/>
      <c r="FG621" s="3"/>
      <c r="FH621" s="3"/>
      <c r="FI621" s="3"/>
      <c r="FJ621" s="3"/>
      <c r="FK621" s="3"/>
      <c r="FL621" s="3"/>
      <c r="FM621" s="3"/>
      <c r="FN621" s="3"/>
      <c r="FO621" s="3"/>
      <c r="FP621" s="3"/>
      <c r="FQ621" s="3"/>
      <c r="FR621" s="3"/>
      <c r="FS621" s="3"/>
      <c r="FT621" s="3"/>
      <c r="FU621" s="3"/>
      <c r="FV621" s="3"/>
      <c r="FW621" s="3"/>
      <c r="FX621" s="3"/>
      <c r="FY621" s="3"/>
      <c r="FZ621" s="3"/>
      <c r="GA621" s="3"/>
      <c r="GB621" s="3"/>
      <c r="GC621" s="3"/>
      <c r="GD621" s="3"/>
      <c r="GE621" s="3"/>
      <c r="GF621" s="3"/>
      <c r="GG621" s="3"/>
      <c r="GH621" s="3"/>
      <c r="GI621" s="3"/>
      <c r="GJ621" s="3"/>
      <c r="GK621" s="3"/>
      <c r="GL621" s="3"/>
      <c r="GM621" s="3"/>
      <c r="GN621" s="3"/>
      <c r="GO621" s="3"/>
      <c r="GP621" s="3"/>
      <c r="GQ621" s="3"/>
      <c r="GR621" s="3"/>
      <c r="GS621" s="3"/>
      <c r="GT621" s="3"/>
      <c r="GU621" s="3"/>
      <c r="GV621" s="3"/>
      <c r="GW621" s="3"/>
      <c r="GX621" s="3"/>
      <c r="GY621" s="3"/>
      <c r="GZ621" s="3"/>
      <c r="HA621" s="3"/>
      <c r="HB621" s="3"/>
    </row>
    <row r="622" spans="1:210" ht="15.75" customHeight="1">
      <c r="A622" s="50"/>
      <c r="B622" s="50"/>
      <c r="C622" s="50"/>
      <c r="D622" s="50"/>
      <c r="E622" s="50"/>
      <c r="F622" s="50"/>
      <c r="G622" s="51"/>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c r="AR622" s="50"/>
      <c r="AS622" s="50"/>
      <c r="AT622" s="50"/>
      <c r="AU622" s="50"/>
      <c r="AV622" s="50"/>
      <c r="AW622" s="50"/>
      <c r="AX622" s="50"/>
      <c r="AY622" s="50"/>
      <c r="AZ622" s="50"/>
      <c r="BA622" s="50"/>
      <c r="BB622" s="50"/>
      <c r="BC622" s="50"/>
      <c r="BD622" s="50"/>
      <c r="BE622" s="50"/>
      <c r="BF622" s="50"/>
      <c r="BG622" s="50"/>
      <c r="BH622" s="50"/>
      <c r="BI622" s="50"/>
      <c r="BJ622" s="50"/>
      <c r="BK622" s="50"/>
      <c r="BL622" s="50"/>
      <c r="BM622" s="50"/>
      <c r="BN622" s="50"/>
      <c r="BO622" s="50"/>
      <c r="BP622" s="50"/>
      <c r="BQ622" s="50"/>
      <c r="BR622" s="50"/>
      <c r="BS622" s="50"/>
      <c r="BT622" s="50"/>
      <c r="BU622" s="50"/>
      <c r="BV622" s="50"/>
      <c r="BW622" s="50"/>
      <c r="BX622" s="50"/>
      <c r="BY622" s="50"/>
      <c r="BZ622" s="50"/>
      <c r="CA622" s="50"/>
      <c r="CB622" s="50"/>
      <c r="CC622" s="50"/>
      <c r="CD622" s="52"/>
      <c r="CE622" s="50"/>
      <c r="CF622" s="50"/>
      <c r="CG622" s="50"/>
      <c r="CH622" s="50"/>
      <c r="CI622" s="50"/>
      <c r="CJ622" s="50"/>
      <c r="CK622" s="50"/>
      <c r="CL622" s="50"/>
      <c r="CM622" s="50"/>
      <c r="CN622" s="50"/>
      <c r="CO622" s="50"/>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c r="FF622" s="3"/>
      <c r="FG622" s="3"/>
      <c r="FH622" s="3"/>
      <c r="FI622" s="3"/>
      <c r="FJ622" s="3"/>
      <c r="FK622" s="3"/>
      <c r="FL622" s="3"/>
      <c r="FM622" s="3"/>
      <c r="FN622" s="3"/>
      <c r="FO622" s="3"/>
      <c r="FP622" s="3"/>
      <c r="FQ622" s="3"/>
      <c r="FR622" s="3"/>
      <c r="FS622" s="3"/>
      <c r="FT622" s="3"/>
      <c r="FU622" s="3"/>
      <c r="FV622" s="3"/>
      <c r="FW622" s="3"/>
      <c r="FX622" s="3"/>
      <c r="FY622" s="3"/>
      <c r="FZ622" s="3"/>
      <c r="GA622" s="3"/>
      <c r="GB622" s="3"/>
      <c r="GC622" s="3"/>
      <c r="GD622" s="3"/>
      <c r="GE622" s="3"/>
      <c r="GF622" s="3"/>
      <c r="GG622" s="3"/>
      <c r="GH622" s="3"/>
      <c r="GI622" s="3"/>
      <c r="GJ622" s="3"/>
      <c r="GK622" s="3"/>
      <c r="GL622" s="3"/>
      <c r="GM622" s="3"/>
      <c r="GN622" s="3"/>
      <c r="GO622" s="3"/>
      <c r="GP622" s="3"/>
      <c r="GQ622" s="3"/>
      <c r="GR622" s="3"/>
      <c r="GS622" s="3"/>
      <c r="GT622" s="3"/>
      <c r="GU622" s="3"/>
      <c r="GV622" s="3"/>
      <c r="GW622" s="3"/>
      <c r="GX622" s="3"/>
      <c r="GY622" s="3"/>
      <c r="GZ622" s="3"/>
      <c r="HA622" s="3"/>
      <c r="HB622" s="3"/>
    </row>
    <row r="623" spans="1:210" ht="15.75" customHeight="1">
      <c r="A623" s="50"/>
      <c r="B623" s="50"/>
      <c r="C623" s="50"/>
      <c r="D623" s="50"/>
      <c r="E623" s="50"/>
      <c r="F623" s="50"/>
      <c r="G623" s="51"/>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c r="AR623" s="50"/>
      <c r="AS623" s="50"/>
      <c r="AT623" s="50"/>
      <c r="AU623" s="50"/>
      <c r="AV623" s="50"/>
      <c r="AW623" s="50"/>
      <c r="AX623" s="50"/>
      <c r="AY623" s="50"/>
      <c r="AZ623" s="50"/>
      <c r="BA623" s="50"/>
      <c r="BB623" s="50"/>
      <c r="BC623" s="50"/>
      <c r="BD623" s="50"/>
      <c r="BE623" s="50"/>
      <c r="BF623" s="50"/>
      <c r="BG623" s="50"/>
      <c r="BH623" s="50"/>
      <c r="BI623" s="50"/>
      <c r="BJ623" s="50"/>
      <c r="BK623" s="50"/>
      <c r="BL623" s="50"/>
      <c r="BM623" s="50"/>
      <c r="BN623" s="50"/>
      <c r="BO623" s="50"/>
      <c r="BP623" s="50"/>
      <c r="BQ623" s="50"/>
      <c r="BR623" s="50"/>
      <c r="BS623" s="50"/>
      <c r="BT623" s="50"/>
      <c r="BU623" s="50"/>
      <c r="BV623" s="50"/>
      <c r="BW623" s="50"/>
      <c r="BX623" s="50"/>
      <c r="BY623" s="50"/>
      <c r="BZ623" s="50"/>
      <c r="CA623" s="50"/>
      <c r="CB623" s="50"/>
      <c r="CC623" s="50"/>
      <c r="CD623" s="52"/>
      <c r="CE623" s="50"/>
      <c r="CF623" s="50"/>
      <c r="CG623" s="50"/>
      <c r="CH623" s="50"/>
      <c r="CI623" s="50"/>
      <c r="CJ623" s="50"/>
      <c r="CK623" s="50"/>
      <c r="CL623" s="50"/>
      <c r="CM623" s="50"/>
      <c r="CN623" s="50"/>
      <c r="CO623" s="50"/>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c r="FF623" s="3"/>
      <c r="FG623" s="3"/>
      <c r="FH623" s="3"/>
      <c r="FI623" s="3"/>
      <c r="FJ623" s="3"/>
      <c r="FK623" s="3"/>
      <c r="FL623" s="3"/>
      <c r="FM623" s="3"/>
      <c r="FN623" s="3"/>
      <c r="FO623" s="3"/>
      <c r="FP623" s="3"/>
      <c r="FQ623" s="3"/>
      <c r="FR623" s="3"/>
      <c r="FS623" s="3"/>
      <c r="FT623" s="3"/>
      <c r="FU623" s="3"/>
      <c r="FV623" s="3"/>
      <c r="FW623" s="3"/>
      <c r="FX623" s="3"/>
      <c r="FY623" s="3"/>
      <c r="FZ623" s="3"/>
      <c r="GA623" s="3"/>
      <c r="GB623" s="3"/>
      <c r="GC623" s="3"/>
      <c r="GD623" s="3"/>
      <c r="GE623" s="3"/>
      <c r="GF623" s="3"/>
      <c r="GG623" s="3"/>
      <c r="GH623" s="3"/>
      <c r="GI623" s="3"/>
      <c r="GJ623" s="3"/>
      <c r="GK623" s="3"/>
      <c r="GL623" s="3"/>
      <c r="GM623" s="3"/>
      <c r="GN623" s="3"/>
      <c r="GO623" s="3"/>
      <c r="GP623" s="3"/>
      <c r="GQ623" s="3"/>
      <c r="GR623" s="3"/>
      <c r="GS623" s="3"/>
      <c r="GT623" s="3"/>
      <c r="GU623" s="3"/>
      <c r="GV623" s="3"/>
      <c r="GW623" s="3"/>
      <c r="GX623" s="3"/>
      <c r="GY623" s="3"/>
      <c r="GZ623" s="3"/>
      <c r="HA623" s="3"/>
      <c r="HB623" s="3"/>
    </row>
    <row r="624" spans="1:210" ht="15.75" customHeight="1">
      <c r="A624" s="50"/>
      <c r="B624" s="50"/>
      <c r="C624" s="50"/>
      <c r="D624" s="50"/>
      <c r="E624" s="50"/>
      <c r="F624" s="50"/>
      <c r="G624" s="51"/>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c r="AR624" s="50"/>
      <c r="AS624" s="50"/>
      <c r="AT624" s="50"/>
      <c r="AU624" s="50"/>
      <c r="AV624" s="50"/>
      <c r="AW624" s="50"/>
      <c r="AX624" s="50"/>
      <c r="AY624" s="50"/>
      <c r="AZ624" s="50"/>
      <c r="BA624" s="50"/>
      <c r="BB624" s="50"/>
      <c r="BC624" s="50"/>
      <c r="BD624" s="50"/>
      <c r="BE624" s="50"/>
      <c r="BF624" s="50"/>
      <c r="BG624" s="50"/>
      <c r="BH624" s="50"/>
      <c r="BI624" s="50"/>
      <c r="BJ624" s="50"/>
      <c r="BK624" s="50"/>
      <c r="BL624" s="50"/>
      <c r="BM624" s="50"/>
      <c r="BN624" s="50"/>
      <c r="BO624" s="50"/>
      <c r="BP624" s="50"/>
      <c r="BQ624" s="50"/>
      <c r="BR624" s="50"/>
      <c r="BS624" s="50"/>
      <c r="BT624" s="50"/>
      <c r="BU624" s="50"/>
      <c r="BV624" s="50"/>
      <c r="BW624" s="50"/>
      <c r="BX624" s="50"/>
      <c r="BY624" s="50"/>
      <c r="BZ624" s="50"/>
      <c r="CA624" s="50"/>
      <c r="CB624" s="50"/>
      <c r="CC624" s="50"/>
      <c r="CD624" s="52"/>
      <c r="CE624" s="50"/>
      <c r="CF624" s="50"/>
      <c r="CG624" s="50"/>
      <c r="CH624" s="50"/>
      <c r="CI624" s="50"/>
      <c r="CJ624" s="50"/>
      <c r="CK624" s="50"/>
      <c r="CL624" s="50"/>
      <c r="CM624" s="50"/>
      <c r="CN624" s="50"/>
      <c r="CO624" s="50"/>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c r="FF624" s="3"/>
      <c r="FG624" s="3"/>
      <c r="FH624" s="3"/>
      <c r="FI624" s="3"/>
      <c r="FJ624" s="3"/>
      <c r="FK624" s="3"/>
      <c r="FL624" s="3"/>
      <c r="FM624" s="3"/>
      <c r="FN624" s="3"/>
      <c r="FO624" s="3"/>
      <c r="FP624" s="3"/>
      <c r="FQ624" s="3"/>
      <c r="FR624" s="3"/>
      <c r="FS624" s="3"/>
      <c r="FT624" s="3"/>
      <c r="FU624" s="3"/>
      <c r="FV624" s="3"/>
      <c r="FW624" s="3"/>
      <c r="FX624" s="3"/>
      <c r="FY624" s="3"/>
      <c r="FZ624" s="3"/>
      <c r="GA624" s="3"/>
      <c r="GB624" s="3"/>
      <c r="GC624" s="3"/>
      <c r="GD624" s="3"/>
      <c r="GE624" s="3"/>
      <c r="GF624" s="3"/>
      <c r="GG624" s="3"/>
      <c r="GH624" s="3"/>
      <c r="GI624" s="3"/>
      <c r="GJ624" s="3"/>
      <c r="GK624" s="3"/>
      <c r="GL624" s="3"/>
      <c r="GM624" s="3"/>
      <c r="GN624" s="3"/>
      <c r="GO624" s="3"/>
      <c r="GP624" s="3"/>
      <c r="GQ624" s="3"/>
      <c r="GR624" s="3"/>
      <c r="GS624" s="3"/>
      <c r="GT624" s="3"/>
      <c r="GU624" s="3"/>
      <c r="GV624" s="3"/>
      <c r="GW624" s="3"/>
      <c r="GX624" s="3"/>
      <c r="GY624" s="3"/>
      <c r="GZ624" s="3"/>
      <c r="HA624" s="3"/>
      <c r="HB624" s="3"/>
    </row>
    <row r="625" spans="1:210" ht="15.75" customHeight="1">
      <c r="A625" s="50"/>
      <c r="B625" s="50"/>
      <c r="C625" s="50"/>
      <c r="D625" s="50"/>
      <c r="E625" s="50"/>
      <c r="F625" s="50"/>
      <c r="G625" s="51"/>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c r="AR625" s="50"/>
      <c r="AS625" s="50"/>
      <c r="AT625" s="50"/>
      <c r="AU625" s="50"/>
      <c r="AV625" s="50"/>
      <c r="AW625" s="50"/>
      <c r="AX625" s="50"/>
      <c r="AY625" s="50"/>
      <c r="AZ625" s="50"/>
      <c r="BA625" s="50"/>
      <c r="BB625" s="50"/>
      <c r="BC625" s="50"/>
      <c r="BD625" s="50"/>
      <c r="BE625" s="50"/>
      <c r="BF625" s="50"/>
      <c r="BG625" s="50"/>
      <c r="BH625" s="50"/>
      <c r="BI625" s="50"/>
      <c r="BJ625" s="50"/>
      <c r="BK625" s="50"/>
      <c r="BL625" s="50"/>
      <c r="BM625" s="50"/>
      <c r="BN625" s="50"/>
      <c r="BO625" s="50"/>
      <c r="BP625" s="50"/>
      <c r="BQ625" s="50"/>
      <c r="BR625" s="50"/>
      <c r="BS625" s="50"/>
      <c r="BT625" s="50"/>
      <c r="BU625" s="50"/>
      <c r="BV625" s="50"/>
      <c r="BW625" s="50"/>
      <c r="BX625" s="50"/>
      <c r="BY625" s="50"/>
      <c r="BZ625" s="50"/>
      <c r="CA625" s="50"/>
      <c r="CB625" s="50"/>
      <c r="CC625" s="50"/>
      <c r="CD625" s="52"/>
      <c r="CE625" s="50"/>
      <c r="CF625" s="50"/>
      <c r="CG625" s="50"/>
      <c r="CH625" s="50"/>
      <c r="CI625" s="50"/>
      <c r="CJ625" s="50"/>
      <c r="CK625" s="50"/>
      <c r="CL625" s="50"/>
      <c r="CM625" s="50"/>
      <c r="CN625" s="50"/>
      <c r="CO625" s="50"/>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c r="FF625" s="3"/>
      <c r="FG625" s="3"/>
      <c r="FH625" s="3"/>
      <c r="FI625" s="3"/>
      <c r="FJ625" s="3"/>
      <c r="FK625" s="3"/>
      <c r="FL625" s="3"/>
      <c r="FM625" s="3"/>
      <c r="FN625" s="3"/>
      <c r="FO625" s="3"/>
      <c r="FP625" s="3"/>
      <c r="FQ625" s="3"/>
      <c r="FR625" s="3"/>
      <c r="FS625" s="3"/>
      <c r="FT625" s="3"/>
      <c r="FU625" s="3"/>
      <c r="FV625" s="3"/>
      <c r="FW625" s="3"/>
      <c r="FX625" s="3"/>
      <c r="FY625" s="3"/>
      <c r="FZ625" s="3"/>
      <c r="GA625" s="3"/>
      <c r="GB625" s="3"/>
      <c r="GC625" s="3"/>
      <c r="GD625" s="3"/>
      <c r="GE625" s="3"/>
      <c r="GF625" s="3"/>
      <c r="GG625" s="3"/>
      <c r="GH625" s="3"/>
      <c r="GI625" s="3"/>
      <c r="GJ625" s="3"/>
      <c r="GK625" s="3"/>
      <c r="GL625" s="3"/>
      <c r="GM625" s="3"/>
      <c r="GN625" s="3"/>
      <c r="GO625" s="3"/>
      <c r="GP625" s="3"/>
      <c r="GQ625" s="3"/>
      <c r="GR625" s="3"/>
      <c r="GS625" s="3"/>
      <c r="GT625" s="3"/>
      <c r="GU625" s="3"/>
      <c r="GV625" s="3"/>
      <c r="GW625" s="3"/>
      <c r="GX625" s="3"/>
      <c r="GY625" s="3"/>
      <c r="GZ625" s="3"/>
      <c r="HA625" s="3"/>
      <c r="HB625" s="3"/>
    </row>
    <row r="626" spans="1:210" ht="15.75" customHeight="1">
      <c r="A626" s="50"/>
      <c r="B626" s="50"/>
      <c r="C626" s="50"/>
      <c r="D626" s="50"/>
      <c r="E626" s="50"/>
      <c r="F626" s="50"/>
      <c r="G626" s="51"/>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c r="AR626" s="50"/>
      <c r="AS626" s="50"/>
      <c r="AT626" s="50"/>
      <c r="AU626" s="50"/>
      <c r="AV626" s="50"/>
      <c r="AW626" s="50"/>
      <c r="AX626" s="50"/>
      <c r="AY626" s="50"/>
      <c r="AZ626" s="50"/>
      <c r="BA626" s="50"/>
      <c r="BB626" s="50"/>
      <c r="BC626" s="50"/>
      <c r="BD626" s="50"/>
      <c r="BE626" s="50"/>
      <c r="BF626" s="50"/>
      <c r="BG626" s="50"/>
      <c r="BH626" s="50"/>
      <c r="BI626" s="50"/>
      <c r="BJ626" s="50"/>
      <c r="BK626" s="50"/>
      <c r="BL626" s="50"/>
      <c r="BM626" s="50"/>
      <c r="BN626" s="50"/>
      <c r="BO626" s="50"/>
      <c r="BP626" s="50"/>
      <c r="BQ626" s="50"/>
      <c r="BR626" s="50"/>
      <c r="BS626" s="50"/>
      <c r="BT626" s="50"/>
      <c r="BU626" s="50"/>
      <c r="BV626" s="50"/>
      <c r="BW626" s="50"/>
      <c r="BX626" s="50"/>
      <c r="BY626" s="50"/>
      <c r="BZ626" s="50"/>
      <c r="CA626" s="50"/>
      <c r="CB626" s="50"/>
      <c r="CC626" s="50"/>
      <c r="CD626" s="52"/>
      <c r="CE626" s="50"/>
      <c r="CF626" s="50"/>
      <c r="CG626" s="50"/>
      <c r="CH626" s="50"/>
      <c r="CI626" s="50"/>
      <c r="CJ626" s="50"/>
      <c r="CK626" s="50"/>
      <c r="CL626" s="50"/>
      <c r="CM626" s="50"/>
      <c r="CN626" s="50"/>
      <c r="CO626" s="50"/>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c r="FF626" s="3"/>
      <c r="FG626" s="3"/>
      <c r="FH626" s="3"/>
      <c r="FI626" s="3"/>
      <c r="FJ626" s="3"/>
      <c r="FK626" s="3"/>
      <c r="FL626" s="3"/>
      <c r="FM626" s="3"/>
      <c r="FN626" s="3"/>
      <c r="FO626" s="3"/>
      <c r="FP626" s="3"/>
      <c r="FQ626" s="3"/>
      <c r="FR626" s="3"/>
      <c r="FS626" s="3"/>
      <c r="FT626" s="3"/>
      <c r="FU626" s="3"/>
      <c r="FV626" s="3"/>
      <c r="FW626" s="3"/>
      <c r="FX626" s="3"/>
      <c r="FY626" s="3"/>
      <c r="FZ626" s="3"/>
      <c r="GA626" s="3"/>
      <c r="GB626" s="3"/>
      <c r="GC626" s="3"/>
      <c r="GD626" s="3"/>
      <c r="GE626" s="3"/>
      <c r="GF626" s="3"/>
      <c r="GG626" s="3"/>
      <c r="GH626" s="3"/>
      <c r="GI626" s="3"/>
      <c r="GJ626" s="3"/>
      <c r="GK626" s="3"/>
      <c r="GL626" s="3"/>
      <c r="GM626" s="3"/>
      <c r="GN626" s="3"/>
      <c r="GO626" s="3"/>
      <c r="GP626" s="3"/>
      <c r="GQ626" s="3"/>
      <c r="GR626" s="3"/>
      <c r="GS626" s="3"/>
      <c r="GT626" s="3"/>
      <c r="GU626" s="3"/>
      <c r="GV626" s="3"/>
      <c r="GW626" s="3"/>
      <c r="GX626" s="3"/>
      <c r="GY626" s="3"/>
      <c r="GZ626" s="3"/>
      <c r="HA626" s="3"/>
      <c r="HB626" s="3"/>
    </row>
    <row r="627" spans="1:210" ht="15.75" customHeight="1">
      <c r="A627" s="50"/>
      <c r="B627" s="50"/>
      <c r="C627" s="50"/>
      <c r="D627" s="50"/>
      <c r="E627" s="50"/>
      <c r="F627" s="50"/>
      <c r="G627" s="51"/>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c r="AR627" s="50"/>
      <c r="AS627" s="50"/>
      <c r="AT627" s="50"/>
      <c r="AU627" s="50"/>
      <c r="AV627" s="50"/>
      <c r="AW627" s="50"/>
      <c r="AX627" s="50"/>
      <c r="AY627" s="50"/>
      <c r="AZ627" s="50"/>
      <c r="BA627" s="50"/>
      <c r="BB627" s="50"/>
      <c r="BC627" s="50"/>
      <c r="BD627" s="50"/>
      <c r="BE627" s="50"/>
      <c r="BF627" s="50"/>
      <c r="BG627" s="50"/>
      <c r="BH627" s="50"/>
      <c r="BI627" s="50"/>
      <c r="BJ627" s="50"/>
      <c r="BK627" s="50"/>
      <c r="BL627" s="50"/>
      <c r="BM627" s="50"/>
      <c r="BN627" s="50"/>
      <c r="BO627" s="50"/>
      <c r="BP627" s="50"/>
      <c r="BQ627" s="50"/>
      <c r="BR627" s="50"/>
      <c r="BS627" s="50"/>
      <c r="BT627" s="50"/>
      <c r="BU627" s="50"/>
      <c r="BV627" s="50"/>
      <c r="BW627" s="50"/>
      <c r="BX627" s="50"/>
      <c r="BY627" s="50"/>
      <c r="BZ627" s="50"/>
      <c r="CA627" s="50"/>
      <c r="CB627" s="50"/>
      <c r="CC627" s="50"/>
      <c r="CD627" s="52"/>
      <c r="CE627" s="50"/>
      <c r="CF627" s="50"/>
      <c r="CG627" s="50"/>
      <c r="CH627" s="50"/>
      <c r="CI627" s="50"/>
      <c r="CJ627" s="50"/>
      <c r="CK627" s="50"/>
      <c r="CL627" s="50"/>
      <c r="CM627" s="50"/>
      <c r="CN627" s="50"/>
      <c r="CO627" s="50"/>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c r="FF627" s="3"/>
      <c r="FG627" s="3"/>
      <c r="FH627" s="3"/>
      <c r="FI627" s="3"/>
      <c r="FJ627" s="3"/>
      <c r="FK627" s="3"/>
      <c r="FL627" s="3"/>
      <c r="FM627" s="3"/>
      <c r="FN627" s="3"/>
      <c r="FO627" s="3"/>
      <c r="FP627" s="3"/>
      <c r="FQ627" s="3"/>
      <c r="FR627" s="3"/>
      <c r="FS627" s="3"/>
      <c r="FT627" s="3"/>
      <c r="FU627" s="3"/>
      <c r="FV627" s="3"/>
      <c r="FW627" s="3"/>
      <c r="FX627" s="3"/>
      <c r="FY627" s="3"/>
      <c r="FZ627" s="3"/>
      <c r="GA627" s="3"/>
      <c r="GB627" s="3"/>
      <c r="GC627" s="3"/>
      <c r="GD627" s="3"/>
      <c r="GE627" s="3"/>
      <c r="GF627" s="3"/>
      <c r="GG627" s="3"/>
      <c r="GH627" s="3"/>
      <c r="GI627" s="3"/>
      <c r="GJ627" s="3"/>
      <c r="GK627" s="3"/>
      <c r="GL627" s="3"/>
      <c r="GM627" s="3"/>
      <c r="GN627" s="3"/>
      <c r="GO627" s="3"/>
      <c r="GP627" s="3"/>
      <c r="GQ627" s="3"/>
      <c r="GR627" s="3"/>
      <c r="GS627" s="3"/>
      <c r="GT627" s="3"/>
      <c r="GU627" s="3"/>
      <c r="GV627" s="3"/>
      <c r="GW627" s="3"/>
      <c r="GX627" s="3"/>
      <c r="GY627" s="3"/>
      <c r="GZ627" s="3"/>
      <c r="HA627" s="3"/>
      <c r="HB627" s="3"/>
    </row>
    <row r="628" spans="1:210" ht="15.75" customHeight="1">
      <c r="A628" s="50"/>
      <c r="B628" s="50"/>
      <c r="C628" s="50"/>
      <c r="D628" s="50"/>
      <c r="E628" s="50"/>
      <c r="F628" s="50"/>
      <c r="G628" s="51"/>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c r="AR628" s="50"/>
      <c r="AS628" s="50"/>
      <c r="AT628" s="50"/>
      <c r="AU628" s="50"/>
      <c r="AV628" s="50"/>
      <c r="AW628" s="50"/>
      <c r="AX628" s="50"/>
      <c r="AY628" s="50"/>
      <c r="AZ628" s="50"/>
      <c r="BA628" s="50"/>
      <c r="BB628" s="50"/>
      <c r="BC628" s="50"/>
      <c r="BD628" s="50"/>
      <c r="BE628" s="50"/>
      <c r="BF628" s="50"/>
      <c r="BG628" s="50"/>
      <c r="BH628" s="50"/>
      <c r="BI628" s="50"/>
      <c r="BJ628" s="50"/>
      <c r="BK628" s="50"/>
      <c r="BL628" s="50"/>
      <c r="BM628" s="50"/>
      <c r="BN628" s="50"/>
      <c r="BO628" s="50"/>
      <c r="BP628" s="50"/>
      <c r="BQ628" s="50"/>
      <c r="BR628" s="50"/>
      <c r="BS628" s="50"/>
      <c r="BT628" s="50"/>
      <c r="BU628" s="50"/>
      <c r="BV628" s="50"/>
      <c r="BW628" s="50"/>
      <c r="BX628" s="50"/>
      <c r="BY628" s="50"/>
      <c r="BZ628" s="50"/>
      <c r="CA628" s="50"/>
      <c r="CB628" s="50"/>
      <c r="CC628" s="50"/>
      <c r="CD628" s="52"/>
      <c r="CE628" s="50"/>
      <c r="CF628" s="50"/>
      <c r="CG628" s="50"/>
      <c r="CH628" s="50"/>
      <c r="CI628" s="50"/>
      <c r="CJ628" s="50"/>
      <c r="CK628" s="50"/>
      <c r="CL628" s="50"/>
      <c r="CM628" s="50"/>
      <c r="CN628" s="50"/>
      <c r="CO628" s="50"/>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c r="FF628" s="3"/>
      <c r="FG628" s="3"/>
      <c r="FH628" s="3"/>
      <c r="FI628" s="3"/>
      <c r="FJ628" s="3"/>
      <c r="FK628" s="3"/>
      <c r="FL628" s="3"/>
      <c r="FM628" s="3"/>
      <c r="FN628" s="3"/>
      <c r="FO628" s="3"/>
      <c r="FP628" s="3"/>
      <c r="FQ628" s="3"/>
      <c r="FR628" s="3"/>
      <c r="FS628" s="3"/>
      <c r="FT628" s="3"/>
      <c r="FU628" s="3"/>
      <c r="FV628" s="3"/>
      <c r="FW628" s="3"/>
      <c r="FX628" s="3"/>
      <c r="FY628" s="3"/>
      <c r="FZ628" s="3"/>
      <c r="GA628" s="3"/>
      <c r="GB628" s="3"/>
      <c r="GC628" s="3"/>
      <c r="GD628" s="3"/>
      <c r="GE628" s="3"/>
      <c r="GF628" s="3"/>
      <c r="GG628" s="3"/>
      <c r="GH628" s="3"/>
      <c r="GI628" s="3"/>
      <c r="GJ628" s="3"/>
      <c r="GK628" s="3"/>
      <c r="GL628" s="3"/>
      <c r="GM628" s="3"/>
      <c r="GN628" s="3"/>
      <c r="GO628" s="3"/>
      <c r="GP628" s="3"/>
      <c r="GQ628" s="3"/>
      <c r="GR628" s="3"/>
      <c r="GS628" s="3"/>
      <c r="GT628" s="3"/>
      <c r="GU628" s="3"/>
      <c r="GV628" s="3"/>
      <c r="GW628" s="3"/>
      <c r="GX628" s="3"/>
      <c r="GY628" s="3"/>
      <c r="GZ628" s="3"/>
      <c r="HA628" s="3"/>
      <c r="HB628" s="3"/>
    </row>
    <row r="629" spans="1:210" ht="15.75" customHeight="1">
      <c r="A629" s="50"/>
      <c r="B629" s="50"/>
      <c r="C629" s="50"/>
      <c r="D629" s="50"/>
      <c r="E629" s="50"/>
      <c r="F629" s="50"/>
      <c r="G629" s="51"/>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c r="AR629" s="50"/>
      <c r="AS629" s="50"/>
      <c r="AT629" s="50"/>
      <c r="AU629" s="50"/>
      <c r="AV629" s="50"/>
      <c r="AW629" s="50"/>
      <c r="AX629" s="50"/>
      <c r="AY629" s="50"/>
      <c r="AZ629" s="50"/>
      <c r="BA629" s="50"/>
      <c r="BB629" s="50"/>
      <c r="BC629" s="50"/>
      <c r="BD629" s="50"/>
      <c r="BE629" s="50"/>
      <c r="BF629" s="50"/>
      <c r="BG629" s="50"/>
      <c r="BH629" s="50"/>
      <c r="BI629" s="50"/>
      <c r="BJ629" s="50"/>
      <c r="BK629" s="50"/>
      <c r="BL629" s="50"/>
      <c r="BM629" s="50"/>
      <c r="BN629" s="50"/>
      <c r="BO629" s="50"/>
      <c r="BP629" s="50"/>
      <c r="BQ629" s="50"/>
      <c r="BR629" s="50"/>
      <c r="BS629" s="50"/>
      <c r="BT629" s="50"/>
      <c r="BU629" s="50"/>
      <c r="BV629" s="50"/>
      <c r="BW629" s="50"/>
      <c r="BX629" s="50"/>
      <c r="BY629" s="50"/>
      <c r="BZ629" s="50"/>
      <c r="CA629" s="50"/>
      <c r="CB629" s="50"/>
      <c r="CC629" s="50"/>
      <c r="CD629" s="52"/>
      <c r="CE629" s="50"/>
      <c r="CF629" s="50"/>
      <c r="CG629" s="50"/>
      <c r="CH629" s="50"/>
      <c r="CI629" s="50"/>
      <c r="CJ629" s="50"/>
      <c r="CK629" s="50"/>
      <c r="CL629" s="50"/>
      <c r="CM629" s="50"/>
      <c r="CN629" s="50"/>
      <c r="CO629" s="50"/>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c r="FF629" s="3"/>
      <c r="FG629" s="3"/>
      <c r="FH629" s="3"/>
      <c r="FI629" s="3"/>
      <c r="FJ629" s="3"/>
      <c r="FK629" s="3"/>
      <c r="FL629" s="3"/>
      <c r="FM629" s="3"/>
      <c r="FN629" s="3"/>
      <c r="FO629" s="3"/>
      <c r="FP629" s="3"/>
      <c r="FQ629" s="3"/>
      <c r="FR629" s="3"/>
      <c r="FS629" s="3"/>
      <c r="FT629" s="3"/>
      <c r="FU629" s="3"/>
      <c r="FV629" s="3"/>
      <c r="FW629" s="3"/>
      <c r="FX629" s="3"/>
      <c r="FY629" s="3"/>
      <c r="FZ629" s="3"/>
      <c r="GA629" s="3"/>
      <c r="GB629" s="3"/>
      <c r="GC629" s="3"/>
      <c r="GD629" s="3"/>
      <c r="GE629" s="3"/>
      <c r="GF629" s="3"/>
      <c r="GG629" s="3"/>
      <c r="GH629" s="3"/>
      <c r="GI629" s="3"/>
      <c r="GJ629" s="3"/>
      <c r="GK629" s="3"/>
      <c r="GL629" s="3"/>
      <c r="GM629" s="3"/>
      <c r="GN629" s="3"/>
      <c r="GO629" s="3"/>
      <c r="GP629" s="3"/>
      <c r="GQ629" s="3"/>
      <c r="GR629" s="3"/>
      <c r="GS629" s="3"/>
      <c r="GT629" s="3"/>
      <c r="GU629" s="3"/>
      <c r="GV629" s="3"/>
      <c r="GW629" s="3"/>
      <c r="GX629" s="3"/>
      <c r="GY629" s="3"/>
      <c r="GZ629" s="3"/>
      <c r="HA629" s="3"/>
      <c r="HB629" s="3"/>
    </row>
    <row r="630" spans="1:210" ht="15.75" customHeight="1">
      <c r="A630" s="50"/>
      <c r="B630" s="50"/>
      <c r="C630" s="50"/>
      <c r="D630" s="50"/>
      <c r="E630" s="50"/>
      <c r="F630" s="50"/>
      <c r="G630" s="51"/>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c r="AR630" s="50"/>
      <c r="AS630" s="50"/>
      <c r="AT630" s="50"/>
      <c r="AU630" s="50"/>
      <c r="AV630" s="50"/>
      <c r="AW630" s="50"/>
      <c r="AX630" s="50"/>
      <c r="AY630" s="50"/>
      <c r="AZ630" s="50"/>
      <c r="BA630" s="50"/>
      <c r="BB630" s="50"/>
      <c r="BC630" s="50"/>
      <c r="BD630" s="50"/>
      <c r="BE630" s="50"/>
      <c r="BF630" s="50"/>
      <c r="BG630" s="50"/>
      <c r="BH630" s="50"/>
      <c r="BI630" s="50"/>
      <c r="BJ630" s="50"/>
      <c r="BK630" s="50"/>
      <c r="BL630" s="50"/>
      <c r="BM630" s="50"/>
      <c r="BN630" s="50"/>
      <c r="BO630" s="50"/>
      <c r="BP630" s="50"/>
      <c r="BQ630" s="50"/>
      <c r="BR630" s="50"/>
      <c r="BS630" s="50"/>
      <c r="BT630" s="50"/>
      <c r="BU630" s="50"/>
      <c r="BV630" s="50"/>
      <c r="BW630" s="50"/>
      <c r="BX630" s="50"/>
      <c r="BY630" s="50"/>
      <c r="BZ630" s="50"/>
      <c r="CA630" s="50"/>
      <c r="CB630" s="50"/>
      <c r="CC630" s="50"/>
      <c r="CD630" s="52"/>
      <c r="CE630" s="50"/>
      <c r="CF630" s="50"/>
      <c r="CG630" s="50"/>
      <c r="CH630" s="50"/>
      <c r="CI630" s="50"/>
      <c r="CJ630" s="50"/>
      <c r="CK630" s="50"/>
      <c r="CL630" s="50"/>
      <c r="CM630" s="50"/>
      <c r="CN630" s="50"/>
      <c r="CO630" s="50"/>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c r="FF630" s="3"/>
      <c r="FG630" s="3"/>
      <c r="FH630" s="3"/>
      <c r="FI630" s="3"/>
      <c r="FJ630" s="3"/>
      <c r="FK630" s="3"/>
      <c r="FL630" s="3"/>
      <c r="FM630" s="3"/>
      <c r="FN630" s="3"/>
      <c r="FO630" s="3"/>
      <c r="FP630" s="3"/>
      <c r="FQ630" s="3"/>
      <c r="FR630" s="3"/>
      <c r="FS630" s="3"/>
      <c r="FT630" s="3"/>
      <c r="FU630" s="3"/>
      <c r="FV630" s="3"/>
      <c r="FW630" s="3"/>
      <c r="FX630" s="3"/>
      <c r="FY630" s="3"/>
      <c r="FZ630" s="3"/>
      <c r="GA630" s="3"/>
      <c r="GB630" s="3"/>
      <c r="GC630" s="3"/>
      <c r="GD630" s="3"/>
      <c r="GE630" s="3"/>
      <c r="GF630" s="3"/>
      <c r="GG630" s="3"/>
      <c r="GH630" s="3"/>
      <c r="GI630" s="3"/>
      <c r="GJ630" s="3"/>
      <c r="GK630" s="3"/>
      <c r="GL630" s="3"/>
      <c r="GM630" s="3"/>
      <c r="GN630" s="3"/>
      <c r="GO630" s="3"/>
      <c r="GP630" s="3"/>
      <c r="GQ630" s="3"/>
      <c r="GR630" s="3"/>
      <c r="GS630" s="3"/>
      <c r="GT630" s="3"/>
      <c r="GU630" s="3"/>
      <c r="GV630" s="3"/>
      <c r="GW630" s="3"/>
      <c r="GX630" s="3"/>
      <c r="GY630" s="3"/>
      <c r="GZ630" s="3"/>
      <c r="HA630" s="3"/>
      <c r="HB630" s="3"/>
    </row>
    <row r="631" spans="1:210" ht="15.75" customHeight="1">
      <c r="A631" s="50"/>
      <c r="B631" s="50"/>
      <c r="C631" s="50"/>
      <c r="D631" s="50"/>
      <c r="E631" s="50"/>
      <c r="F631" s="50"/>
      <c r="G631" s="51"/>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c r="AR631" s="50"/>
      <c r="AS631" s="50"/>
      <c r="AT631" s="50"/>
      <c r="AU631" s="50"/>
      <c r="AV631" s="50"/>
      <c r="AW631" s="50"/>
      <c r="AX631" s="50"/>
      <c r="AY631" s="50"/>
      <c r="AZ631" s="50"/>
      <c r="BA631" s="50"/>
      <c r="BB631" s="50"/>
      <c r="BC631" s="50"/>
      <c r="BD631" s="50"/>
      <c r="BE631" s="50"/>
      <c r="BF631" s="50"/>
      <c r="BG631" s="50"/>
      <c r="BH631" s="50"/>
      <c r="BI631" s="50"/>
      <c r="BJ631" s="50"/>
      <c r="BK631" s="50"/>
      <c r="BL631" s="50"/>
      <c r="BM631" s="50"/>
      <c r="BN631" s="50"/>
      <c r="BO631" s="50"/>
      <c r="BP631" s="50"/>
      <c r="BQ631" s="50"/>
      <c r="BR631" s="50"/>
      <c r="BS631" s="50"/>
      <c r="BT631" s="50"/>
      <c r="BU631" s="50"/>
      <c r="BV631" s="50"/>
      <c r="BW631" s="50"/>
      <c r="BX631" s="50"/>
      <c r="BY631" s="50"/>
      <c r="BZ631" s="50"/>
      <c r="CA631" s="50"/>
      <c r="CB631" s="50"/>
      <c r="CC631" s="50"/>
      <c r="CD631" s="52"/>
      <c r="CE631" s="50"/>
      <c r="CF631" s="50"/>
      <c r="CG631" s="50"/>
      <c r="CH631" s="50"/>
      <c r="CI631" s="50"/>
      <c r="CJ631" s="50"/>
      <c r="CK631" s="50"/>
      <c r="CL631" s="50"/>
      <c r="CM631" s="50"/>
      <c r="CN631" s="50"/>
      <c r="CO631" s="50"/>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c r="FF631" s="3"/>
      <c r="FG631" s="3"/>
      <c r="FH631" s="3"/>
      <c r="FI631" s="3"/>
      <c r="FJ631" s="3"/>
      <c r="FK631" s="3"/>
      <c r="FL631" s="3"/>
      <c r="FM631" s="3"/>
      <c r="FN631" s="3"/>
      <c r="FO631" s="3"/>
      <c r="FP631" s="3"/>
      <c r="FQ631" s="3"/>
      <c r="FR631" s="3"/>
      <c r="FS631" s="3"/>
      <c r="FT631" s="3"/>
      <c r="FU631" s="3"/>
      <c r="FV631" s="3"/>
      <c r="FW631" s="3"/>
      <c r="FX631" s="3"/>
      <c r="FY631" s="3"/>
      <c r="FZ631" s="3"/>
      <c r="GA631" s="3"/>
      <c r="GB631" s="3"/>
      <c r="GC631" s="3"/>
      <c r="GD631" s="3"/>
      <c r="GE631" s="3"/>
      <c r="GF631" s="3"/>
      <c r="GG631" s="3"/>
      <c r="GH631" s="3"/>
      <c r="GI631" s="3"/>
      <c r="GJ631" s="3"/>
      <c r="GK631" s="3"/>
      <c r="GL631" s="3"/>
      <c r="GM631" s="3"/>
      <c r="GN631" s="3"/>
      <c r="GO631" s="3"/>
      <c r="GP631" s="3"/>
      <c r="GQ631" s="3"/>
      <c r="GR631" s="3"/>
      <c r="GS631" s="3"/>
      <c r="GT631" s="3"/>
      <c r="GU631" s="3"/>
      <c r="GV631" s="3"/>
      <c r="GW631" s="3"/>
      <c r="GX631" s="3"/>
      <c r="GY631" s="3"/>
      <c r="GZ631" s="3"/>
      <c r="HA631" s="3"/>
      <c r="HB631" s="3"/>
    </row>
    <row r="632" spans="1:210" ht="15.75" customHeight="1">
      <c r="A632" s="50"/>
      <c r="B632" s="50"/>
      <c r="C632" s="50"/>
      <c r="D632" s="50"/>
      <c r="E632" s="50"/>
      <c r="F632" s="50"/>
      <c r="G632" s="51"/>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c r="AR632" s="50"/>
      <c r="AS632" s="50"/>
      <c r="AT632" s="50"/>
      <c r="AU632" s="50"/>
      <c r="AV632" s="50"/>
      <c r="AW632" s="50"/>
      <c r="AX632" s="50"/>
      <c r="AY632" s="50"/>
      <c r="AZ632" s="50"/>
      <c r="BA632" s="50"/>
      <c r="BB632" s="50"/>
      <c r="BC632" s="50"/>
      <c r="BD632" s="50"/>
      <c r="BE632" s="50"/>
      <c r="BF632" s="50"/>
      <c r="BG632" s="50"/>
      <c r="BH632" s="50"/>
      <c r="BI632" s="50"/>
      <c r="BJ632" s="50"/>
      <c r="BK632" s="50"/>
      <c r="BL632" s="50"/>
      <c r="BM632" s="50"/>
      <c r="BN632" s="50"/>
      <c r="BO632" s="50"/>
      <c r="BP632" s="50"/>
      <c r="BQ632" s="50"/>
      <c r="BR632" s="50"/>
      <c r="BS632" s="50"/>
      <c r="BT632" s="50"/>
      <c r="BU632" s="50"/>
      <c r="BV632" s="50"/>
      <c r="BW632" s="50"/>
      <c r="BX632" s="50"/>
      <c r="BY632" s="50"/>
      <c r="BZ632" s="50"/>
      <c r="CA632" s="50"/>
      <c r="CB632" s="50"/>
      <c r="CC632" s="50"/>
      <c r="CD632" s="52"/>
      <c r="CE632" s="50"/>
      <c r="CF632" s="50"/>
      <c r="CG632" s="50"/>
      <c r="CH632" s="50"/>
      <c r="CI632" s="50"/>
      <c r="CJ632" s="50"/>
      <c r="CK632" s="50"/>
      <c r="CL632" s="50"/>
      <c r="CM632" s="50"/>
      <c r="CN632" s="50"/>
      <c r="CO632" s="50"/>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c r="FF632" s="3"/>
      <c r="FG632" s="3"/>
      <c r="FH632" s="3"/>
      <c r="FI632" s="3"/>
      <c r="FJ632" s="3"/>
      <c r="FK632" s="3"/>
      <c r="FL632" s="3"/>
      <c r="FM632" s="3"/>
      <c r="FN632" s="3"/>
      <c r="FO632" s="3"/>
      <c r="FP632" s="3"/>
      <c r="FQ632" s="3"/>
      <c r="FR632" s="3"/>
      <c r="FS632" s="3"/>
      <c r="FT632" s="3"/>
      <c r="FU632" s="3"/>
      <c r="FV632" s="3"/>
      <c r="FW632" s="3"/>
      <c r="FX632" s="3"/>
      <c r="FY632" s="3"/>
      <c r="FZ632" s="3"/>
      <c r="GA632" s="3"/>
      <c r="GB632" s="3"/>
      <c r="GC632" s="3"/>
      <c r="GD632" s="3"/>
      <c r="GE632" s="3"/>
      <c r="GF632" s="3"/>
      <c r="GG632" s="3"/>
      <c r="GH632" s="3"/>
      <c r="GI632" s="3"/>
      <c r="GJ632" s="3"/>
      <c r="GK632" s="3"/>
      <c r="GL632" s="3"/>
      <c r="GM632" s="3"/>
      <c r="GN632" s="3"/>
      <c r="GO632" s="3"/>
      <c r="GP632" s="3"/>
      <c r="GQ632" s="3"/>
      <c r="GR632" s="3"/>
      <c r="GS632" s="3"/>
      <c r="GT632" s="3"/>
      <c r="GU632" s="3"/>
      <c r="GV632" s="3"/>
      <c r="GW632" s="3"/>
      <c r="GX632" s="3"/>
      <c r="GY632" s="3"/>
      <c r="GZ632" s="3"/>
      <c r="HA632" s="3"/>
      <c r="HB632" s="3"/>
    </row>
    <row r="633" spans="1:210" ht="15.75" customHeight="1">
      <c r="A633" s="50"/>
      <c r="B633" s="50"/>
      <c r="C633" s="50"/>
      <c r="D633" s="50"/>
      <c r="E633" s="50"/>
      <c r="F633" s="50"/>
      <c r="G633" s="51"/>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c r="AR633" s="50"/>
      <c r="AS633" s="50"/>
      <c r="AT633" s="50"/>
      <c r="AU633" s="50"/>
      <c r="AV633" s="50"/>
      <c r="AW633" s="50"/>
      <c r="AX633" s="50"/>
      <c r="AY633" s="50"/>
      <c r="AZ633" s="50"/>
      <c r="BA633" s="50"/>
      <c r="BB633" s="50"/>
      <c r="BC633" s="50"/>
      <c r="BD633" s="50"/>
      <c r="BE633" s="50"/>
      <c r="BF633" s="50"/>
      <c r="BG633" s="50"/>
      <c r="BH633" s="50"/>
      <c r="BI633" s="50"/>
      <c r="BJ633" s="50"/>
      <c r="BK633" s="50"/>
      <c r="BL633" s="50"/>
      <c r="BM633" s="50"/>
      <c r="BN633" s="50"/>
      <c r="BO633" s="50"/>
      <c r="BP633" s="50"/>
      <c r="BQ633" s="50"/>
      <c r="BR633" s="50"/>
      <c r="BS633" s="50"/>
      <c r="BT633" s="50"/>
      <c r="BU633" s="50"/>
      <c r="BV633" s="50"/>
      <c r="BW633" s="50"/>
      <c r="BX633" s="50"/>
      <c r="BY633" s="50"/>
      <c r="BZ633" s="50"/>
      <c r="CA633" s="50"/>
      <c r="CB633" s="50"/>
      <c r="CC633" s="50"/>
      <c r="CD633" s="52"/>
      <c r="CE633" s="50"/>
      <c r="CF633" s="50"/>
      <c r="CG633" s="50"/>
      <c r="CH633" s="50"/>
      <c r="CI633" s="50"/>
      <c r="CJ633" s="50"/>
      <c r="CK633" s="50"/>
      <c r="CL633" s="50"/>
      <c r="CM633" s="50"/>
      <c r="CN633" s="50"/>
      <c r="CO633" s="50"/>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c r="FF633" s="3"/>
      <c r="FG633" s="3"/>
      <c r="FH633" s="3"/>
      <c r="FI633" s="3"/>
      <c r="FJ633" s="3"/>
      <c r="FK633" s="3"/>
      <c r="FL633" s="3"/>
      <c r="FM633" s="3"/>
      <c r="FN633" s="3"/>
      <c r="FO633" s="3"/>
      <c r="FP633" s="3"/>
      <c r="FQ633" s="3"/>
      <c r="FR633" s="3"/>
      <c r="FS633" s="3"/>
      <c r="FT633" s="3"/>
      <c r="FU633" s="3"/>
      <c r="FV633" s="3"/>
      <c r="FW633" s="3"/>
      <c r="FX633" s="3"/>
      <c r="FY633" s="3"/>
      <c r="FZ633" s="3"/>
      <c r="GA633" s="3"/>
      <c r="GB633" s="3"/>
      <c r="GC633" s="3"/>
      <c r="GD633" s="3"/>
      <c r="GE633" s="3"/>
      <c r="GF633" s="3"/>
      <c r="GG633" s="3"/>
      <c r="GH633" s="3"/>
      <c r="GI633" s="3"/>
      <c r="GJ633" s="3"/>
      <c r="GK633" s="3"/>
      <c r="GL633" s="3"/>
      <c r="GM633" s="3"/>
      <c r="GN633" s="3"/>
      <c r="GO633" s="3"/>
      <c r="GP633" s="3"/>
      <c r="GQ633" s="3"/>
      <c r="GR633" s="3"/>
      <c r="GS633" s="3"/>
      <c r="GT633" s="3"/>
      <c r="GU633" s="3"/>
      <c r="GV633" s="3"/>
      <c r="GW633" s="3"/>
      <c r="GX633" s="3"/>
      <c r="GY633" s="3"/>
      <c r="GZ633" s="3"/>
      <c r="HA633" s="3"/>
      <c r="HB633" s="3"/>
    </row>
    <row r="634" spans="1:210" ht="15.75" customHeight="1">
      <c r="A634" s="50"/>
      <c r="B634" s="50"/>
      <c r="C634" s="50"/>
      <c r="D634" s="50"/>
      <c r="E634" s="50"/>
      <c r="F634" s="50"/>
      <c r="G634" s="51"/>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c r="AR634" s="50"/>
      <c r="AS634" s="50"/>
      <c r="AT634" s="50"/>
      <c r="AU634" s="50"/>
      <c r="AV634" s="50"/>
      <c r="AW634" s="50"/>
      <c r="AX634" s="50"/>
      <c r="AY634" s="50"/>
      <c r="AZ634" s="50"/>
      <c r="BA634" s="50"/>
      <c r="BB634" s="50"/>
      <c r="BC634" s="50"/>
      <c r="BD634" s="50"/>
      <c r="BE634" s="50"/>
      <c r="BF634" s="50"/>
      <c r="BG634" s="50"/>
      <c r="BH634" s="50"/>
      <c r="BI634" s="50"/>
      <c r="BJ634" s="50"/>
      <c r="BK634" s="50"/>
      <c r="BL634" s="50"/>
      <c r="BM634" s="50"/>
      <c r="BN634" s="50"/>
      <c r="BO634" s="50"/>
      <c r="BP634" s="50"/>
      <c r="BQ634" s="50"/>
      <c r="BR634" s="50"/>
      <c r="BS634" s="50"/>
      <c r="BT634" s="50"/>
      <c r="BU634" s="50"/>
      <c r="BV634" s="50"/>
      <c r="BW634" s="50"/>
      <c r="BX634" s="50"/>
      <c r="BY634" s="50"/>
      <c r="BZ634" s="50"/>
      <c r="CA634" s="50"/>
      <c r="CB634" s="50"/>
      <c r="CC634" s="50"/>
      <c r="CD634" s="52"/>
      <c r="CE634" s="50"/>
      <c r="CF634" s="50"/>
      <c r="CG634" s="50"/>
      <c r="CH634" s="50"/>
      <c r="CI634" s="50"/>
      <c r="CJ634" s="50"/>
      <c r="CK634" s="50"/>
      <c r="CL634" s="50"/>
      <c r="CM634" s="50"/>
      <c r="CN634" s="50"/>
      <c r="CO634" s="50"/>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c r="FF634" s="3"/>
      <c r="FG634" s="3"/>
      <c r="FH634" s="3"/>
      <c r="FI634" s="3"/>
      <c r="FJ634" s="3"/>
      <c r="FK634" s="3"/>
      <c r="FL634" s="3"/>
      <c r="FM634" s="3"/>
      <c r="FN634" s="3"/>
      <c r="FO634" s="3"/>
      <c r="FP634" s="3"/>
      <c r="FQ634" s="3"/>
      <c r="FR634" s="3"/>
      <c r="FS634" s="3"/>
      <c r="FT634" s="3"/>
      <c r="FU634" s="3"/>
      <c r="FV634" s="3"/>
      <c r="FW634" s="3"/>
      <c r="FX634" s="3"/>
      <c r="FY634" s="3"/>
      <c r="FZ634" s="3"/>
      <c r="GA634" s="3"/>
      <c r="GB634" s="3"/>
      <c r="GC634" s="3"/>
      <c r="GD634" s="3"/>
      <c r="GE634" s="3"/>
      <c r="GF634" s="3"/>
      <c r="GG634" s="3"/>
      <c r="GH634" s="3"/>
      <c r="GI634" s="3"/>
      <c r="GJ634" s="3"/>
      <c r="GK634" s="3"/>
      <c r="GL634" s="3"/>
      <c r="GM634" s="3"/>
      <c r="GN634" s="3"/>
      <c r="GO634" s="3"/>
      <c r="GP634" s="3"/>
      <c r="GQ634" s="3"/>
      <c r="GR634" s="3"/>
      <c r="GS634" s="3"/>
      <c r="GT634" s="3"/>
      <c r="GU634" s="3"/>
      <c r="GV634" s="3"/>
      <c r="GW634" s="3"/>
      <c r="GX634" s="3"/>
      <c r="GY634" s="3"/>
      <c r="GZ634" s="3"/>
      <c r="HA634" s="3"/>
      <c r="HB634" s="3"/>
    </row>
    <row r="635" spans="1:210" ht="15.75" customHeight="1">
      <c r="A635" s="50"/>
      <c r="B635" s="50"/>
      <c r="C635" s="50"/>
      <c r="D635" s="50"/>
      <c r="E635" s="50"/>
      <c r="F635" s="50"/>
      <c r="G635" s="51"/>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c r="AR635" s="50"/>
      <c r="AS635" s="50"/>
      <c r="AT635" s="50"/>
      <c r="AU635" s="50"/>
      <c r="AV635" s="50"/>
      <c r="AW635" s="50"/>
      <c r="AX635" s="50"/>
      <c r="AY635" s="50"/>
      <c r="AZ635" s="50"/>
      <c r="BA635" s="50"/>
      <c r="BB635" s="50"/>
      <c r="BC635" s="50"/>
      <c r="BD635" s="50"/>
      <c r="BE635" s="50"/>
      <c r="BF635" s="50"/>
      <c r="BG635" s="50"/>
      <c r="BH635" s="50"/>
      <c r="BI635" s="50"/>
      <c r="BJ635" s="50"/>
      <c r="BK635" s="50"/>
      <c r="BL635" s="50"/>
      <c r="BM635" s="50"/>
      <c r="BN635" s="50"/>
      <c r="BO635" s="50"/>
      <c r="BP635" s="50"/>
      <c r="BQ635" s="50"/>
      <c r="BR635" s="50"/>
      <c r="BS635" s="50"/>
      <c r="BT635" s="50"/>
      <c r="BU635" s="50"/>
      <c r="BV635" s="50"/>
      <c r="BW635" s="50"/>
      <c r="BX635" s="50"/>
      <c r="BY635" s="50"/>
      <c r="BZ635" s="50"/>
      <c r="CA635" s="50"/>
      <c r="CB635" s="50"/>
      <c r="CC635" s="50"/>
      <c r="CD635" s="52"/>
      <c r="CE635" s="50"/>
      <c r="CF635" s="50"/>
      <c r="CG635" s="50"/>
      <c r="CH635" s="50"/>
      <c r="CI635" s="50"/>
      <c r="CJ635" s="50"/>
      <c r="CK635" s="50"/>
      <c r="CL635" s="50"/>
      <c r="CM635" s="50"/>
      <c r="CN635" s="50"/>
      <c r="CO635" s="50"/>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c r="FF635" s="3"/>
      <c r="FG635" s="3"/>
      <c r="FH635" s="3"/>
      <c r="FI635" s="3"/>
      <c r="FJ635" s="3"/>
      <c r="FK635" s="3"/>
      <c r="FL635" s="3"/>
      <c r="FM635" s="3"/>
      <c r="FN635" s="3"/>
      <c r="FO635" s="3"/>
      <c r="FP635" s="3"/>
      <c r="FQ635" s="3"/>
      <c r="FR635" s="3"/>
      <c r="FS635" s="3"/>
      <c r="FT635" s="3"/>
      <c r="FU635" s="3"/>
      <c r="FV635" s="3"/>
      <c r="FW635" s="3"/>
      <c r="FX635" s="3"/>
      <c r="FY635" s="3"/>
      <c r="FZ635" s="3"/>
      <c r="GA635" s="3"/>
      <c r="GB635" s="3"/>
      <c r="GC635" s="3"/>
      <c r="GD635" s="3"/>
      <c r="GE635" s="3"/>
      <c r="GF635" s="3"/>
      <c r="GG635" s="3"/>
      <c r="GH635" s="3"/>
      <c r="GI635" s="3"/>
      <c r="GJ635" s="3"/>
      <c r="GK635" s="3"/>
      <c r="GL635" s="3"/>
      <c r="GM635" s="3"/>
      <c r="GN635" s="3"/>
      <c r="GO635" s="3"/>
      <c r="GP635" s="3"/>
      <c r="GQ635" s="3"/>
      <c r="GR635" s="3"/>
      <c r="GS635" s="3"/>
      <c r="GT635" s="3"/>
      <c r="GU635" s="3"/>
      <c r="GV635" s="3"/>
      <c r="GW635" s="3"/>
      <c r="GX635" s="3"/>
      <c r="GY635" s="3"/>
      <c r="GZ635" s="3"/>
      <c r="HA635" s="3"/>
      <c r="HB635" s="3"/>
    </row>
    <row r="636" spans="1:210" ht="15.75" customHeight="1">
      <c r="A636" s="50"/>
      <c r="B636" s="50"/>
      <c r="C636" s="50"/>
      <c r="D636" s="50"/>
      <c r="E636" s="50"/>
      <c r="F636" s="50"/>
      <c r="G636" s="51"/>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c r="AR636" s="50"/>
      <c r="AS636" s="50"/>
      <c r="AT636" s="50"/>
      <c r="AU636" s="50"/>
      <c r="AV636" s="50"/>
      <c r="AW636" s="50"/>
      <c r="AX636" s="50"/>
      <c r="AY636" s="50"/>
      <c r="AZ636" s="50"/>
      <c r="BA636" s="50"/>
      <c r="BB636" s="50"/>
      <c r="BC636" s="50"/>
      <c r="BD636" s="50"/>
      <c r="BE636" s="50"/>
      <c r="BF636" s="50"/>
      <c r="BG636" s="50"/>
      <c r="BH636" s="50"/>
      <c r="BI636" s="50"/>
      <c r="BJ636" s="50"/>
      <c r="BK636" s="50"/>
      <c r="BL636" s="50"/>
      <c r="BM636" s="50"/>
      <c r="BN636" s="50"/>
      <c r="BO636" s="50"/>
      <c r="BP636" s="50"/>
      <c r="BQ636" s="50"/>
      <c r="BR636" s="50"/>
      <c r="BS636" s="50"/>
      <c r="BT636" s="50"/>
      <c r="BU636" s="50"/>
      <c r="BV636" s="50"/>
      <c r="BW636" s="50"/>
      <c r="BX636" s="50"/>
      <c r="BY636" s="50"/>
      <c r="BZ636" s="50"/>
      <c r="CA636" s="50"/>
      <c r="CB636" s="50"/>
      <c r="CC636" s="50"/>
      <c r="CD636" s="52"/>
      <c r="CE636" s="50"/>
      <c r="CF636" s="50"/>
      <c r="CG636" s="50"/>
      <c r="CH636" s="50"/>
      <c r="CI636" s="50"/>
      <c r="CJ636" s="50"/>
      <c r="CK636" s="50"/>
      <c r="CL636" s="50"/>
      <c r="CM636" s="50"/>
      <c r="CN636" s="50"/>
      <c r="CO636" s="50"/>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c r="FF636" s="3"/>
      <c r="FG636" s="3"/>
      <c r="FH636" s="3"/>
      <c r="FI636" s="3"/>
      <c r="FJ636" s="3"/>
      <c r="FK636" s="3"/>
      <c r="FL636" s="3"/>
      <c r="FM636" s="3"/>
      <c r="FN636" s="3"/>
      <c r="FO636" s="3"/>
      <c r="FP636" s="3"/>
      <c r="FQ636" s="3"/>
      <c r="FR636" s="3"/>
      <c r="FS636" s="3"/>
      <c r="FT636" s="3"/>
      <c r="FU636" s="3"/>
      <c r="FV636" s="3"/>
      <c r="FW636" s="3"/>
      <c r="FX636" s="3"/>
      <c r="FY636" s="3"/>
      <c r="FZ636" s="3"/>
      <c r="GA636" s="3"/>
      <c r="GB636" s="3"/>
      <c r="GC636" s="3"/>
      <c r="GD636" s="3"/>
      <c r="GE636" s="3"/>
      <c r="GF636" s="3"/>
      <c r="GG636" s="3"/>
      <c r="GH636" s="3"/>
      <c r="GI636" s="3"/>
      <c r="GJ636" s="3"/>
      <c r="GK636" s="3"/>
      <c r="GL636" s="3"/>
      <c r="GM636" s="3"/>
      <c r="GN636" s="3"/>
      <c r="GO636" s="3"/>
      <c r="GP636" s="3"/>
      <c r="GQ636" s="3"/>
      <c r="GR636" s="3"/>
      <c r="GS636" s="3"/>
      <c r="GT636" s="3"/>
      <c r="GU636" s="3"/>
      <c r="GV636" s="3"/>
      <c r="GW636" s="3"/>
      <c r="GX636" s="3"/>
      <c r="GY636" s="3"/>
      <c r="GZ636" s="3"/>
      <c r="HA636" s="3"/>
      <c r="HB636" s="3"/>
    </row>
    <row r="637" spans="1:210" ht="15.75" customHeight="1">
      <c r="A637" s="50"/>
      <c r="B637" s="50"/>
      <c r="C637" s="50"/>
      <c r="D637" s="50"/>
      <c r="E637" s="50"/>
      <c r="F637" s="50"/>
      <c r="G637" s="51"/>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c r="AR637" s="50"/>
      <c r="AS637" s="50"/>
      <c r="AT637" s="50"/>
      <c r="AU637" s="50"/>
      <c r="AV637" s="50"/>
      <c r="AW637" s="50"/>
      <c r="AX637" s="50"/>
      <c r="AY637" s="50"/>
      <c r="AZ637" s="50"/>
      <c r="BA637" s="50"/>
      <c r="BB637" s="50"/>
      <c r="BC637" s="50"/>
      <c r="BD637" s="50"/>
      <c r="BE637" s="50"/>
      <c r="BF637" s="50"/>
      <c r="BG637" s="50"/>
      <c r="BH637" s="50"/>
      <c r="BI637" s="50"/>
      <c r="BJ637" s="50"/>
      <c r="BK637" s="50"/>
      <c r="BL637" s="50"/>
      <c r="BM637" s="50"/>
      <c r="BN637" s="50"/>
      <c r="BO637" s="50"/>
      <c r="BP637" s="50"/>
      <c r="BQ637" s="50"/>
      <c r="BR637" s="50"/>
      <c r="BS637" s="50"/>
      <c r="BT637" s="50"/>
      <c r="BU637" s="50"/>
      <c r="BV637" s="50"/>
      <c r="BW637" s="50"/>
      <c r="BX637" s="50"/>
      <c r="BY637" s="50"/>
      <c r="BZ637" s="50"/>
      <c r="CA637" s="50"/>
      <c r="CB637" s="50"/>
      <c r="CC637" s="50"/>
      <c r="CD637" s="52"/>
      <c r="CE637" s="50"/>
      <c r="CF637" s="50"/>
      <c r="CG637" s="50"/>
      <c r="CH637" s="50"/>
      <c r="CI637" s="50"/>
      <c r="CJ637" s="50"/>
      <c r="CK637" s="50"/>
      <c r="CL637" s="50"/>
      <c r="CM637" s="50"/>
      <c r="CN637" s="50"/>
      <c r="CO637" s="50"/>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c r="FF637" s="3"/>
      <c r="FG637" s="3"/>
      <c r="FH637" s="3"/>
      <c r="FI637" s="3"/>
      <c r="FJ637" s="3"/>
      <c r="FK637" s="3"/>
      <c r="FL637" s="3"/>
      <c r="FM637" s="3"/>
      <c r="FN637" s="3"/>
      <c r="FO637" s="3"/>
      <c r="FP637" s="3"/>
      <c r="FQ637" s="3"/>
      <c r="FR637" s="3"/>
      <c r="FS637" s="3"/>
      <c r="FT637" s="3"/>
      <c r="FU637" s="3"/>
      <c r="FV637" s="3"/>
      <c r="FW637" s="3"/>
      <c r="FX637" s="3"/>
      <c r="FY637" s="3"/>
      <c r="FZ637" s="3"/>
      <c r="GA637" s="3"/>
      <c r="GB637" s="3"/>
      <c r="GC637" s="3"/>
      <c r="GD637" s="3"/>
      <c r="GE637" s="3"/>
      <c r="GF637" s="3"/>
      <c r="GG637" s="3"/>
      <c r="GH637" s="3"/>
      <c r="GI637" s="3"/>
      <c r="GJ637" s="3"/>
      <c r="GK637" s="3"/>
      <c r="GL637" s="3"/>
      <c r="GM637" s="3"/>
      <c r="GN637" s="3"/>
      <c r="GO637" s="3"/>
      <c r="GP637" s="3"/>
      <c r="GQ637" s="3"/>
      <c r="GR637" s="3"/>
      <c r="GS637" s="3"/>
      <c r="GT637" s="3"/>
      <c r="GU637" s="3"/>
      <c r="GV637" s="3"/>
      <c r="GW637" s="3"/>
      <c r="GX637" s="3"/>
      <c r="GY637" s="3"/>
      <c r="GZ637" s="3"/>
      <c r="HA637" s="3"/>
      <c r="HB637" s="3"/>
    </row>
    <row r="638" spans="1:210" ht="15.75" customHeight="1">
      <c r="A638" s="50"/>
      <c r="B638" s="50"/>
      <c r="C638" s="50"/>
      <c r="D638" s="50"/>
      <c r="E638" s="50"/>
      <c r="F638" s="50"/>
      <c r="G638" s="51"/>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c r="AR638" s="50"/>
      <c r="AS638" s="50"/>
      <c r="AT638" s="50"/>
      <c r="AU638" s="50"/>
      <c r="AV638" s="50"/>
      <c r="AW638" s="50"/>
      <c r="AX638" s="50"/>
      <c r="AY638" s="50"/>
      <c r="AZ638" s="50"/>
      <c r="BA638" s="50"/>
      <c r="BB638" s="50"/>
      <c r="BC638" s="50"/>
      <c r="BD638" s="50"/>
      <c r="BE638" s="50"/>
      <c r="BF638" s="50"/>
      <c r="BG638" s="50"/>
      <c r="BH638" s="50"/>
      <c r="BI638" s="50"/>
      <c r="BJ638" s="50"/>
      <c r="BK638" s="50"/>
      <c r="BL638" s="50"/>
      <c r="BM638" s="50"/>
      <c r="BN638" s="50"/>
      <c r="BO638" s="50"/>
      <c r="BP638" s="50"/>
      <c r="BQ638" s="50"/>
      <c r="BR638" s="50"/>
      <c r="BS638" s="50"/>
      <c r="BT638" s="50"/>
      <c r="BU638" s="50"/>
      <c r="BV638" s="50"/>
      <c r="BW638" s="50"/>
      <c r="BX638" s="50"/>
      <c r="BY638" s="50"/>
      <c r="BZ638" s="50"/>
      <c r="CA638" s="50"/>
      <c r="CB638" s="50"/>
      <c r="CC638" s="50"/>
      <c r="CD638" s="52"/>
      <c r="CE638" s="50"/>
      <c r="CF638" s="50"/>
      <c r="CG638" s="50"/>
      <c r="CH638" s="50"/>
      <c r="CI638" s="50"/>
      <c r="CJ638" s="50"/>
      <c r="CK638" s="50"/>
      <c r="CL638" s="50"/>
      <c r="CM638" s="50"/>
      <c r="CN638" s="50"/>
      <c r="CO638" s="50"/>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c r="FF638" s="3"/>
      <c r="FG638" s="3"/>
      <c r="FH638" s="3"/>
      <c r="FI638" s="3"/>
      <c r="FJ638" s="3"/>
      <c r="FK638" s="3"/>
      <c r="FL638" s="3"/>
      <c r="FM638" s="3"/>
      <c r="FN638" s="3"/>
      <c r="FO638" s="3"/>
      <c r="FP638" s="3"/>
      <c r="FQ638" s="3"/>
      <c r="FR638" s="3"/>
      <c r="FS638" s="3"/>
      <c r="FT638" s="3"/>
      <c r="FU638" s="3"/>
      <c r="FV638" s="3"/>
      <c r="FW638" s="3"/>
      <c r="FX638" s="3"/>
      <c r="FY638" s="3"/>
      <c r="FZ638" s="3"/>
      <c r="GA638" s="3"/>
      <c r="GB638" s="3"/>
      <c r="GC638" s="3"/>
      <c r="GD638" s="3"/>
      <c r="GE638" s="3"/>
      <c r="GF638" s="3"/>
      <c r="GG638" s="3"/>
      <c r="GH638" s="3"/>
      <c r="GI638" s="3"/>
      <c r="GJ638" s="3"/>
      <c r="GK638" s="3"/>
      <c r="GL638" s="3"/>
      <c r="GM638" s="3"/>
      <c r="GN638" s="3"/>
      <c r="GO638" s="3"/>
      <c r="GP638" s="3"/>
      <c r="GQ638" s="3"/>
      <c r="GR638" s="3"/>
      <c r="GS638" s="3"/>
      <c r="GT638" s="3"/>
      <c r="GU638" s="3"/>
      <c r="GV638" s="3"/>
      <c r="GW638" s="3"/>
      <c r="GX638" s="3"/>
      <c r="GY638" s="3"/>
      <c r="GZ638" s="3"/>
      <c r="HA638" s="3"/>
      <c r="HB638" s="3"/>
    </row>
    <row r="639" spans="1:210" ht="15.75" customHeight="1">
      <c r="A639" s="50"/>
      <c r="B639" s="50"/>
      <c r="C639" s="50"/>
      <c r="D639" s="50"/>
      <c r="E639" s="50"/>
      <c r="F639" s="50"/>
      <c r="G639" s="51"/>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c r="AR639" s="50"/>
      <c r="AS639" s="50"/>
      <c r="AT639" s="50"/>
      <c r="AU639" s="50"/>
      <c r="AV639" s="50"/>
      <c r="AW639" s="50"/>
      <c r="AX639" s="50"/>
      <c r="AY639" s="50"/>
      <c r="AZ639" s="50"/>
      <c r="BA639" s="50"/>
      <c r="BB639" s="50"/>
      <c r="BC639" s="50"/>
      <c r="BD639" s="50"/>
      <c r="BE639" s="50"/>
      <c r="BF639" s="50"/>
      <c r="BG639" s="50"/>
      <c r="BH639" s="50"/>
      <c r="BI639" s="50"/>
      <c r="BJ639" s="50"/>
      <c r="BK639" s="50"/>
      <c r="BL639" s="50"/>
      <c r="BM639" s="50"/>
      <c r="BN639" s="50"/>
      <c r="BO639" s="50"/>
      <c r="BP639" s="50"/>
      <c r="BQ639" s="50"/>
      <c r="BR639" s="50"/>
      <c r="BS639" s="50"/>
      <c r="BT639" s="50"/>
      <c r="BU639" s="50"/>
      <c r="BV639" s="50"/>
      <c r="BW639" s="50"/>
      <c r="BX639" s="50"/>
      <c r="BY639" s="50"/>
      <c r="BZ639" s="50"/>
      <c r="CA639" s="50"/>
      <c r="CB639" s="50"/>
      <c r="CC639" s="50"/>
      <c r="CD639" s="52"/>
      <c r="CE639" s="50"/>
      <c r="CF639" s="50"/>
      <c r="CG639" s="50"/>
      <c r="CH639" s="50"/>
      <c r="CI639" s="50"/>
      <c r="CJ639" s="50"/>
      <c r="CK639" s="50"/>
      <c r="CL639" s="50"/>
      <c r="CM639" s="50"/>
      <c r="CN639" s="50"/>
      <c r="CO639" s="50"/>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c r="FF639" s="3"/>
      <c r="FG639" s="3"/>
      <c r="FH639" s="3"/>
      <c r="FI639" s="3"/>
      <c r="FJ639" s="3"/>
      <c r="FK639" s="3"/>
      <c r="FL639" s="3"/>
      <c r="FM639" s="3"/>
      <c r="FN639" s="3"/>
      <c r="FO639" s="3"/>
      <c r="FP639" s="3"/>
      <c r="FQ639" s="3"/>
      <c r="FR639" s="3"/>
      <c r="FS639" s="3"/>
      <c r="FT639" s="3"/>
      <c r="FU639" s="3"/>
      <c r="FV639" s="3"/>
      <c r="FW639" s="3"/>
      <c r="FX639" s="3"/>
      <c r="FY639" s="3"/>
      <c r="FZ639" s="3"/>
      <c r="GA639" s="3"/>
      <c r="GB639" s="3"/>
      <c r="GC639" s="3"/>
      <c r="GD639" s="3"/>
      <c r="GE639" s="3"/>
      <c r="GF639" s="3"/>
      <c r="GG639" s="3"/>
      <c r="GH639" s="3"/>
      <c r="GI639" s="3"/>
      <c r="GJ639" s="3"/>
      <c r="GK639" s="3"/>
      <c r="GL639" s="3"/>
      <c r="GM639" s="3"/>
      <c r="GN639" s="3"/>
      <c r="GO639" s="3"/>
      <c r="GP639" s="3"/>
      <c r="GQ639" s="3"/>
      <c r="GR639" s="3"/>
      <c r="GS639" s="3"/>
      <c r="GT639" s="3"/>
      <c r="GU639" s="3"/>
      <c r="GV639" s="3"/>
      <c r="GW639" s="3"/>
      <c r="GX639" s="3"/>
      <c r="GY639" s="3"/>
      <c r="GZ639" s="3"/>
      <c r="HA639" s="3"/>
      <c r="HB639" s="3"/>
    </row>
    <row r="640" spans="1:210" ht="15.75" customHeight="1">
      <c r="A640" s="50"/>
      <c r="B640" s="50"/>
      <c r="C640" s="50"/>
      <c r="D640" s="50"/>
      <c r="E640" s="50"/>
      <c r="F640" s="50"/>
      <c r="G640" s="51"/>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c r="AR640" s="50"/>
      <c r="AS640" s="50"/>
      <c r="AT640" s="50"/>
      <c r="AU640" s="50"/>
      <c r="AV640" s="50"/>
      <c r="AW640" s="50"/>
      <c r="AX640" s="50"/>
      <c r="AY640" s="50"/>
      <c r="AZ640" s="50"/>
      <c r="BA640" s="50"/>
      <c r="BB640" s="50"/>
      <c r="BC640" s="50"/>
      <c r="BD640" s="50"/>
      <c r="BE640" s="50"/>
      <c r="BF640" s="50"/>
      <c r="BG640" s="50"/>
      <c r="BH640" s="50"/>
      <c r="BI640" s="50"/>
      <c r="BJ640" s="50"/>
      <c r="BK640" s="50"/>
      <c r="BL640" s="50"/>
      <c r="BM640" s="50"/>
      <c r="BN640" s="50"/>
      <c r="BO640" s="50"/>
      <c r="BP640" s="50"/>
      <c r="BQ640" s="50"/>
      <c r="BR640" s="50"/>
      <c r="BS640" s="50"/>
      <c r="BT640" s="50"/>
      <c r="BU640" s="50"/>
      <c r="BV640" s="50"/>
      <c r="BW640" s="50"/>
      <c r="BX640" s="50"/>
      <c r="BY640" s="50"/>
      <c r="BZ640" s="50"/>
      <c r="CA640" s="50"/>
      <c r="CB640" s="50"/>
      <c r="CC640" s="50"/>
      <c r="CD640" s="52"/>
      <c r="CE640" s="50"/>
      <c r="CF640" s="50"/>
      <c r="CG640" s="50"/>
      <c r="CH640" s="50"/>
      <c r="CI640" s="50"/>
      <c r="CJ640" s="50"/>
      <c r="CK640" s="50"/>
      <c r="CL640" s="50"/>
      <c r="CM640" s="50"/>
      <c r="CN640" s="50"/>
      <c r="CO640" s="50"/>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c r="FF640" s="3"/>
      <c r="FG640" s="3"/>
      <c r="FH640" s="3"/>
      <c r="FI640" s="3"/>
      <c r="FJ640" s="3"/>
      <c r="FK640" s="3"/>
      <c r="FL640" s="3"/>
      <c r="FM640" s="3"/>
      <c r="FN640" s="3"/>
      <c r="FO640" s="3"/>
      <c r="FP640" s="3"/>
      <c r="FQ640" s="3"/>
      <c r="FR640" s="3"/>
      <c r="FS640" s="3"/>
      <c r="FT640" s="3"/>
      <c r="FU640" s="3"/>
      <c r="FV640" s="3"/>
      <c r="FW640" s="3"/>
      <c r="FX640" s="3"/>
      <c r="FY640" s="3"/>
      <c r="FZ640" s="3"/>
      <c r="GA640" s="3"/>
      <c r="GB640" s="3"/>
      <c r="GC640" s="3"/>
      <c r="GD640" s="3"/>
      <c r="GE640" s="3"/>
      <c r="GF640" s="3"/>
      <c r="GG640" s="3"/>
      <c r="GH640" s="3"/>
      <c r="GI640" s="3"/>
      <c r="GJ640" s="3"/>
      <c r="GK640" s="3"/>
      <c r="GL640" s="3"/>
      <c r="GM640" s="3"/>
      <c r="GN640" s="3"/>
      <c r="GO640" s="3"/>
      <c r="GP640" s="3"/>
      <c r="GQ640" s="3"/>
      <c r="GR640" s="3"/>
      <c r="GS640" s="3"/>
      <c r="GT640" s="3"/>
      <c r="GU640" s="3"/>
      <c r="GV640" s="3"/>
      <c r="GW640" s="3"/>
      <c r="GX640" s="3"/>
      <c r="GY640" s="3"/>
      <c r="GZ640" s="3"/>
      <c r="HA640" s="3"/>
      <c r="HB640" s="3"/>
    </row>
    <row r="641" spans="1:210" ht="15.75" customHeight="1">
      <c r="A641" s="50"/>
      <c r="B641" s="50"/>
      <c r="C641" s="50"/>
      <c r="D641" s="50"/>
      <c r="E641" s="50"/>
      <c r="F641" s="50"/>
      <c r="G641" s="51"/>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c r="AR641" s="50"/>
      <c r="AS641" s="50"/>
      <c r="AT641" s="50"/>
      <c r="AU641" s="50"/>
      <c r="AV641" s="50"/>
      <c r="AW641" s="50"/>
      <c r="AX641" s="50"/>
      <c r="AY641" s="50"/>
      <c r="AZ641" s="50"/>
      <c r="BA641" s="50"/>
      <c r="BB641" s="50"/>
      <c r="BC641" s="50"/>
      <c r="BD641" s="50"/>
      <c r="BE641" s="50"/>
      <c r="BF641" s="50"/>
      <c r="BG641" s="50"/>
      <c r="BH641" s="50"/>
      <c r="BI641" s="50"/>
      <c r="BJ641" s="50"/>
      <c r="BK641" s="50"/>
      <c r="BL641" s="50"/>
      <c r="BM641" s="50"/>
      <c r="BN641" s="50"/>
      <c r="BO641" s="50"/>
      <c r="BP641" s="50"/>
      <c r="BQ641" s="50"/>
      <c r="BR641" s="50"/>
      <c r="BS641" s="50"/>
      <c r="BT641" s="50"/>
      <c r="BU641" s="50"/>
      <c r="BV641" s="50"/>
      <c r="BW641" s="50"/>
      <c r="BX641" s="50"/>
      <c r="BY641" s="50"/>
      <c r="BZ641" s="50"/>
      <c r="CA641" s="50"/>
      <c r="CB641" s="50"/>
      <c r="CC641" s="50"/>
      <c r="CD641" s="52"/>
      <c r="CE641" s="50"/>
      <c r="CF641" s="50"/>
      <c r="CG641" s="50"/>
      <c r="CH641" s="50"/>
      <c r="CI641" s="50"/>
      <c r="CJ641" s="50"/>
      <c r="CK641" s="50"/>
      <c r="CL641" s="50"/>
      <c r="CM641" s="50"/>
      <c r="CN641" s="50"/>
      <c r="CO641" s="50"/>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c r="FF641" s="3"/>
      <c r="FG641" s="3"/>
      <c r="FH641" s="3"/>
      <c r="FI641" s="3"/>
      <c r="FJ641" s="3"/>
      <c r="FK641" s="3"/>
      <c r="FL641" s="3"/>
      <c r="FM641" s="3"/>
      <c r="FN641" s="3"/>
      <c r="FO641" s="3"/>
      <c r="FP641" s="3"/>
      <c r="FQ641" s="3"/>
      <c r="FR641" s="3"/>
      <c r="FS641" s="3"/>
      <c r="FT641" s="3"/>
      <c r="FU641" s="3"/>
      <c r="FV641" s="3"/>
      <c r="FW641" s="3"/>
      <c r="FX641" s="3"/>
      <c r="FY641" s="3"/>
      <c r="FZ641" s="3"/>
      <c r="GA641" s="3"/>
      <c r="GB641" s="3"/>
      <c r="GC641" s="3"/>
      <c r="GD641" s="3"/>
      <c r="GE641" s="3"/>
      <c r="GF641" s="3"/>
      <c r="GG641" s="3"/>
      <c r="GH641" s="3"/>
      <c r="GI641" s="3"/>
      <c r="GJ641" s="3"/>
      <c r="GK641" s="3"/>
      <c r="GL641" s="3"/>
      <c r="GM641" s="3"/>
      <c r="GN641" s="3"/>
      <c r="GO641" s="3"/>
      <c r="GP641" s="3"/>
      <c r="GQ641" s="3"/>
      <c r="GR641" s="3"/>
      <c r="GS641" s="3"/>
      <c r="GT641" s="3"/>
      <c r="GU641" s="3"/>
      <c r="GV641" s="3"/>
      <c r="GW641" s="3"/>
      <c r="GX641" s="3"/>
      <c r="GY641" s="3"/>
      <c r="GZ641" s="3"/>
      <c r="HA641" s="3"/>
      <c r="HB641" s="3"/>
    </row>
    <row r="642" spans="1:210" ht="15.75" customHeight="1">
      <c r="A642" s="50"/>
      <c r="B642" s="50"/>
      <c r="C642" s="50"/>
      <c r="D642" s="50"/>
      <c r="E642" s="50"/>
      <c r="F642" s="50"/>
      <c r="G642" s="51"/>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c r="AR642" s="50"/>
      <c r="AS642" s="50"/>
      <c r="AT642" s="50"/>
      <c r="AU642" s="50"/>
      <c r="AV642" s="50"/>
      <c r="AW642" s="50"/>
      <c r="AX642" s="50"/>
      <c r="AY642" s="50"/>
      <c r="AZ642" s="50"/>
      <c r="BA642" s="50"/>
      <c r="BB642" s="50"/>
      <c r="BC642" s="50"/>
      <c r="BD642" s="50"/>
      <c r="BE642" s="50"/>
      <c r="BF642" s="50"/>
      <c r="BG642" s="50"/>
      <c r="BH642" s="50"/>
      <c r="BI642" s="50"/>
      <c r="BJ642" s="50"/>
      <c r="BK642" s="50"/>
      <c r="BL642" s="50"/>
      <c r="BM642" s="50"/>
      <c r="BN642" s="50"/>
      <c r="BO642" s="50"/>
      <c r="BP642" s="50"/>
      <c r="BQ642" s="50"/>
      <c r="BR642" s="50"/>
      <c r="BS642" s="50"/>
      <c r="BT642" s="50"/>
      <c r="BU642" s="50"/>
      <c r="BV642" s="50"/>
      <c r="BW642" s="50"/>
      <c r="BX642" s="50"/>
      <c r="BY642" s="50"/>
      <c r="BZ642" s="50"/>
      <c r="CA642" s="50"/>
      <c r="CB642" s="50"/>
      <c r="CC642" s="50"/>
      <c r="CD642" s="52"/>
      <c r="CE642" s="50"/>
      <c r="CF642" s="50"/>
      <c r="CG642" s="50"/>
      <c r="CH642" s="50"/>
      <c r="CI642" s="50"/>
      <c r="CJ642" s="50"/>
      <c r="CK642" s="50"/>
      <c r="CL642" s="50"/>
      <c r="CM642" s="50"/>
      <c r="CN642" s="50"/>
      <c r="CO642" s="50"/>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c r="FF642" s="3"/>
      <c r="FG642" s="3"/>
      <c r="FH642" s="3"/>
      <c r="FI642" s="3"/>
      <c r="FJ642" s="3"/>
      <c r="FK642" s="3"/>
      <c r="FL642" s="3"/>
      <c r="FM642" s="3"/>
      <c r="FN642" s="3"/>
      <c r="FO642" s="3"/>
      <c r="FP642" s="3"/>
      <c r="FQ642" s="3"/>
      <c r="FR642" s="3"/>
      <c r="FS642" s="3"/>
      <c r="FT642" s="3"/>
      <c r="FU642" s="3"/>
      <c r="FV642" s="3"/>
      <c r="FW642" s="3"/>
      <c r="FX642" s="3"/>
      <c r="FY642" s="3"/>
      <c r="FZ642" s="3"/>
      <c r="GA642" s="3"/>
      <c r="GB642" s="3"/>
      <c r="GC642" s="3"/>
      <c r="GD642" s="3"/>
      <c r="GE642" s="3"/>
      <c r="GF642" s="3"/>
      <c r="GG642" s="3"/>
      <c r="GH642" s="3"/>
      <c r="GI642" s="3"/>
      <c r="GJ642" s="3"/>
      <c r="GK642" s="3"/>
      <c r="GL642" s="3"/>
      <c r="GM642" s="3"/>
      <c r="GN642" s="3"/>
      <c r="GO642" s="3"/>
      <c r="GP642" s="3"/>
      <c r="GQ642" s="3"/>
      <c r="GR642" s="3"/>
      <c r="GS642" s="3"/>
      <c r="GT642" s="3"/>
      <c r="GU642" s="3"/>
      <c r="GV642" s="3"/>
      <c r="GW642" s="3"/>
      <c r="GX642" s="3"/>
      <c r="GY642" s="3"/>
      <c r="GZ642" s="3"/>
      <c r="HA642" s="3"/>
      <c r="HB642" s="3"/>
    </row>
    <row r="643" spans="1:210" ht="15.75" customHeight="1">
      <c r="A643" s="50"/>
      <c r="B643" s="50"/>
      <c r="C643" s="50"/>
      <c r="D643" s="50"/>
      <c r="E643" s="50"/>
      <c r="F643" s="50"/>
      <c r="G643" s="51"/>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c r="AR643" s="50"/>
      <c r="AS643" s="50"/>
      <c r="AT643" s="50"/>
      <c r="AU643" s="50"/>
      <c r="AV643" s="50"/>
      <c r="AW643" s="50"/>
      <c r="AX643" s="50"/>
      <c r="AY643" s="50"/>
      <c r="AZ643" s="50"/>
      <c r="BA643" s="50"/>
      <c r="BB643" s="50"/>
      <c r="BC643" s="50"/>
      <c r="BD643" s="50"/>
      <c r="BE643" s="50"/>
      <c r="BF643" s="50"/>
      <c r="BG643" s="50"/>
      <c r="BH643" s="50"/>
      <c r="BI643" s="50"/>
      <c r="BJ643" s="50"/>
      <c r="BK643" s="50"/>
      <c r="BL643" s="50"/>
      <c r="BM643" s="50"/>
      <c r="BN643" s="50"/>
      <c r="BO643" s="50"/>
      <c r="BP643" s="50"/>
      <c r="BQ643" s="50"/>
      <c r="BR643" s="50"/>
      <c r="BS643" s="50"/>
      <c r="BT643" s="50"/>
      <c r="BU643" s="50"/>
      <c r="BV643" s="50"/>
      <c r="BW643" s="50"/>
      <c r="BX643" s="50"/>
      <c r="BY643" s="50"/>
      <c r="BZ643" s="50"/>
      <c r="CA643" s="50"/>
      <c r="CB643" s="50"/>
      <c r="CC643" s="50"/>
      <c r="CD643" s="52"/>
      <c r="CE643" s="50"/>
      <c r="CF643" s="50"/>
      <c r="CG643" s="50"/>
      <c r="CH643" s="50"/>
      <c r="CI643" s="50"/>
      <c r="CJ643" s="50"/>
      <c r="CK643" s="50"/>
      <c r="CL643" s="50"/>
      <c r="CM643" s="50"/>
      <c r="CN643" s="50"/>
      <c r="CO643" s="50"/>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c r="FF643" s="3"/>
      <c r="FG643" s="3"/>
      <c r="FH643" s="3"/>
      <c r="FI643" s="3"/>
      <c r="FJ643" s="3"/>
      <c r="FK643" s="3"/>
      <c r="FL643" s="3"/>
      <c r="FM643" s="3"/>
      <c r="FN643" s="3"/>
      <c r="FO643" s="3"/>
      <c r="FP643" s="3"/>
      <c r="FQ643" s="3"/>
      <c r="FR643" s="3"/>
      <c r="FS643" s="3"/>
      <c r="FT643" s="3"/>
      <c r="FU643" s="3"/>
      <c r="FV643" s="3"/>
      <c r="FW643" s="3"/>
      <c r="FX643" s="3"/>
      <c r="FY643" s="3"/>
      <c r="FZ643" s="3"/>
      <c r="GA643" s="3"/>
      <c r="GB643" s="3"/>
      <c r="GC643" s="3"/>
      <c r="GD643" s="3"/>
      <c r="GE643" s="3"/>
      <c r="GF643" s="3"/>
      <c r="GG643" s="3"/>
      <c r="GH643" s="3"/>
      <c r="GI643" s="3"/>
      <c r="GJ643" s="3"/>
      <c r="GK643" s="3"/>
      <c r="GL643" s="3"/>
      <c r="GM643" s="3"/>
      <c r="GN643" s="3"/>
      <c r="GO643" s="3"/>
      <c r="GP643" s="3"/>
      <c r="GQ643" s="3"/>
      <c r="GR643" s="3"/>
      <c r="GS643" s="3"/>
      <c r="GT643" s="3"/>
      <c r="GU643" s="3"/>
      <c r="GV643" s="3"/>
      <c r="GW643" s="3"/>
      <c r="GX643" s="3"/>
      <c r="GY643" s="3"/>
      <c r="GZ643" s="3"/>
      <c r="HA643" s="3"/>
      <c r="HB643" s="3"/>
    </row>
    <row r="644" spans="1:210" ht="15.75" customHeight="1">
      <c r="A644" s="50"/>
      <c r="B644" s="50"/>
      <c r="C644" s="50"/>
      <c r="D644" s="50"/>
      <c r="E644" s="50"/>
      <c r="F644" s="50"/>
      <c r="G644" s="51"/>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c r="AR644" s="50"/>
      <c r="AS644" s="50"/>
      <c r="AT644" s="50"/>
      <c r="AU644" s="50"/>
      <c r="AV644" s="50"/>
      <c r="AW644" s="50"/>
      <c r="AX644" s="50"/>
      <c r="AY644" s="50"/>
      <c r="AZ644" s="50"/>
      <c r="BA644" s="50"/>
      <c r="BB644" s="50"/>
      <c r="BC644" s="50"/>
      <c r="BD644" s="50"/>
      <c r="BE644" s="50"/>
      <c r="BF644" s="50"/>
      <c r="BG644" s="50"/>
      <c r="BH644" s="50"/>
      <c r="BI644" s="50"/>
      <c r="BJ644" s="50"/>
      <c r="BK644" s="50"/>
      <c r="BL644" s="50"/>
      <c r="BM644" s="50"/>
      <c r="BN644" s="50"/>
      <c r="BO644" s="50"/>
      <c r="BP644" s="50"/>
      <c r="BQ644" s="50"/>
      <c r="BR644" s="50"/>
      <c r="BS644" s="50"/>
      <c r="BT644" s="50"/>
      <c r="BU644" s="50"/>
      <c r="BV644" s="50"/>
      <c r="BW644" s="50"/>
      <c r="BX644" s="50"/>
      <c r="BY644" s="50"/>
      <c r="BZ644" s="50"/>
      <c r="CA644" s="50"/>
      <c r="CB644" s="50"/>
      <c r="CC644" s="50"/>
      <c r="CD644" s="52"/>
      <c r="CE644" s="50"/>
      <c r="CF644" s="50"/>
      <c r="CG644" s="50"/>
      <c r="CH644" s="50"/>
      <c r="CI644" s="50"/>
      <c r="CJ644" s="50"/>
      <c r="CK644" s="50"/>
      <c r="CL644" s="50"/>
      <c r="CM644" s="50"/>
      <c r="CN644" s="50"/>
      <c r="CO644" s="50"/>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c r="FF644" s="3"/>
      <c r="FG644" s="3"/>
      <c r="FH644" s="3"/>
      <c r="FI644" s="3"/>
      <c r="FJ644" s="3"/>
      <c r="FK644" s="3"/>
      <c r="FL644" s="3"/>
      <c r="FM644" s="3"/>
      <c r="FN644" s="3"/>
      <c r="FO644" s="3"/>
      <c r="FP644" s="3"/>
      <c r="FQ644" s="3"/>
      <c r="FR644" s="3"/>
      <c r="FS644" s="3"/>
      <c r="FT644" s="3"/>
      <c r="FU644" s="3"/>
      <c r="FV644" s="3"/>
      <c r="FW644" s="3"/>
      <c r="FX644" s="3"/>
      <c r="FY644" s="3"/>
      <c r="FZ644" s="3"/>
      <c r="GA644" s="3"/>
      <c r="GB644" s="3"/>
      <c r="GC644" s="3"/>
      <c r="GD644" s="3"/>
      <c r="GE644" s="3"/>
      <c r="GF644" s="3"/>
      <c r="GG644" s="3"/>
      <c r="GH644" s="3"/>
      <c r="GI644" s="3"/>
      <c r="GJ644" s="3"/>
      <c r="GK644" s="3"/>
      <c r="GL644" s="3"/>
      <c r="GM644" s="3"/>
      <c r="GN644" s="3"/>
      <c r="GO644" s="3"/>
      <c r="GP644" s="3"/>
      <c r="GQ644" s="3"/>
      <c r="GR644" s="3"/>
      <c r="GS644" s="3"/>
      <c r="GT644" s="3"/>
      <c r="GU644" s="3"/>
      <c r="GV644" s="3"/>
      <c r="GW644" s="3"/>
      <c r="GX644" s="3"/>
      <c r="GY644" s="3"/>
      <c r="GZ644" s="3"/>
      <c r="HA644" s="3"/>
      <c r="HB644" s="3"/>
    </row>
    <row r="645" spans="1:210" ht="15.75" customHeight="1">
      <c r="A645" s="50"/>
      <c r="B645" s="50"/>
      <c r="C645" s="50"/>
      <c r="D645" s="50"/>
      <c r="E645" s="50"/>
      <c r="F645" s="50"/>
      <c r="G645" s="51"/>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c r="AR645" s="50"/>
      <c r="AS645" s="50"/>
      <c r="AT645" s="50"/>
      <c r="AU645" s="50"/>
      <c r="AV645" s="50"/>
      <c r="AW645" s="50"/>
      <c r="AX645" s="50"/>
      <c r="AY645" s="50"/>
      <c r="AZ645" s="50"/>
      <c r="BA645" s="50"/>
      <c r="BB645" s="50"/>
      <c r="BC645" s="50"/>
      <c r="BD645" s="50"/>
      <c r="BE645" s="50"/>
      <c r="BF645" s="50"/>
      <c r="BG645" s="50"/>
      <c r="BH645" s="50"/>
      <c r="BI645" s="50"/>
      <c r="BJ645" s="50"/>
      <c r="BK645" s="50"/>
      <c r="BL645" s="50"/>
      <c r="BM645" s="50"/>
      <c r="BN645" s="50"/>
      <c r="BO645" s="50"/>
      <c r="BP645" s="50"/>
      <c r="BQ645" s="50"/>
      <c r="BR645" s="50"/>
      <c r="BS645" s="50"/>
      <c r="BT645" s="50"/>
      <c r="BU645" s="50"/>
      <c r="BV645" s="50"/>
      <c r="BW645" s="50"/>
      <c r="BX645" s="50"/>
      <c r="BY645" s="50"/>
      <c r="BZ645" s="50"/>
      <c r="CA645" s="50"/>
      <c r="CB645" s="50"/>
      <c r="CC645" s="50"/>
      <c r="CD645" s="52"/>
      <c r="CE645" s="50"/>
      <c r="CF645" s="50"/>
      <c r="CG645" s="50"/>
      <c r="CH645" s="50"/>
      <c r="CI645" s="50"/>
      <c r="CJ645" s="50"/>
      <c r="CK645" s="50"/>
      <c r="CL645" s="50"/>
      <c r="CM645" s="50"/>
      <c r="CN645" s="50"/>
      <c r="CO645" s="50"/>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c r="FF645" s="3"/>
      <c r="FG645" s="3"/>
      <c r="FH645" s="3"/>
      <c r="FI645" s="3"/>
      <c r="FJ645" s="3"/>
      <c r="FK645" s="3"/>
      <c r="FL645" s="3"/>
      <c r="FM645" s="3"/>
      <c r="FN645" s="3"/>
      <c r="FO645" s="3"/>
      <c r="FP645" s="3"/>
      <c r="FQ645" s="3"/>
      <c r="FR645" s="3"/>
      <c r="FS645" s="3"/>
      <c r="FT645" s="3"/>
      <c r="FU645" s="3"/>
      <c r="FV645" s="3"/>
      <c r="FW645" s="3"/>
      <c r="FX645" s="3"/>
      <c r="FY645" s="3"/>
      <c r="FZ645" s="3"/>
      <c r="GA645" s="3"/>
      <c r="GB645" s="3"/>
      <c r="GC645" s="3"/>
      <c r="GD645" s="3"/>
      <c r="GE645" s="3"/>
      <c r="GF645" s="3"/>
      <c r="GG645" s="3"/>
      <c r="GH645" s="3"/>
      <c r="GI645" s="3"/>
      <c r="GJ645" s="3"/>
      <c r="GK645" s="3"/>
      <c r="GL645" s="3"/>
      <c r="GM645" s="3"/>
      <c r="GN645" s="3"/>
      <c r="GO645" s="3"/>
      <c r="GP645" s="3"/>
      <c r="GQ645" s="3"/>
      <c r="GR645" s="3"/>
      <c r="GS645" s="3"/>
      <c r="GT645" s="3"/>
      <c r="GU645" s="3"/>
      <c r="GV645" s="3"/>
      <c r="GW645" s="3"/>
      <c r="GX645" s="3"/>
      <c r="GY645" s="3"/>
      <c r="GZ645" s="3"/>
      <c r="HA645" s="3"/>
      <c r="HB645" s="3"/>
    </row>
    <row r="646" spans="1:210" ht="15.75" customHeight="1">
      <c r="A646" s="50"/>
      <c r="B646" s="50"/>
      <c r="C646" s="50"/>
      <c r="D646" s="50"/>
      <c r="E646" s="50"/>
      <c r="F646" s="50"/>
      <c r="G646" s="51"/>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c r="AR646" s="50"/>
      <c r="AS646" s="50"/>
      <c r="AT646" s="50"/>
      <c r="AU646" s="50"/>
      <c r="AV646" s="50"/>
      <c r="AW646" s="50"/>
      <c r="AX646" s="50"/>
      <c r="AY646" s="50"/>
      <c r="AZ646" s="50"/>
      <c r="BA646" s="50"/>
      <c r="BB646" s="50"/>
      <c r="BC646" s="50"/>
      <c r="BD646" s="50"/>
      <c r="BE646" s="50"/>
      <c r="BF646" s="50"/>
      <c r="BG646" s="50"/>
      <c r="BH646" s="50"/>
      <c r="BI646" s="50"/>
      <c r="BJ646" s="50"/>
      <c r="BK646" s="50"/>
      <c r="BL646" s="50"/>
      <c r="BM646" s="50"/>
      <c r="BN646" s="50"/>
      <c r="BO646" s="50"/>
      <c r="BP646" s="50"/>
      <c r="BQ646" s="50"/>
      <c r="BR646" s="50"/>
      <c r="BS646" s="50"/>
      <c r="BT646" s="50"/>
      <c r="BU646" s="50"/>
      <c r="BV646" s="50"/>
      <c r="BW646" s="50"/>
      <c r="BX646" s="50"/>
      <c r="BY646" s="50"/>
      <c r="BZ646" s="50"/>
      <c r="CA646" s="50"/>
      <c r="CB646" s="50"/>
      <c r="CC646" s="50"/>
      <c r="CD646" s="52"/>
      <c r="CE646" s="50"/>
      <c r="CF646" s="50"/>
      <c r="CG646" s="50"/>
      <c r="CH646" s="50"/>
      <c r="CI646" s="50"/>
      <c r="CJ646" s="50"/>
      <c r="CK646" s="50"/>
      <c r="CL646" s="50"/>
      <c r="CM646" s="50"/>
      <c r="CN646" s="50"/>
      <c r="CO646" s="50"/>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c r="FF646" s="3"/>
      <c r="FG646" s="3"/>
      <c r="FH646" s="3"/>
      <c r="FI646" s="3"/>
      <c r="FJ646" s="3"/>
      <c r="FK646" s="3"/>
      <c r="FL646" s="3"/>
      <c r="FM646" s="3"/>
      <c r="FN646" s="3"/>
      <c r="FO646" s="3"/>
      <c r="FP646" s="3"/>
      <c r="FQ646" s="3"/>
      <c r="FR646" s="3"/>
      <c r="FS646" s="3"/>
      <c r="FT646" s="3"/>
      <c r="FU646" s="3"/>
      <c r="FV646" s="3"/>
      <c r="FW646" s="3"/>
      <c r="FX646" s="3"/>
      <c r="FY646" s="3"/>
      <c r="FZ646" s="3"/>
      <c r="GA646" s="3"/>
      <c r="GB646" s="3"/>
      <c r="GC646" s="3"/>
      <c r="GD646" s="3"/>
      <c r="GE646" s="3"/>
      <c r="GF646" s="3"/>
      <c r="GG646" s="3"/>
      <c r="GH646" s="3"/>
      <c r="GI646" s="3"/>
      <c r="GJ646" s="3"/>
      <c r="GK646" s="3"/>
      <c r="GL646" s="3"/>
      <c r="GM646" s="3"/>
      <c r="GN646" s="3"/>
      <c r="GO646" s="3"/>
      <c r="GP646" s="3"/>
      <c r="GQ646" s="3"/>
      <c r="GR646" s="3"/>
      <c r="GS646" s="3"/>
      <c r="GT646" s="3"/>
      <c r="GU646" s="3"/>
      <c r="GV646" s="3"/>
      <c r="GW646" s="3"/>
      <c r="GX646" s="3"/>
      <c r="GY646" s="3"/>
      <c r="GZ646" s="3"/>
      <c r="HA646" s="3"/>
      <c r="HB646" s="3"/>
    </row>
    <row r="647" spans="1:210" ht="15.75" customHeight="1">
      <c r="A647" s="50"/>
      <c r="B647" s="50"/>
      <c r="C647" s="50"/>
      <c r="D647" s="50"/>
      <c r="E647" s="50"/>
      <c r="F647" s="50"/>
      <c r="G647" s="51"/>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c r="AR647" s="50"/>
      <c r="AS647" s="50"/>
      <c r="AT647" s="50"/>
      <c r="AU647" s="50"/>
      <c r="AV647" s="50"/>
      <c r="AW647" s="50"/>
      <c r="AX647" s="50"/>
      <c r="AY647" s="50"/>
      <c r="AZ647" s="50"/>
      <c r="BA647" s="50"/>
      <c r="BB647" s="50"/>
      <c r="BC647" s="50"/>
      <c r="BD647" s="50"/>
      <c r="BE647" s="50"/>
      <c r="BF647" s="50"/>
      <c r="BG647" s="50"/>
      <c r="BH647" s="50"/>
      <c r="BI647" s="50"/>
      <c r="BJ647" s="50"/>
      <c r="BK647" s="50"/>
      <c r="BL647" s="50"/>
      <c r="BM647" s="50"/>
      <c r="BN647" s="50"/>
      <c r="BO647" s="50"/>
      <c r="BP647" s="50"/>
      <c r="BQ647" s="50"/>
      <c r="BR647" s="50"/>
      <c r="BS647" s="50"/>
      <c r="BT647" s="50"/>
      <c r="BU647" s="50"/>
      <c r="BV647" s="50"/>
      <c r="BW647" s="50"/>
      <c r="BX647" s="50"/>
      <c r="BY647" s="50"/>
      <c r="BZ647" s="50"/>
      <c r="CA647" s="50"/>
      <c r="CB647" s="50"/>
      <c r="CC647" s="50"/>
      <c r="CD647" s="52"/>
      <c r="CE647" s="50"/>
      <c r="CF647" s="50"/>
      <c r="CG647" s="50"/>
      <c r="CH647" s="50"/>
      <c r="CI647" s="50"/>
      <c r="CJ647" s="50"/>
      <c r="CK647" s="50"/>
      <c r="CL647" s="50"/>
      <c r="CM647" s="50"/>
      <c r="CN647" s="50"/>
      <c r="CO647" s="50"/>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c r="FF647" s="3"/>
      <c r="FG647" s="3"/>
      <c r="FH647" s="3"/>
      <c r="FI647" s="3"/>
      <c r="FJ647" s="3"/>
      <c r="FK647" s="3"/>
      <c r="FL647" s="3"/>
      <c r="FM647" s="3"/>
      <c r="FN647" s="3"/>
      <c r="FO647" s="3"/>
      <c r="FP647" s="3"/>
      <c r="FQ647" s="3"/>
      <c r="FR647" s="3"/>
      <c r="FS647" s="3"/>
      <c r="FT647" s="3"/>
      <c r="FU647" s="3"/>
      <c r="FV647" s="3"/>
      <c r="FW647" s="3"/>
      <c r="FX647" s="3"/>
      <c r="FY647" s="3"/>
      <c r="FZ647" s="3"/>
      <c r="GA647" s="3"/>
      <c r="GB647" s="3"/>
      <c r="GC647" s="3"/>
      <c r="GD647" s="3"/>
      <c r="GE647" s="3"/>
      <c r="GF647" s="3"/>
      <c r="GG647" s="3"/>
      <c r="GH647" s="3"/>
      <c r="GI647" s="3"/>
      <c r="GJ647" s="3"/>
      <c r="GK647" s="3"/>
      <c r="GL647" s="3"/>
      <c r="GM647" s="3"/>
      <c r="GN647" s="3"/>
      <c r="GO647" s="3"/>
      <c r="GP647" s="3"/>
      <c r="GQ647" s="3"/>
      <c r="GR647" s="3"/>
      <c r="GS647" s="3"/>
      <c r="GT647" s="3"/>
      <c r="GU647" s="3"/>
      <c r="GV647" s="3"/>
      <c r="GW647" s="3"/>
      <c r="GX647" s="3"/>
      <c r="GY647" s="3"/>
      <c r="GZ647" s="3"/>
      <c r="HA647" s="3"/>
      <c r="HB647" s="3"/>
    </row>
    <row r="648" spans="1:210" ht="15.75" customHeight="1">
      <c r="A648" s="50"/>
      <c r="B648" s="50"/>
      <c r="C648" s="50"/>
      <c r="D648" s="50"/>
      <c r="E648" s="50"/>
      <c r="F648" s="50"/>
      <c r="G648" s="51"/>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c r="AR648" s="50"/>
      <c r="AS648" s="50"/>
      <c r="AT648" s="50"/>
      <c r="AU648" s="50"/>
      <c r="AV648" s="50"/>
      <c r="AW648" s="50"/>
      <c r="AX648" s="50"/>
      <c r="AY648" s="50"/>
      <c r="AZ648" s="50"/>
      <c r="BA648" s="50"/>
      <c r="BB648" s="50"/>
      <c r="BC648" s="50"/>
      <c r="BD648" s="50"/>
      <c r="BE648" s="50"/>
      <c r="BF648" s="50"/>
      <c r="BG648" s="50"/>
      <c r="BH648" s="50"/>
      <c r="BI648" s="50"/>
      <c r="BJ648" s="50"/>
      <c r="BK648" s="50"/>
      <c r="BL648" s="50"/>
      <c r="BM648" s="50"/>
      <c r="BN648" s="50"/>
      <c r="BO648" s="50"/>
      <c r="BP648" s="50"/>
      <c r="BQ648" s="50"/>
      <c r="BR648" s="50"/>
      <c r="BS648" s="50"/>
      <c r="BT648" s="50"/>
      <c r="BU648" s="50"/>
      <c r="BV648" s="50"/>
      <c r="BW648" s="50"/>
      <c r="BX648" s="50"/>
      <c r="BY648" s="50"/>
      <c r="BZ648" s="50"/>
      <c r="CA648" s="50"/>
      <c r="CB648" s="50"/>
      <c r="CC648" s="50"/>
      <c r="CD648" s="52"/>
      <c r="CE648" s="50"/>
      <c r="CF648" s="50"/>
      <c r="CG648" s="50"/>
      <c r="CH648" s="50"/>
      <c r="CI648" s="50"/>
      <c r="CJ648" s="50"/>
      <c r="CK648" s="50"/>
      <c r="CL648" s="50"/>
      <c r="CM648" s="50"/>
      <c r="CN648" s="50"/>
      <c r="CO648" s="50"/>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c r="FF648" s="3"/>
      <c r="FG648" s="3"/>
      <c r="FH648" s="3"/>
      <c r="FI648" s="3"/>
      <c r="FJ648" s="3"/>
      <c r="FK648" s="3"/>
      <c r="FL648" s="3"/>
      <c r="FM648" s="3"/>
      <c r="FN648" s="3"/>
      <c r="FO648" s="3"/>
      <c r="FP648" s="3"/>
      <c r="FQ648" s="3"/>
      <c r="FR648" s="3"/>
      <c r="FS648" s="3"/>
      <c r="FT648" s="3"/>
      <c r="FU648" s="3"/>
      <c r="FV648" s="3"/>
      <c r="FW648" s="3"/>
      <c r="FX648" s="3"/>
      <c r="FY648" s="3"/>
      <c r="FZ648" s="3"/>
      <c r="GA648" s="3"/>
      <c r="GB648" s="3"/>
      <c r="GC648" s="3"/>
      <c r="GD648" s="3"/>
      <c r="GE648" s="3"/>
      <c r="GF648" s="3"/>
      <c r="GG648" s="3"/>
      <c r="GH648" s="3"/>
      <c r="GI648" s="3"/>
      <c r="GJ648" s="3"/>
      <c r="GK648" s="3"/>
      <c r="GL648" s="3"/>
      <c r="GM648" s="3"/>
      <c r="GN648" s="3"/>
      <c r="GO648" s="3"/>
      <c r="GP648" s="3"/>
      <c r="GQ648" s="3"/>
      <c r="GR648" s="3"/>
      <c r="GS648" s="3"/>
      <c r="GT648" s="3"/>
      <c r="GU648" s="3"/>
      <c r="GV648" s="3"/>
      <c r="GW648" s="3"/>
      <c r="GX648" s="3"/>
      <c r="GY648" s="3"/>
      <c r="GZ648" s="3"/>
      <c r="HA648" s="3"/>
      <c r="HB648" s="3"/>
    </row>
    <row r="649" spans="1:210" ht="15.75" customHeight="1">
      <c r="A649" s="50"/>
      <c r="B649" s="50"/>
      <c r="C649" s="50"/>
      <c r="D649" s="50"/>
      <c r="E649" s="50"/>
      <c r="F649" s="50"/>
      <c r="G649" s="51"/>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c r="AR649" s="50"/>
      <c r="AS649" s="50"/>
      <c r="AT649" s="50"/>
      <c r="AU649" s="50"/>
      <c r="AV649" s="50"/>
      <c r="AW649" s="50"/>
      <c r="AX649" s="50"/>
      <c r="AY649" s="50"/>
      <c r="AZ649" s="50"/>
      <c r="BA649" s="50"/>
      <c r="BB649" s="50"/>
      <c r="BC649" s="50"/>
      <c r="BD649" s="50"/>
      <c r="BE649" s="50"/>
      <c r="BF649" s="50"/>
      <c r="BG649" s="50"/>
      <c r="BH649" s="50"/>
      <c r="BI649" s="50"/>
      <c r="BJ649" s="50"/>
      <c r="BK649" s="50"/>
      <c r="BL649" s="50"/>
      <c r="BM649" s="50"/>
      <c r="BN649" s="50"/>
      <c r="BO649" s="50"/>
      <c r="BP649" s="50"/>
      <c r="BQ649" s="50"/>
      <c r="BR649" s="50"/>
      <c r="BS649" s="50"/>
      <c r="BT649" s="50"/>
      <c r="BU649" s="50"/>
      <c r="BV649" s="50"/>
      <c r="BW649" s="50"/>
      <c r="BX649" s="50"/>
      <c r="BY649" s="50"/>
      <c r="BZ649" s="50"/>
      <c r="CA649" s="50"/>
      <c r="CB649" s="50"/>
      <c r="CC649" s="50"/>
      <c r="CD649" s="52"/>
      <c r="CE649" s="50"/>
      <c r="CF649" s="50"/>
      <c r="CG649" s="50"/>
      <c r="CH649" s="50"/>
      <c r="CI649" s="50"/>
      <c r="CJ649" s="50"/>
      <c r="CK649" s="50"/>
      <c r="CL649" s="50"/>
      <c r="CM649" s="50"/>
      <c r="CN649" s="50"/>
      <c r="CO649" s="50"/>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c r="FF649" s="3"/>
      <c r="FG649" s="3"/>
      <c r="FH649" s="3"/>
      <c r="FI649" s="3"/>
      <c r="FJ649" s="3"/>
      <c r="FK649" s="3"/>
      <c r="FL649" s="3"/>
      <c r="FM649" s="3"/>
      <c r="FN649" s="3"/>
      <c r="FO649" s="3"/>
      <c r="FP649" s="3"/>
      <c r="FQ649" s="3"/>
      <c r="FR649" s="3"/>
      <c r="FS649" s="3"/>
      <c r="FT649" s="3"/>
      <c r="FU649" s="3"/>
      <c r="FV649" s="3"/>
      <c r="FW649" s="3"/>
      <c r="FX649" s="3"/>
      <c r="FY649" s="3"/>
      <c r="FZ649" s="3"/>
      <c r="GA649" s="3"/>
      <c r="GB649" s="3"/>
      <c r="GC649" s="3"/>
      <c r="GD649" s="3"/>
      <c r="GE649" s="3"/>
      <c r="GF649" s="3"/>
      <c r="GG649" s="3"/>
      <c r="GH649" s="3"/>
      <c r="GI649" s="3"/>
      <c r="GJ649" s="3"/>
      <c r="GK649" s="3"/>
      <c r="GL649" s="3"/>
      <c r="GM649" s="3"/>
      <c r="GN649" s="3"/>
      <c r="GO649" s="3"/>
      <c r="GP649" s="3"/>
      <c r="GQ649" s="3"/>
      <c r="GR649" s="3"/>
      <c r="GS649" s="3"/>
      <c r="GT649" s="3"/>
      <c r="GU649" s="3"/>
      <c r="GV649" s="3"/>
      <c r="GW649" s="3"/>
      <c r="GX649" s="3"/>
      <c r="GY649" s="3"/>
      <c r="GZ649" s="3"/>
      <c r="HA649" s="3"/>
      <c r="HB649" s="3"/>
    </row>
    <row r="650" spans="1:210" ht="15.75" customHeight="1">
      <c r="A650" s="50"/>
      <c r="B650" s="50"/>
      <c r="C650" s="50"/>
      <c r="D650" s="50"/>
      <c r="E650" s="50"/>
      <c r="F650" s="50"/>
      <c r="G650" s="51"/>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c r="AR650" s="50"/>
      <c r="AS650" s="50"/>
      <c r="AT650" s="50"/>
      <c r="AU650" s="50"/>
      <c r="AV650" s="50"/>
      <c r="AW650" s="50"/>
      <c r="AX650" s="50"/>
      <c r="AY650" s="50"/>
      <c r="AZ650" s="50"/>
      <c r="BA650" s="50"/>
      <c r="BB650" s="50"/>
      <c r="BC650" s="50"/>
      <c r="BD650" s="50"/>
      <c r="BE650" s="50"/>
      <c r="BF650" s="50"/>
      <c r="BG650" s="50"/>
      <c r="BH650" s="50"/>
      <c r="BI650" s="50"/>
      <c r="BJ650" s="50"/>
      <c r="BK650" s="50"/>
      <c r="BL650" s="50"/>
      <c r="BM650" s="50"/>
      <c r="BN650" s="50"/>
      <c r="BO650" s="50"/>
      <c r="BP650" s="50"/>
      <c r="BQ650" s="50"/>
      <c r="BR650" s="50"/>
      <c r="BS650" s="50"/>
      <c r="BT650" s="50"/>
      <c r="BU650" s="50"/>
      <c r="BV650" s="50"/>
      <c r="BW650" s="50"/>
      <c r="BX650" s="50"/>
      <c r="BY650" s="50"/>
      <c r="BZ650" s="50"/>
      <c r="CA650" s="50"/>
      <c r="CB650" s="50"/>
      <c r="CC650" s="50"/>
      <c r="CD650" s="52"/>
      <c r="CE650" s="50"/>
      <c r="CF650" s="50"/>
      <c r="CG650" s="50"/>
      <c r="CH650" s="50"/>
      <c r="CI650" s="50"/>
      <c r="CJ650" s="50"/>
      <c r="CK650" s="50"/>
      <c r="CL650" s="50"/>
      <c r="CM650" s="50"/>
      <c r="CN650" s="50"/>
      <c r="CO650" s="50"/>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c r="FF650" s="3"/>
      <c r="FG650" s="3"/>
      <c r="FH650" s="3"/>
      <c r="FI650" s="3"/>
      <c r="FJ650" s="3"/>
      <c r="FK650" s="3"/>
      <c r="FL650" s="3"/>
      <c r="FM650" s="3"/>
      <c r="FN650" s="3"/>
      <c r="FO650" s="3"/>
      <c r="FP650" s="3"/>
      <c r="FQ650" s="3"/>
      <c r="FR650" s="3"/>
      <c r="FS650" s="3"/>
      <c r="FT650" s="3"/>
      <c r="FU650" s="3"/>
      <c r="FV650" s="3"/>
      <c r="FW650" s="3"/>
      <c r="FX650" s="3"/>
      <c r="FY650" s="3"/>
      <c r="FZ650" s="3"/>
      <c r="GA650" s="3"/>
      <c r="GB650" s="3"/>
      <c r="GC650" s="3"/>
      <c r="GD650" s="3"/>
      <c r="GE650" s="3"/>
      <c r="GF650" s="3"/>
      <c r="GG650" s="3"/>
      <c r="GH650" s="3"/>
      <c r="GI650" s="3"/>
      <c r="GJ650" s="3"/>
      <c r="GK650" s="3"/>
      <c r="GL650" s="3"/>
      <c r="GM650" s="3"/>
      <c r="GN650" s="3"/>
      <c r="GO650" s="3"/>
      <c r="GP650" s="3"/>
      <c r="GQ650" s="3"/>
      <c r="GR650" s="3"/>
      <c r="GS650" s="3"/>
      <c r="GT650" s="3"/>
      <c r="GU650" s="3"/>
      <c r="GV650" s="3"/>
      <c r="GW650" s="3"/>
      <c r="GX650" s="3"/>
      <c r="GY650" s="3"/>
      <c r="GZ650" s="3"/>
      <c r="HA650" s="3"/>
      <c r="HB650" s="3"/>
    </row>
    <row r="651" spans="1:210" ht="15.75" customHeight="1">
      <c r="A651" s="50"/>
      <c r="B651" s="50"/>
      <c r="C651" s="50"/>
      <c r="D651" s="50"/>
      <c r="E651" s="50"/>
      <c r="F651" s="50"/>
      <c r="G651" s="51"/>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c r="AR651" s="50"/>
      <c r="AS651" s="50"/>
      <c r="AT651" s="50"/>
      <c r="AU651" s="50"/>
      <c r="AV651" s="50"/>
      <c r="AW651" s="50"/>
      <c r="AX651" s="50"/>
      <c r="AY651" s="50"/>
      <c r="AZ651" s="50"/>
      <c r="BA651" s="50"/>
      <c r="BB651" s="50"/>
      <c r="BC651" s="50"/>
      <c r="BD651" s="50"/>
      <c r="BE651" s="50"/>
      <c r="BF651" s="50"/>
      <c r="BG651" s="50"/>
      <c r="BH651" s="50"/>
      <c r="BI651" s="50"/>
      <c r="BJ651" s="50"/>
      <c r="BK651" s="50"/>
      <c r="BL651" s="50"/>
      <c r="BM651" s="50"/>
      <c r="BN651" s="50"/>
      <c r="BO651" s="50"/>
      <c r="BP651" s="50"/>
      <c r="BQ651" s="50"/>
      <c r="BR651" s="50"/>
      <c r="BS651" s="50"/>
      <c r="BT651" s="50"/>
      <c r="BU651" s="50"/>
      <c r="BV651" s="50"/>
      <c r="BW651" s="50"/>
      <c r="BX651" s="50"/>
      <c r="BY651" s="50"/>
      <c r="BZ651" s="50"/>
      <c r="CA651" s="50"/>
      <c r="CB651" s="50"/>
      <c r="CC651" s="50"/>
      <c r="CD651" s="52"/>
      <c r="CE651" s="50"/>
      <c r="CF651" s="50"/>
      <c r="CG651" s="50"/>
      <c r="CH651" s="50"/>
      <c r="CI651" s="50"/>
      <c r="CJ651" s="50"/>
      <c r="CK651" s="50"/>
      <c r="CL651" s="50"/>
      <c r="CM651" s="50"/>
      <c r="CN651" s="50"/>
      <c r="CO651" s="50"/>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c r="FF651" s="3"/>
      <c r="FG651" s="3"/>
      <c r="FH651" s="3"/>
      <c r="FI651" s="3"/>
      <c r="FJ651" s="3"/>
      <c r="FK651" s="3"/>
      <c r="FL651" s="3"/>
      <c r="FM651" s="3"/>
      <c r="FN651" s="3"/>
      <c r="FO651" s="3"/>
      <c r="FP651" s="3"/>
      <c r="FQ651" s="3"/>
      <c r="FR651" s="3"/>
      <c r="FS651" s="3"/>
      <c r="FT651" s="3"/>
      <c r="FU651" s="3"/>
      <c r="FV651" s="3"/>
      <c r="FW651" s="3"/>
      <c r="FX651" s="3"/>
      <c r="FY651" s="3"/>
      <c r="FZ651" s="3"/>
      <c r="GA651" s="3"/>
      <c r="GB651" s="3"/>
      <c r="GC651" s="3"/>
      <c r="GD651" s="3"/>
      <c r="GE651" s="3"/>
      <c r="GF651" s="3"/>
      <c r="GG651" s="3"/>
      <c r="GH651" s="3"/>
      <c r="GI651" s="3"/>
      <c r="GJ651" s="3"/>
      <c r="GK651" s="3"/>
      <c r="GL651" s="3"/>
      <c r="GM651" s="3"/>
      <c r="GN651" s="3"/>
      <c r="GO651" s="3"/>
      <c r="GP651" s="3"/>
      <c r="GQ651" s="3"/>
      <c r="GR651" s="3"/>
      <c r="GS651" s="3"/>
      <c r="GT651" s="3"/>
      <c r="GU651" s="3"/>
      <c r="GV651" s="3"/>
      <c r="GW651" s="3"/>
      <c r="GX651" s="3"/>
      <c r="GY651" s="3"/>
      <c r="GZ651" s="3"/>
      <c r="HA651" s="3"/>
      <c r="HB651" s="3"/>
    </row>
    <row r="652" spans="1:210" ht="15.75" customHeight="1">
      <c r="A652" s="50"/>
      <c r="B652" s="50"/>
      <c r="C652" s="50"/>
      <c r="D652" s="50"/>
      <c r="E652" s="50"/>
      <c r="F652" s="50"/>
      <c r="G652" s="51"/>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c r="AR652" s="50"/>
      <c r="AS652" s="50"/>
      <c r="AT652" s="50"/>
      <c r="AU652" s="50"/>
      <c r="AV652" s="50"/>
      <c r="AW652" s="50"/>
      <c r="AX652" s="50"/>
      <c r="AY652" s="50"/>
      <c r="AZ652" s="50"/>
      <c r="BA652" s="50"/>
      <c r="BB652" s="50"/>
      <c r="BC652" s="50"/>
      <c r="BD652" s="50"/>
      <c r="BE652" s="50"/>
      <c r="BF652" s="50"/>
      <c r="BG652" s="50"/>
      <c r="BH652" s="50"/>
      <c r="BI652" s="50"/>
      <c r="BJ652" s="50"/>
      <c r="BK652" s="50"/>
      <c r="BL652" s="50"/>
      <c r="BM652" s="50"/>
      <c r="BN652" s="50"/>
      <c r="BO652" s="50"/>
      <c r="BP652" s="50"/>
      <c r="BQ652" s="50"/>
      <c r="BR652" s="50"/>
      <c r="BS652" s="50"/>
      <c r="BT652" s="50"/>
      <c r="BU652" s="50"/>
      <c r="BV652" s="50"/>
      <c r="BW652" s="50"/>
      <c r="BX652" s="50"/>
      <c r="BY652" s="50"/>
      <c r="BZ652" s="50"/>
      <c r="CA652" s="50"/>
      <c r="CB652" s="50"/>
      <c r="CC652" s="50"/>
      <c r="CD652" s="52"/>
      <c r="CE652" s="50"/>
      <c r="CF652" s="50"/>
      <c r="CG652" s="50"/>
      <c r="CH652" s="50"/>
      <c r="CI652" s="50"/>
      <c r="CJ652" s="50"/>
      <c r="CK652" s="50"/>
      <c r="CL652" s="50"/>
      <c r="CM652" s="50"/>
      <c r="CN652" s="50"/>
      <c r="CO652" s="50"/>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c r="FF652" s="3"/>
      <c r="FG652" s="3"/>
      <c r="FH652" s="3"/>
      <c r="FI652" s="3"/>
      <c r="FJ652" s="3"/>
      <c r="FK652" s="3"/>
      <c r="FL652" s="3"/>
      <c r="FM652" s="3"/>
      <c r="FN652" s="3"/>
      <c r="FO652" s="3"/>
      <c r="FP652" s="3"/>
      <c r="FQ652" s="3"/>
      <c r="FR652" s="3"/>
      <c r="FS652" s="3"/>
      <c r="FT652" s="3"/>
      <c r="FU652" s="3"/>
      <c r="FV652" s="3"/>
      <c r="FW652" s="3"/>
      <c r="FX652" s="3"/>
      <c r="FY652" s="3"/>
      <c r="FZ652" s="3"/>
      <c r="GA652" s="3"/>
      <c r="GB652" s="3"/>
      <c r="GC652" s="3"/>
      <c r="GD652" s="3"/>
      <c r="GE652" s="3"/>
      <c r="GF652" s="3"/>
      <c r="GG652" s="3"/>
      <c r="GH652" s="3"/>
      <c r="GI652" s="3"/>
      <c r="GJ652" s="3"/>
      <c r="GK652" s="3"/>
      <c r="GL652" s="3"/>
      <c r="GM652" s="3"/>
      <c r="GN652" s="3"/>
      <c r="GO652" s="3"/>
      <c r="GP652" s="3"/>
      <c r="GQ652" s="3"/>
      <c r="GR652" s="3"/>
      <c r="GS652" s="3"/>
      <c r="GT652" s="3"/>
      <c r="GU652" s="3"/>
      <c r="GV652" s="3"/>
      <c r="GW652" s="3"/>
      <c r="GX652" s="3"/>
      <c r="GY652" s="3"/>
      <c r="GZ652" s="3"/>
      <c r="HA652" s="3"/>
      <c r="HB652" s="3"/>
    </row>
    <row r="653" spans="1:210" ht="15.75" customHeight="1">
      <c r="A653" s="50"/>
      <c r="B653" s="50"/>
      <c r="C653" s="50"/>
      <c r="D653" s="50"/>
      <c r="E653" s="50"/>
      <c r="F653" s="50"/>
      <c r="G653" s="51"/>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c r="AR653" s="50"/>
      <c r="AS653" s="50"/>
      <c r="AT653" s="50"/>
      <c r="AU653" s="50"/>
      <c r="AV653" s="50"/>
      <c r="AW653" s="50"/>
      <c r="AX653" s="50"/>
      <c r="AY653" s="50"/>
      <c r="AZ653" s="50"/>
      <c r="BA653" s="50"/>
      <c r="BB653" s="50"/>
      <c r="BC653" s="50"/>
      <c r="BD653" s="50"/>
      <c r="BE653" s="50"/>
      <c r="BF653" s="50"/>
      <c r="BG653" s="50"/>
      <c r="BH653" s="50"/>
      <c r="BI653" s="50"/>
      <c r="BJ653" s="50"/>
      <c r="BK653" s="50"/>
      <c r="BL653" s="50"/>
      <c r="BM653" s="50"/>
      <c r="BN653" s="50"/>
      <c r="BO653" s="50"/>
      <c r="BP653" s="50"/>
      <c r="BQ653" s="50"/>
      <c r="BR653" s="50"/>
      <c r="BS653" s="50"/>
      <c r="BT653" s="50"/>
      <c r="BU653" s="50"/>
      <c r="BV653" s="50"/>
      <c r="BW653" s="50"/>
      <c r="BX653" s="50"/>
      <c r="BY653" s="50"/>
      <c r="BZ653" s="50"/>
      <c r="CA653" s="50"/>
      <c r="CB653" s="50"/>
      <c r="CC653" s="50"/>
      <c r="CD653" s="52"/>
      <c r="CE653" s="50"/>
      <c r="CF653" s="50"/>
      <c r="CG653" s="50"/>
      <c r="CH653" s="50"/>
      <c r="CI653" s="50"/>
      <c r="CJ653" s="50"/>
      <c r="CK653" s="50"/>
      <c r="CL653" s="50"/>
      <c r="CM653" s="50"/>
      <c r="CN653" s="50"/>
      <c r="CO653" s="50"/>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c r="FF653" s="3"/>
      <c r="FG653" s="3"/>
      <c r="FH653" s="3"/>
      <c r="FI653" s="3"/>
      <c r="FJ653" s="3"/>
      <c r="FK653" s="3"/>
      <c r="FL653" s="3"/>
      <c r="FM653" s="3"/>
      <c r="FN653" s="3"/>
      <c r="FO653" s="3"/>
      <c r="FP653" s="3"/>
      <c r="FQ653" s="3"/>
      <c r="FR653" s="3"/>
      <c r="FS653" s="3"/>
      <c r="FT653" s="3"/>
      <c r="FU653" s="3"/>
      <c r="FV653" s="3"/>
      <c r="FW653" s="3"/>
      <c r="FX653" s="3"/>
      <c r="FY653" s="3"/>
      <c r="FZ653" s="3"/>
      <c r="GA653" s="3"/>
      <c r="GB653" s="3"/>
      <c r="GC653" s="3"/>
      <c r="GD653" s="3"/>
      <c r="GE653" s="3"/>
      <c r="GF653" s="3"/>
      <c r="GG653" s="3"/>
      <c r="GH653" s="3"/>
      <c r="GI653" s="3"/>
      <c r="GJ653" s="3"/>
      <c r="GK653" s="3"/>
      <c r="GL653" s="3"/>
      <c r="GM653" s="3"/>
      <c r="GN653" s="3"/>
      <c r="GO653" s="3"/>
      <c r="GP653" s="3"/>
      <c r="GQ653" s="3"/>
      <c r="GR653" s="3"/>
      <c r="GS653" s="3"/>
      <c r="GT653" s="3"/>
      <c r="GU653" s="3"/>
      <c r="GV653" s="3"/>
      <c r="GW653" s="3"/>
      <c r="GX653" s="3"/>
      <c r="GY653" s="3"/>
      <c r="GZ653" s="3"/>
      <c r="HA653" s="3"/>
      <c r="HB653" s="3"/>
    </row>
    <row r="654" spans="1:210" ht="15.75" customHeight="1">
      <c r="A654" s="50"/>
      <c r="B654" s="50"/>
      <c r="C654" s="50"/>
      <c r="D654" s="50"/>
      <c r="E654" s="50"/>
      <c r="F654" s="50"/>
      <c r="G654" s="51"/>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c r="AR654" s="50"/>
      <c r="AS654" s="50"/>
      <c r="AT654" s="50"/>
      <c r="AU654" s="50"/>
      <c r="AV654" s="50"/>
      <c r="AW654" s="50"/>
      <c r="AX654" s="50"/>
      <c r="AY654" s="50"/>
      <c r="AZ654" s="50"/>
      <c r="BA654" s="50"/>
      <c r="BB654" s="50"/>
      <c r="BC654" s="50"/>
      <c r="BD654" s="50"/>
      <c r="BE654" s="50"/>
      <c r="BF654" s="50"/>
      <c r="BG654" s="50"/>
      <c r="BH654" s="50"/>
      <c r="BI654" s="50"/>
      <c r="BJ654" s="50"/>
      <c r="BK654" s="50"/>
      <c r="BL654" s="50"/>
      <c r="BM654" s="50"/>
      <c r="BN654" s="50"/>
      <c r="BO654" s="50"/>
      <c r="BP654" s="50"/>
      <c r="BQ654" s="50"/>
      <c r="BR654" s="50"/>
      <c r="BS654" s="50"/>
      <c r="BT654" s="50"/>
      <c r="BU654" s="50"/>
      <c r="BV654" s="50"/>
      <c r="BW654" s="50"/>
      <c r="BX654" s="50"/>
      <c r="BY654" s="50"/>
      <c r="BZ654" s="50"/>
      <c r="CA654" s="50"/>
      <c r="CB654" s="50"/>
      <c r="CC654" s="50"/>
      <c r="CD654" s="52"/>
      <c r="CE654" s="50"/>
      <c r="CF654" s="50"/>
      <c r="CG654" s="50"/>
      <c r="CH654" s="50"/>
      <c r="CI654" s="50"/>
      <c r="CJ654" s="50"/>
      <c r="CK654" s="50"/>
      <c r="CL654" s="50"/>
      <c r="CM654" s="50"/>
      <c r="CN654" s="50"/>
      <c r="CO654" s="50"/>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c r="FF654" s="3"/>
      <c r="FG654" s="3"/>
      <c r="FH654" s="3"/>
      <c r="FI654" s="3"/>
      <c r="FJ654" s="3"/>
      <c r="FK654" s="3"/>
      <c r="FL654" s="3"/>
      <c r="FM654" s="3"/>
      <c r="FN654" s="3"/>
      <c r="FO654" s="3"/>
      <c r="FP654" s="3"/>
      <c r="FQ654" s="3"/>
      <c r="FR654" s="3"/>
      <c r="FS654" s="3"/>
      <c r="FT654" s="3"/>
      <c r="FU654" s="3"/>
      <c r="FV654" s="3"/>
      <c r="FW654" s="3"/>
      <c r="FX654" s="3"/>
      <c r="FY654" s="3"/>
      <c r="FZ654" s="3"/>
      <c r="GA654" s="3"/>
      <c r="GB654" s="3"/>
      <c r="GC654" s="3"/>
      <c r="GD654" s="3"/>
      <c r="GE654" s="3"/>
      <c r="GF654" s="3"/>
      <c r="GG654" s="3"/>
      <c r="GH654" s="3"/>
      <c r="GI654" s="3"/>
      <c r="GJ654" s="3"/>
      <c r="GK654" s="3"/>
      <c r="GL654" s="3"/>
      <c r="GM654" s="3"/>
      <c r="GN654" s="3"/>
      <c r="GO654" s="3"/>
      <c r="GP654" s="3"/>
      <c r="GQ654" s="3"/>
      <c r="GR654" s="3"/>
      <c r="GS654" s="3"/>
      <c r="GT654" s="3"/>
      <c r="GU654" s="3"/>
      <c r="GV654" s="3"/>
      <c r="GW654" s="3"/>
      <c r="GX654" s="3"/>
      <c r="GY654" s="3"/>
      <c r="GZ654" s="3"/>
      <c r="HA654" s="3"/>
      <c r="HB654" s="3"/>
    </row>
    <row r="655" spans="1:210" ht="15.75" customHeight="1">
      <c r="A655" s="50"/>
      <c r="B655" s="50"/>
      <c r="C655" s="50"/>
      <c r="D655" s="50"/>
      <c r="E655" s="50"/>
      <c r="F655" s="50"/>
      <c r="G655" s="51"/>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c r="AR655" s="50"/>
      <c r="AS655" s="50"/>
      <c r="AT655" s="50"/>
      <c r="AU655" s="50"/>
      <c r="AV655" s="50"/>
      <c r="AW655" s="50"/>
      <c r="AX655" s="50"/>
      <c r="AY655" s="50"/>
      <c r="AZ655" s="50"/>
      <c r="BA655" s="50"/>
      <c r="BB655" s="50"/>
      <c r="BC655" s="50"/>
      <c r="BD655" s="50"/>
      <c r="BE655" s="50"/>
      <c r="BF655" s="50"/>
      <c r="BG655" s="50"/>
      <c r="BH655" s="50"/>
      <c r="BI655" s="50"/>
      <c r="BJ655" s="50"/>
      <c r="BK655" s="50"/>
      <c r="BL655" s="50"/>
      <c r="BM655" s="50"/>
      <c r="BN655" s="50"/>
      <c r="BO655" s="50"/>
      <c r="BP655" s="50"/>
      <c r="BQ655" s="50"/>
      <c r="BR655" s="50"/>
      <c r="BS655" s="50"/>
      <c r="BT655" s="50"/>
      <c r="BU655" s="50"/>
      <c r="BV655" s="50"/>
      <c r="BW655" s="50"/>
      <c r="BX655" s="50"/>
      <c r="BY655" s="50"/>
      <c r="BZ655" s="50"/>
      <c r="CA655" s="50"/>
      <c r="CB655" s="50"/>
      <c r="CC655" s="50"/>
      <c r="CD655" s="52"/>
      <c r="CE655" s="50"/>
      <c r="CF655" s="50"/>
      <c r="CG655" s="50"/>
      <c r="CH655" s="50"/>
      <c r="CI655" s="50"/>
      <c r="CJ655" s="50"/>
      <c r="CK655" s="50"/>
      <c r="CL655" s="50"/>
      <c r="CM655" s="50"/>
      <c r="CN655" s="50"/>
      <c r="CO655" s="50"/>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c r="FF655" s="3"/>
      <c r="FG655" s="3"/>
      <c r="FH655" s="3"/>
      <c r="FI655" s="3"/>
      <c r="FJ655" s="3"/>
      <c r="FK655" s="3"/>
      <c r="FL655" s="3"/>
      <c r="FM655" s="3"/>
      <c r="FN655" s="3"/>
      <c r="FO655" s="3"/>
      <c r="FP655" s="3"/>
      <c r="FQ655" s="3"/>
      <c r="FR655" s="3"/>
      <c r="FS655" s="3"/>
      <c r="FT655" s="3"/>
      <c r="FU655" s="3"/>
      <c r="FV655" s="3"/>
      <c r="FW655" s="3"/>
      <c r="FX655" s="3"/>
      <c r="FY655" s="3"/>
      <c r="FZ655" s="3"/>
      <c r="GA655" s="3"/>
      <c r="GB655" s="3"/>
      <c r="GC655" s="3"/>
      <c r="GD655" s="3"/>
      <c r="GE655" s="3"/>
      <c r="GF655" s="3"/>
      <c r="GG655" s="3"/>
      <c r="GH655" s="3"/>
      <c r="GI655" s="3"/>
      <c r="GJ655" s="3"/>
      <c r="GK655" s="3"/>
      <c r="GL655" s="3"/>
      <c r="GM655" s="3"/>
      <c r="GN655" s="3"/>
      <c r="GO655" s="3"/>
      <c r="GP655" s="3"/>
      <c r="GQ655" s="3"/>
      <c r="GR655" s="3"/>
      <c r="GS655" s="3"/>
      <c r="GT655" s="3"/>
      <c r="GU655" s="3"/>
      <c r="GV655" s="3"/>
      <c r="GW655" s="3"/>
      <c r="GX655" s="3"/>
      <c r="GY655" s="3"/>
      <c r="GZ655" s="3"/>
      <c r="HA655" s="3"/>
      <c r="HB655" s="3"/>
    </row>
    <row r="656" spans="1:210" ht="15.75" customHeight="1">
      <c r="A656" s="50"/>
      <c r="B656" s="50"/>
      <c r="C656" s="50"/>
      <c r="D656" s="50"/>
      <c r="E656" s="50"/>
      <c r="F656" s="50"/>
      <c r="G656" s="51"/>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c r="AR656" s="50"/>
      <c r="AS656" s="50"/>
      <c r="AT656" s="50"/>
      <c r="AU656" s="50"/>
      <c r="AV656" s="50"/>
      <c r="AW656" s="50"/>
      <c r="AX656" s="50"/>
      <c r="AY656" s="50"/>
      <c r="AZ656" s="50"/>
      <c r="BA656" s="50"/>
      <c r="BB656" s="50"/>
      <c r="BC656" s="50"/>
      <c r="BD656" s="50"/>
      <c r="BE656" s="50"/>
      <c r="BF656" s="50"/>
      <c r="BG656" s="50"/>
      <c r="BH656" s="50"/>
      <c r="BI656" s="50"/>
      <c r="BJ656" s="50"/>
      <c r="BK656" s="50"/>
      <c r="BL656" s="50"/>
      <c r="BM656" s="50"/>
      <c r="BN656" s="50"/>
      <c r="BO656" s="50"/>
      <c r="BP656" s="50"/>
      <c r="BQ656" s="50"/>
      <c r="BR656" s="50"/>
      <c r="BS656" s="50"/>
      <c r="BT656" s="50"/>
      <c r="BU656" s="50"/>
      <c r="BV656" s="50"/>
      <c r="BW656" s="50"/>
      <c r="BX656" s="50"/>
      <c r="BY656" s="50"/>
      <c r="BZ656" s="50"/>
      <c r="CA656" s="50"/>
      <c r="CB656" s="50"/>
      <c r="CC656" s="50"/>
      <c r="CD656" s="52"/>
      <c r="CE656" s="50"/>
      <c r="CF656" s="50"/>
      <c r="CG656" s="50"/>
      <c r="CH656" s="50"/>
      <c r="CI656" s="50"/>
      <c r="CJ656" s="50"/>
      <c r="CK656" s="50"/>
      <c r="CL656" s="50"/>
      <c r="CM656" s="50"/>
      <c r="CN656" s="50"/>
      <c r="CO656" s="50"/>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c r="FF656" s="3"/>
      <c r="FG656" s="3"/>
      <c r="FH656" s="3"/>
      <c r="FI656" s="3"/>
      <c r="FJ656" s="3"/>
      <c r="FK656" s="3"/>
      <c r="FL656" s="3"/>
      <c r="FM656" s="3"/>
      <c r="FN656" s="3"/>
      <c r="FO656" s="3"/>
      <c r="FP656" s="3"/>
      <c r="FQ656" s="3"/>
      <c r="FR656" s="3"/>
      <c r="FS656" s="3"/>
      <c r="FT656" s="3"/>
      <c r="FU656" s="3"/>
      <c r="FV656" s="3"/>
      <c r="FW656" s="3"/>
      <c r="FX656" s="3"/>
      <c r="FY656" s="3"/>
      <c r="FZ656" s="3"/>
      <c r="GA656" s="3"/>
      <c r="GB656" s="3"/>
      <c r="GC656" s="3"/>
      <c r="GD656" s="3"/>
      <c r="GE656" s="3"/>
      <c r="GF656" s="3"/>
      <c r="GG656" s="3"/>
      <c r="GH656" s="3"/>
      <c r="GI656" s="3"/>
      <c r="GJ656" s="3"/>
      <c r="GK656" s="3"/>
      <c r="GL656" s="3"/>
      <c r="GM656" s="3"/>
      <c r="GN656" s="3"/>
      <c r="GO656" s="3"/>
      <c r="GP656" s="3"/>
      <c r="GQ656" s="3"/>
      <c r="GR656" s="3"/>
      <c r="GS656" s="3"/>
      <c r="GT656" s="3"/>
      <c r="GU656" s="3"/>
      <c r="GV656" s="3"/>
      <c r="GW656" s="3"/>
      <c r="GX656" s="3"/>
      <c r="GY656" s="3"/>
      <c r="GZ656" s="3"/>
      <c r="HA656" s="3"/>
      <c r="HB656" s="3"/>
    </row>
    <row r="657" spans="1:210" ht="15.75" customHeight="1">
      <c r="A657" s="50"/>
      <c r="B657" s="50"/>
      <c r="C657" s="50"/>
      <c r="D657" s="50"/>
      <c r="E657" s="50"/>
      <c r="F657" s="50"/>
      <c r="G657" s="51"/>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c r="AR657" s="50"/>
      <c r="AS657" s="50"/>
      <c r="AT657" s="50"/>
      <c r="AU657" s="50"/>
      <c r="AV657" s="50"/>
      <c r="AW657" s="50"/>
      <c r="AX657" s="50"/>
      <c r="AY657" s="50"/>
      <c r="AZ657" s="50"/>
      <c r="BA657" s="50"/>
      <c r="BB657" s="50"/>
      <c r="BC657" s="50"/>
      <c r="BD657" s="50"/>
      <c r="BE657" s="50"/>
      <c r="BF657" s="50"/>
      <c r="BG657" s="50"/>
      <c r="BH657" s="50"/>
      <c r="BI657" s="50"/>
      <c r="BJ657" s="50"/>
      <c r="BK657" s="50"/>
      <c r="BL657" s="50"/>
      <c r="BM657" s="50"/>
      <c r="BN657" s="50"/>
      <c r="BO657" s="50"/>
      <c r="BP657" s="50"/>
      <c r="BQ657" s="50"/>
      <c r="BR657" s="50"/>
      <c r="BS657" s="50"/>
      <c r="BT657" s="50"/>
      <c r="BU657" s="50"/>
      <c r="BV657" s="50"/>
      <c r="BW657" s="50"/>
      <c r="BX657" s="50"/>
      <c r="BY657" s="50"/>
      <c r="BZ657" s="50"/>
      <c r="CA657" s="50"/>
      <c r="CB657" s="50"/>
      <c r="CC657" s="50"/>
      <c r="CD657" s="52"/>
      <c r="CE657" s="50"/>
      <c r="CF657" s="50"/>
      <c r="CG657" s="50"/>
      <c r="CH657" s="50"/>
      <c r="CI657" s="50"/>
      <c r="CJ657" s="50"/>
      <c r="CK657" s="50"/>
      <c r="CL657" s="50"/>
      <c r="CM657" s="50"/>
      <c r="CN657" s="50"/>
      <c r="CO657" s="50"/>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c r="FF657" s="3"/>
      <c r="FG657" s="3"/>
      <c r="FH657" s="3"/>
      <c r="FI657" s="3"/>
      <c r="FJ657" s="3"/>
      <c r="FK657" s="3"/>
      <c r="FL657" s="3"/>
      <c r="FM657" s="3"/>
      <c r="FN657" s="3"/>
      <c r="FO657" s="3"/>
      <c r="FP657" s="3"/>
      <c r="FQ657" s="3"/>
      <c r="FR657" s="3"/>
      <c r="FS657" s="3"/>
      <c r="FT657" s="3"/>
      <c r="FU657" s="3"/>
      <c r="FV657" s="3"/>
      <c r="FW657" s="3"/>
      <c r="FX657" s="3"/>
      <c r="FY657" s="3"/>
      <c r="FZ657" s="3"/>
      <c r="GA657" s="3"/>
      <c r="GB657" s="3"/>
      <c r="GC657" s="3"/>
      <c r="GD657" s="3"/>
      <c r="GE657" s="3"/>
      <c r="GF657" s="3"/>
      <c r="GG657" s="3"/>
      <c r="GH657" s="3"/>
      <c r="GI657" s="3"/>
      <c r="GJ657" s="3"/>
      <c r="GK657" s="3"/>
      <c r="GL657" s="3"/>
      <c r="GM657" s="3"/>
      <c r="GN657" s="3"/>
      <c r="GO657" s="3"/>
      <c r="GP657" s="3"/>
      <c r="GQ657" s="3"/>
      <c r="GR657" s="3"/>
      <c r="GS657" s="3"/>
      <c r="GT657" s="3"/>
      <c r="GU657" s="3"/>
      <c r="GV657" s="3"/>
      <c r="GW657" s="3"/>
      <c r="GX657" s="3"/>
      <c r="GY657" s="3"/>
      <c r="GZ657" s="3"/>
      <c r="HA657" s="3"/>
      <c r="HB657" s="3"/>
    </row>
    <row r="658" spans="1:210" ht="15.75" customHeight="1">
      <c r="A658" s="50"/>
      <c r="B658" s="50"/>
      <c r="C658" s="50"/>
      <c r="D658" s="50"/>
      <c r="E658" s="50"/>
      <c r="F658" s="50"/>
      <c r="G658" s="51"/>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c r="AR658" s="50"/>
      <c r="AS658" s="50"/>
      <c r="AT658" s="50"/>
      <c r="AU658" s="50"/>
      <c r="AV658" s="50"/>
      <c r="AW658" s="50"/>
      <c r="AX658" s="50"/>
      <c r="AY658" s="50"/>
      <c r="AZ658" s="50"/>
      <c r="BA658" s="50"/>
      <c r="BB658" s="50"/>
      <c r="BC658" s="50"/>
      <c r="BD658" s="50"/>
      <c r="BE658" s="50"/>
      <c r="BF658" s="50"/>
      <c r="BG658" s="50"/>
      <c r="BH658" s="50"/>
      <c r="BI658" s="50"/>
      <c r="BJ658" s="50"/>
      <c r="BK658" s="50"/>
      <c r="BL658" s="50"/>
      <c r="BM658" s="50"/>
      <c r="BN658" s="50"/>
      <c r="BO658" s="50"/>
      <c r="BP658" s="50"/>
      <c r="BQ658" s="50"/>
      <c r="BR658" s="50"/>
      <c r="BS658" s="50"/>
      <c r="BT658" s="50"/>
      <c r="BU658" s="50"/>
      <c r="BV658" s="50"/>
      <c r="BW658" s="50"/>
      <c r="BX658" s="50"/>
      <c r="BY658" s="50"/>
      <c r="BZ658" s="50"/>
      <c r="CA658" s="50"/>
      <c r="CB658" s="50"/>
      <c r="CC658" s="50"/>
      <c r="CD658" s="52"/>
      <c r="CE658" s="50"/>
      <c r="CF658" s="50"/>
      <c r="CG658" s="50"/>
      <c r="CH658" s="50"/>
      <c r="CI658" s="50"/>
      <c r="CJ658" s="50"/>
      <c r="CK658" s="50"/>
      <c r="CL658" s="50"/>
      <c r="CM658" s="50"/>
      <c r="CN658" s="50"/>
      <c r="CO658" s="50"/>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c r="FF658" s="3"/>
      <c r="FG658" s="3"/>
      <c r="FH658" s="3"/>
      <c r="FI658" s="3"/>
      <c r="FJ658" s="3"/>
      <c r="FK658" s="3"/>
      <c r="FL658" s="3"/>
      <c r="FM658" s="3"/>
      <c r="FN658" s="3"/>
      <c r="FO658" s="3"/>
      <c r="FP658" s="3"/>
      <c r="FQ658" s="3"/>
      <c r="FR658" s="3"/>
      <c r="FS658" s="3"/>
      <c r="FT658" s="3"/>
      <c r="FU658" s="3"/>
      <c r="FV658" s="3"/>
      <c r="FW658" s="3"/>
      <c r="FX658" s="3"/>
      <c r="FY658" s="3"/>
      <c r="FZ658" s="3"/>
      <c r="GA658" s="3"/>
      <c r="GB658" s="3"/>
      <c r="GC658" s="3"/>
      <c r="GD658" s="3"/>
      <c r="GE658" s="3"/>
      <c r="GF658" s="3"/>
      <c r="GG658" s="3"/>
      <c r="GH658" s="3"/>
      <c r="GI658" s="3"/>
      <c r="GJ658" s="3"/>
      <c r="GK658" s="3"/>
      <c r="GL658" s="3"/>
      <c r="GM658" s="3"/>
      <c r="GN658" s="3"/>
      <c r="GO658" s="3"/>
      <c r="GP658" s="3"/>
      <c r="GQ658" s="3"/>
      <c r="GR658" s="3"/>
      <c r="GS658" s="3"/>
      <c r="GT658" s="3"/>
      <c r="GU658" s="3"/>
      <c r="GV658" s="3"/>
      <c r="GW658" s="3"/>
      <c r="GX658" s="3"/>
      <c r="GY658" s="3"/>
      <c r="GZ658" s="3"/>
      <c r="HA658" s="3"/>
      <c r="HB658" s="3"/>
    </row>
    <row r="659" spans="1:210" ht="15.75" customHeight="1">
      <c r="A659" s="50"/>
      <c r="B659" s="50"/>
      <c r="C659" s="50"/>
      <c r="D659" s="50"/>
      <c r="E659" s="50"/>
      <c r="F659" s="50"/>
      <c r="G659" s="51"/>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c r="AR659" s="50"/>
      <c r="AS659" s="50"/>
      <c r="AT659" s="50"/>
      <c r="AU659" s="50"/>
      <c r="AV659" s="50"/>
      <c r="AW659" s="50"/>
      <c r="AX659" s="50"/>
      <c r="AY659" s="50"/>
      <c r="AZ659" s="50"/>
      <c r="BA659" s="50"/>
      <c r="BB659" s="50"/>
      <c r="BC659" s="50"/>
      <c r="BD659" s="50"/>
      <c r="BE659" s="50"/>
      <c r="BF659" s="50"/>
      <c r="BG659" s="50"/>
      <c r="BH659" s="50"/>
      <c r="BI659" s="50"/>
      <c r="BJ659" s="50"/>
      <c r="BK659" s="50"/>
      <c r="BL659" s="50"/>
      <c r="BM659" s="50"/>
      <c r="BN659" s="50"/>
      <c r="BO659" s="50"/>
      <c r="BP659" s="50"/>
      <c r="BQ659" s="50"/>
      <c r="BR659" s="50"/>
      <c r="BS659" s="50"/>
      <c r="BT659" s="50"/>
      <c r="BU659" s="50"/>
      <c r="BV659" s="50"/>
      <c r="BW659" s="50"/>
      <c r="BX659" s="50"/>
      <c r="BY659" s="50"/>
      <c r="BZ659" s="50"/>
      <c r="CA659" s="50"/>
      <c r="CB659" s="50"/>
      <c r="CC659" s="50"/>
      <c r="CD659" s="52"/>
      <c r="CE659" s="50"/>
      <c r="CF659" s="50"/>
      <c r="CG659" s="50"/>
      <c r="CH659" s="50"/>
      <c r="CI659" s="50"/>
      <c r="CJ659" s="50"/>
      <c r="CK659" s="50"/>
      <c r="CL659" s="50"/>
      <c r="CM659" s="50"/>
      <c r="CN659" s="50"/>
      <c r="CO659" s="50"/>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c r="FF659" s="3"/>
      <c r="FG659" s="3"/>
      <c r="FH659" s="3"/>
      <c r="FI659" s="3"/>
      <c r="FJ659" s="3"/>
      <c r="FK659" s="3"/>
      <c r="FL659" s="3"/>
      <c r="FM659" s="3"/>
      <c r="FN659" s="3"/>
      <c r="FO659" s="3"/>
      <c r="FP659" s="3"/>
      <c r="FQ659" s="3"/>
      <c r="FR659" s="3"/>
      <c r="FS659" s="3"/>
      <c r="FT659" s="3"/>
      <c r="FU659" s="3"/>
      <c r="FV659" s="3"/>
      <c r="FW659" s="3"/>
      <c r="FX659" s="3"/>
      <c r="FY659" s="3"/>
      <c r="FZ659" s="3"/>
      <c r="GA659" s="3"/>
      <c r="GB659" s="3"/>
      <c r="GC659" s="3"/>
      <c r="GD659" s="3"/>
      <c r="GE659" s="3"/>
      <c r="GF659" s="3"/>
      <c r="GG659" s="3"/>
      <c r="GH659" s="3"/>
      <c r="GI659" s="3"/>
      <c r="GJ659" s="3"/>
      <c r="GK659" s="3"/>
      <c r="GL659" s="3"/>
      <c r="GM659" s="3"/>
      <c r="GN659" s="3"/>
      <c r="GO659" s="3"/>
      <c r="GP659" s="3"/>
      <c r="GQ659" s="3"/>
      <c r="GR659" s="3"/>
      <c r="GS659" s="3"/>
      <c r="GT659" s="3"/>
      <c r="GU659" s="3"/>
      <c r="GV659" s="3"/>
      <c r="GW659" s="3"/>
      <c r="GX659" s="3"/>
      <c r="GY659" s="3"/>
      <c r="GZ659" s="3"/>
      <c r="HA659" s="3"/>
      <c r="HB659" s="3"/>
    </row>
    <row r="660" spans="1:210" ht="15.75" customHeight="1">
      <c r="A660" s="50"/>
      <c r="B660" s="50"/>
      <c r="C660" s="50"/>
      <c r="D660" s="50"/>
      <c r="E660" s="50"/>
      <c r="F660" s="50"/>
      <c r="G660" s="51"/>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c r="AR660" s="50"/>
      <c r="AS660" s="50"/>
      <c r="AT660" s="50"/>
      <c r="AU660" s="50"/>
      <c r="AV660" s="50"/>
      <c r="AW660" s="50"/>
      <c r="AX660" s="50"/>
      <c r="AY660" s="50"/>
      <c r="AZ660" s="50"/>
      <c r="BA660" s="50"/>
      <c r="BB660" s="50"/>
      <c r="BC660" s="50"/>
      <c r="BD660" s="50"/>
      <c r="BE660" s="50"/>
      <c r="BF660" s="50"/>
      <c r="BG660" s="50"/>
      <c r="BH660" s="50"/>
      <c r="BI660" s="50"/>
      <c r="BJ660" s="50"/>
      <c r="BK660" s="50"/>
      <c r="BL660" s="50"/>
      <c r="BM660" s="50"/>
      <c r="BN660" s="50"/>
      <c r="BO660" s="50"/>
      <c r="BP660" s="50"/>
      <c r="BQ660" s="50"/>
      <c r="BR660" s="50"/>
      <c r="BS660" s="50"/>
      <c r="BT660" s="50"/>
      <c r="BU660" s="50"/>
      <c r="BV660" s="50"/>
      <c r="BW660" s="50"/>
      <c r="BX660" s="50"/>
      <c r="BY660" s="50"/>
      <c r="BZ660" s="50"/>
      <c r="CA660" s="50"/>
      <c r="CB660" s="50"/>
      <c r="CC660" s="50"/>
      <c r="CD660" s="52"/>
      <c r="CE660" s="50"/>
      <c r="CF660" s="50"/>
      <c r="CG660" s="50"/>
      <c r="CH660" s="50"/>
      <c r="CI660" s="50"/>
      <c r="CJ660" s="50"/>
      <c r="CK660" s="50"/>
      <c r="CL660" s="50"/>
      <c r="CM660" s="50"/>
      <c r="CN660" s="50"/>
      <c r="CO660" s="50"/>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c r="FF660" s="3"/>
      <c r="FG660" s="3"/>
      <c r="FH660" s="3"/>
      <c r="FI660" s="3"/>
      <c r="FJ660" s="3"/>
      <c r="FK660" s="3"/>
      <c r="FL660" s="3"/>
      <c r="FM660" s="3"/>
      <c r="FN660" s="3"/>
      <c r="FO660" s="3"/>
      <c r="FP660" s="3"/>
      <c r="FQ660" s="3"/>
      <c r="FR660" s="3"/>
      <c r="FS660" s="3"/>
      <c r="FT660" s="3"/>
      <c r="FU660" s="3"/>
      <c r="FV660" s="3"/>
      <c r="FW660" s="3"/>
      <c r="FX660" s="3"/>
      <c r="FY660" s="3"/>
      <c r="FZ660" s="3"/>
      <c r="GA660" s="3"/>
      <c r="GB660" s="3"/>
      <c r="GC660" s="3"/>
      <c r="GD660" s="3"/>
      <c r="GE660" s="3"/>
      <c r="GF660" s="3"/>
      <c r="GG660" s="3"/>
      <c r="GH660" s="3"/>
      <c r="GI660" s="3"/>
      <c r="GJ660" s="3"/>
      <c r="GK660" s="3"/>
      <c r="GL660" s="3"/>
      <c r="GM660" s="3"/>
      <c r="GN660" s="3"/>
      <c r="GO660" s="3"/>
      <c r="GP660" s="3"/>
      <c r="GQ660" s="3"/>
      <c r="GR660" s="3"/>
      <c r="GS660" s="3"/>
      <c r="GT660" s="3"/>
      <c r="GU660" s="3"/>
      <c r="GV660" s="3"/>
      <c r="GW660" s="3"/>
      <c r="GX660" s="3"/>
      <c r="GY660" s="3"/>
      <c r="GZ660" s="3"/>
      <c r="HA660" s="3"/>
      <c r="HB660" s="3"/>
    </row>
    <row r="661" spans="1:210" ht="15.75" customHeight="1">
      <c r="A661" s="50"/>
      <c r="B661" s="50"/>
      <c r="C661" s="50"/>
      <c r="D661" s="50"/>
      <c r="E661" s="50"/>
      <c r="F661" s="50"/>
      <c r="G661" s="51"/>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c r="AR661" s="50"/>
      <c r="AS661" s="50"/>
      <c r="AT661" s="50"/>
      <c r="AU661" s="50"/>
      <c r="AV661" s="50"/>
      <c r="AW661" s="50"/>
      <c r="AX661" s="50"/>
      <c r="AY661" s="50"/>
      <c r="AZ661" s="50"/>
      <c r="BA661" s="50"/>
      <c r="BB661" s="50"/>
      <c r="BC661" s="50"/>
      <c r="BD661" s="50"/>
      <c r="BE661" s="50"/>
      <c r="BF661" s="50"/>
      <c r="BG661" s="50"/>
      <c r="BH661" s="50"/>
      <c r="BI661" s="50"/>
      <c r="BJ661" s="50"/>
      <c r="BK661" s="50"/>
      <c r="BL661" s="50"/>
      <c r="BM661" s="50"/>
      <c r="BN661" s="50"/>
      <c r="BO661" s="50"/>
      <c r="BP661" s="50"/>
      <c r="BQ661" s="50"/>
      <c r="BR661" s="50"/>
      <c r="BS661" s="50"/>
      <c r="BT661" s="50"/>
      <c r="BU661" s="50"/>
      <c r="BV661" s="50"/>
      <c r="BW661" s="50"/>
      <c r="BX661" s="50"/>
      <c r="BY661" s="50"/>
      <c r="BZ661" s="50"/>
      <c r="CA661" s="50"/>
      <c r="CB661" s="50"/>
      <c r="CC661" s="50"/>
      <c r="CD661" s="52"/>
      <c r="CE661" s="50"/>
      <c r="CF661" s="50"/>
      <c r="CG661" s="50"/>
      <c r="CH661" s="50"/>
      <c r="CI661" s="50"/>
      <c r="CJ661" s="50"/>
      <c r="CK661" s="50"/>
      <c r="CL661" s="50"/>
      <c r="CM661" s="50"/>
      <c r="CN661" s="50"/>
      <c r="CO661" s="50"/>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c r="FF661" s="3"/>
      <c r="FG661" s="3"/>
      <c r="FH661" s="3"/>
      <c r="FI661" s="3"/>
      <c r="FJ661" s="3"/>
      <c r="FK661" s="3"/>
      <c r="FL661" s="3"/>
      <c r="FM661" s="3"/>
      <c r="FN661" s="3"/>
      <c r="FO661" s="3"/>
      <c r="FP661" s="3"/>
      <c r="FQ661" s="3"/>
      <c r="FR661" s="3"/>
      <c r="FS661" s="3"/>
      <c r="FT661" s="3"/>
      <c r="FU661" s="3"/>
      <c r="FV661" s="3"/>
      <c r="FW661" s="3"/>
      <c r="FX661" s="3"/>
      <c r="FY661" s="3"/>
      <c r="FZ661" s="3"/>
      <c r="GA661" s="3"/>
      <c r="GB661" s="3"/>
      <c r="GC661" s="3"/>
      <c r="GD661" s="3"/>
      <c r="GE661" s="3"/>
      <c r="GF661" s="3"/>
      <c r="GG661" s="3"/>
      <c r="GH661" s="3"/>
      <c r="GI661" s="3"/>
      <c r="GJ661" s="3"/>
      <c r="GK661" s="3"/>
      <c r="GL661" s="3"/>
      <c r="GM661" s="3"/>
      <c r="GN661" s="3"/>
      <c r="GO661" s="3"/>
      <c r="GP661" s="3"/>
      <c r="GQ661" s="3"/>
      <c r="GR661" s="3"/>
      <c r="GS661" s="3"/>
      <c r="GT661" s="3"/>
      <c r="GU661" s="3"/>
      <c r="GV661" s="3"/>
      <c r="GW661" s="3"/>
      <c r="GX661" s="3"/>
      <c r="GY661" s="3"/>
      <c r="GZ661" s="3"/>
      <c r="HA661" s="3"/>
      <c r="HB661" s="3"/>
    </row>
    <row r="662" spans="1:210" ht="15.75" customHeight="1">
      <c r="A662" s="50"/>
      <c r="B662" s="50"/>
      <c r="C662" s="50"/>
      <c r="D662" s="50"/>
      <c r="E662" s="50"/>
      <c r="F662" s="50"/>
      <c r="G662" s="51"/>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c r="AR662" s="50"/>
      <c r="AS662" s="50"/>
      <c r="AT662" s="50"/>
      <c r="AU662" s="50"/>
      <c r="AV662" s="50"/>
      <c r="AW662" s="50"/>
      <c r="AX662" s="50"/>
      <c r="AY662" s="50"/>
      <c r="AZ662" s="50"/>
      <c r="BA662" s="50"/>
      <c r="BB662" s="50"/>
      <c r="BC662" s="50"/>
      <c r="BD662" s="50"/>
      <c r="BE662" s="50"/>
      <c r="BF662" s="50"/>
      <c r="BG662" s="50"/>
      <c r="BH662" s="50"/>
      <c r="BI662" s="50"/>
      <c r="BJ662" s="50"/>
      <c r="BK662" s="50"/>
      <c r="BL662" s="50"/>
      <c r="BM662" s="50"/>
      <c r="BN662" s="50"/>
      <c r="BO662" s="50"/>
      <c r="BP662" s="50"/>
      <c r="BQ662" s="50"/>
      <c r="BR662" s="50"/>
      <c r="BS662" s="50"/>
      <c r="BT662" s="50"/>
      <c r="BU662" s="50"/>
      <c r="BV662" s="50"/>
      <c r="BW662" s="50"/>
      <c r="BX662" s="50"/>
      <c r="BY662" s="50"/>
      <c r="BZ662" s="50"/>
      <c r="CA662" s="50"/>
      <c r="CB662" s="50"/>
      <c r="CC662" s="50"/>
      <c r="CD662" s="52"/>
      <c r="CE662" s="50"/>
      <c r="CF662" s="50"/>
      <c r="CG662" s="50"/>
      <c r="CH662" s="50"/>
      <c r="CI662" s="50"/>
      <c r="CJ662" s="50"/>
      <c r="CK662" s="50"/>
      <c r="CL662" s="50"/>
      <c r="CM662" s="50"/>
      <c r="CN662" s="50"/>
      <c r="CO662" s="50"/>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c r="FF662" s="3"/>
      <c r="FG662" s="3"/>
      <c r="FH662" s="3"/>
      <c r="FI662" s="3"/>
      <c r="FJ662" s="3"/>
      <c r="FK662" s="3"/>
      <c r="FL662" s="3"/>
      <c r="FM662" s="3"/>
      <c r="FN662" s="3"/>
      <c r="FO662" s="3"/>
      <c r="FP662" s="3"/>
      <c r="FQ662" s="3"/>
      <c r="FR662" s="3"/>
      <c r="FS662" s="3"/>
      <c r="FT662" s="3"/>
      <c r="FU662" s="3"/>
      <c r="FV662" s="3"/>
      <c r="FW662" s="3"/>
      <c r="FX662" s="3"/>
      <c r="FY662" s="3"/>
      <c r="FZ662" s="3"/>
      <c r="GA662" s="3"/>
      <c r="GB662" s="3"/>
      <c r="GC662" s="3"/>
      <c r="GD662" s="3"/>
      <c r="GE662" s="3"/>
      <c r="GF662" s="3"/>
      <c r="GG662" s="3"/>
      <c r="GH662" s="3"/>
      <c r="GI662" s="3"/>
      <c r="GJ662" s="3"/>
      <c r="GK662" s="3"/>
      <c r="GL662" s="3"/>
      <c r="GM662" s="3"/>
      <c r="GN662" s="3"/>
      <c r="GO662" s="3"/>
      <c r="GP662" s="3"/>
      <c r="GQ662" s="3"/>
      <c r="GR662" s="3"/>
      <c r="GS662" s="3"/>
      <c r="GT662" s="3"/>
      <c r="GU662" s="3"/>
      <c r="GV662" s="3"/>
      <c r="GW662" s="3"/>
      <c r="GX662" s="3"/>
      <c r="GY662" s="3"/>
      <c r="GZ662" s="3"/>
      <c r="HA662" s="3"/>
      <c r="HB662" s="3"/>
    </row>
    <row r="663" spans="1:210" ht="15.75" customHeight="1">
      <c r="A663" s="50"/>
      <c r="B663" s="50"/>
      <c r="C663" s="50"/>
      <c r="D663" s="50"/>
      <c r="E663" s="50"/>
      <c r="F663" s="50"/>
      <c r="G663" s="51"/>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c r="AR663" s="50"/>
      <c r="AS663" s="50"/>
      <c r="AT663" s="50"/>
      <c r="AU663" s="50"/>
      <c r="AV663" s="50"/>
      <c r="AW663" s="50"/>
      <c r="AX663" s="50"/>
      <c r="AY663" s="50"/>
      <c r="AZ663" s="50"/>
      <c r="BA663" s="50"/>
      <c r="BB663" s="50"/>
      <c r="BC663" s="50"/>
      <c r="BD663" s="50"/>
      <c r="BE663" s="50"/>
      <c r="BF663" s="50"/>
      <c r="BG663" s="50"/>
      <c r="BH663" s="50"/>
      <c r="BI663" s="50"/>
      <c r="BJ663" s="50"/>
      <c r="BK663" s="50"/>
      <c r="BL663" s="50"/>
      <c r="BM663" s="50"/>
      <c r="BN663" s="50"/>
      <c r="BO663" s="50"/>
      <c r="BP663" s="50"/>
      <c r="BQ663" s="50"/>
      <c r="BR663" s="50"/>
      <c r="BS663" s="50"/>
      <c r="BT663" s="50"/>
      <c r="BU663" s="50"/>
      <c r="BV663" s="50"/>
      <c r="BW663" s="50"/>
      <c r="BX663" s="50"/>
      <c r="BY663" s="50"/>
      <c r="BZ663" s="50"/>
      <c r="CA663" s="50"/>
      <c r="CB663" s="50"/>
      <c r="CC663" s="50"/>
      <c r="CD663" s="52"/>
      <c r="CE663" s="50"/>
      <c r="CF663" s="50"/>
      <c r="CG663" s="50"/>
      <c r="CH663" s="50"/>
      <c r="CI663" s="50"/>
      <c r="CJ663" s="50"/>
      <c r="CK663" s="50"/>
      <c r="CL663" s="50"/>
      <c r="CM663" s="50"/>
      <c r="CN663" s="50"/>
      <c r="CO663" s="50"/>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c r="FF663" s="3"/>
      <c r="FG663" s="3"/>
      <c r="FH663" s="3"/>
      <c r="FI663" s="3"/>
      <c r="FJ663" s="3"/>
      <c r="FK663" s="3"/>
      <c r="FL663" s="3"/>
      <c r="FM663" s="3"/>
      <c r="FN663" s="3"/>
      <c r="FO663" s="3"/>
      <c r="FP663" s="3"/>
      <c r="FQ663" s="3"/>
      <c r="FR663" s="3"/>
      <c r="FS663" s="3"/>
      <c r="FT663" s="3"/>
      <c r="FU663" s="3"/>
      <c r="FV663" s="3"/>
      <c r="FW663" s="3"/>
      <c r="FX663" s="3"/>
      <c r="FY663" s="3"/>
      <c r="FZ663" s="3"/>
      <c r="GA663" s="3"/>
      <c r="GB663" s="3"/>
      <c r="GC663" s="3"/>
      <c r="GD663" s="3"/>
      <c r="GE663" s="3"/>
      <c r="GF663" s="3"/>
      <c r="GG663" s="3"/>
      <c r="GH663" s="3"/>
      <c r="GI663" s="3"/>
      <c r="GJ663" s="3"/>
      <c r="GK663" s="3"/>
      <c r="GL663" s="3"/>
      <c r="GM663" s="3"/>
      <c r="GN663" s="3"/>
      <c r="GO663" s="3"/>
      <c r="GP663" s="3"/>
      <c r="GQ663" s="3"/>
      <c r="GR663" s="3"/>
      <c r="GS663" s="3"/>
      <c r="GT663" s="3"/>
      <c r="GU663" s="3"/>
      <c r="GV663" s="3"/>
      <c r="GW663" s="3"/>
      <c r="GX663" s="3"/>
      <c r="GY663" s="3"/>
      <c r="GZ663" s="3"/>
      <c r="HA663" s="3"/>
      <c r="HB663" s="3"/>
    </row>
    <row r="664" spans="1:210" ht="15.75" customHeight="1">
      <c r="A664" s="50"/>
      <c r="B664" s="50"/>
      <c r="C664" s="50"/>
      <c r="D664" s="50"/>
      <c r="E664" s="50"/>
      <c r="F664" s="50"/>
      <c r="G664" s="51"/>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c r="AR664" s="50"/>
      <c r="AS664" s="50"/>
      <c r="AT664" s="50"/>
      <c r="AU664" s="50"/>
      <c r="AV664" s="50"/>
      <c r="AW664" s="50"/>
      <c r="AX664" s="50"/>
      <c r="AY664" s="50"/>
      <c r="AZ664" s="50"/>
      <c r="BA664" s="50"/>
      <c r="BB664" s="50"/>
      <c r="BC664" s="50"/>
      <c r="BD664" s="50"/>
      <c r="BE664" s="50"/>
      <c r="BF664" s="50"/>
      <c r="BG664" s="50"/>
      <c r="BH664" s="50"/>
      <c r="BI664" s="50"/>
      <c r="BJ664" s="50"/>
      <c r="BK664" s="50"/>
      <c r="BL664" s="50"/>
      <c r="BM664" s="50"/>
      <c r="BN664" s="50"/>
      <c r="BO664" s="50"/>
      <c r="BP664" s="50"/>
      <c r="BQ664" s="50"/>
      <c r="BR664" s="50"/>
      <c r="BS664" s="50"/>
      <c r="BT664" s="50"/>
      <c r="BU664" s="50"/>
      <c r="BV664" s="50"/>
      <c r="BW664" s="50"/>
      <c r="BX664" s="50"/>
      <c r="BY664" s="50"/>
      <c r="BZ664" s="50"/>
      <c r="CA664" s="50"/>
      <c r="CB664" s="50"/>
      <c r="CC664" s="50"/>
      <c r="CD664" s="52"/>
      <c r="CE664" s="50"/>
      <c r="CF664" s="50"/>
      <c r="CG664" s="50"/>
      <c r="CH664" s="50"/>
      <c r="CI664" s="50"/>
      <c r="CJ664" s="50"/>
      <c r="CK664" s="50"/>
      <c r="CL664" s="50"/>
      <c r="CM664" s="50"/>
      <c r="CN664" s="50"/>
      <c r="CO664" s="50"/>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c r="FF664" s="3"/>
      <c r="FG664" s="3"/>
      <c r="FH664" s="3"/>
      <c r="FI664" s="3"/>
      <c r="FJ664" s="3"/>
      <c r="FK664" s="3"/>
      <c r="FL664" s="3"/>
      <c r="FM664" s="3"/>
      <c r="FN664" s="3"/>
      <c r="FO664" s="3"/>
      <c r="FP664" s="3"/>
      <c r="FQ664" s="3"/>
      <c r="FR664" s="3"/>
      <c r="FS664" s="3"/>
      <c r="FT664" s="3"/>
      <c r="FU664" s="3"/>
      <c r="FV664" s="3"/>
      <c r="FW664" s="3"/>
      <c r="FX664" s="3"/>
      <c r="FY664" s="3"/>
      <c r="FZ664" s="3"/>
      <c r="GA664" s="3"/>
      <c r="GB664" s="3"/>
      <c r="GC664" s="3"/>
      <c r="GD664" s="3"/>
      <c r="GE664" s="3"/>
      <c r="GF664" s="3"/>
      <c r="GG664" s="3"/>
      <c r="GH664" s="3"/>
      <c r="GI664" s="3"/>
      <c r="GJ664" s="3"/>
      <c r="GK664" s="3"/>
      <c r="GL664" s="3"/>
      <c r="GM664" s="3"/>
      <c r="GN664" s="3"/>
      <c r="GO664" s="3"/>
      <c r="GP664" s="3"/>
      <c r="GQ664" s="3"/>
      <c r="GR664" s="3"/>
      <c r="GS664" s="3"/>
      <c r="GT664" s="3"/>
      <c r="GU664" s="3"/>
      <c r="GV664" s="3"/>
      <c r="GW664" s="3"/>
      <c r="GX664" s="3"/>
      <c r="GY664" s="3"/>
      <c r="GZ664" s="3"/>
      <c r="HA664" s="3"/>
      <c r="HB664" s="3"/>
    </row>
    <row r="665" spans="1:210" ht="15.75" customHeight="1">
      <c r="A665" s="50"/>
      <c r="B665" s="50"/>
      <c r="C665" s="50"/>
      <c r="D665" s="50"/>
      <c r="E665" s="50"/>
      <c r="F665" s="50"/>
      <c r="G665" s="51"/>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c r="AR665" s="50"/>
      <c r="AS665" s="50"/>
      <c r="AT665" s="50"/>
      <c r="AU665" s="50"/>
      <c r="AV665" s="50"/>
      <c r="AW665" s="50"/>
      <c r="AX665" s="50"/>
      <c r="AY665" s="50"/>
      <c r="AZ665" s="50"/>
      <c r="BA665" s="50"/>
      <c r="BB665" s="50"/>
      <c r="BC665" s="50"/>
      <c r="BD665" s="50"/>
      <c r="BE665" s="50"/>
      <c r="BF665" s="50"/>
      <c r="BG665" s="50"/>
      <c r="BH665" s="50"/>
      <c r="BI665" s="50"/>
      <c r="BJ665" s="50"/>
      <c r="BK665" s="50"/>
      <c r="BL665" s="50"/>
      <c r="BM665" s="50"/>
      <c r="BN665" s="50"/>
      <c r="BO665" s="50"/>
      <c r="BP665" s="50"/>
      <c r="BQ665" s="50"/>
      <c r="BR665" s="50"/>
      <c r="BS665" s="50"/>
      <c r="BT665" s="50"/>
      <c r="BU665" s="50"/>
      <c r="BV665" s="50"/>
      <c r="BW665" s="50"/>
      <c r="BX665" s="50"/>
      <c r="BY665" s="50"/>
      <c r="BZ665" s="50"/>
      <c r="CA665" s="50"/>
      <c r="CB665" s="50"/>
      <c r="CC665" s="50"/>
      <c r="CD665" s="52"/>
      <c r="CE665" s="50"/>
      <c r="CF665" s="50"/>
      <c r="CG665" s="50"/>
      <c r="CH665" s="50"/>
      <c r="CI665" s="50"/>
      <c r="CJ665" s="50"/>
      <c r="CK665" s="50"/>
      <c r="CL665" s="50"/>
      <c r="CM665" s="50"/>
      <c r="CN665" s="50"/>
      <c r="CO665" s="50"/>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c r="FF665" s="3"/>
      <c r="FG665" s="3"/>
      <c r="FH665" s="3"/>
      <c r="FI665" s="3"/>
      <c r="FJ665" s="3"/>
      <c r="FK665" s="3"/>
      <c r="FL665" s="3"/>
      <c r="FM665" s="3"/>
      <c r="FN665" s="3"/>
      <c r="FO665" s="3"/>
      <c r="FP665" s="3"/>
      <c r="FQ665" s="3"/>
      <c r="FR665" s="3"/>
      <c r="FS665" s="3"/>
      <c r="FT665" s="3"/>
      <c r="FU665" s="3"/>
      <c r="FV665" s="3"/>
      <c r="FW665" s="3"/>
      <c r="FX665" s="3"/>
      <c r="FY665" s="3"/>
      <c r="FZ665" s="3"/>
      <c r="GA665" s="3"/>
      <c r="GB665" s="3"/>
      <c r="GC665" s="3"/>
      <c r="GD665" s="3"/>
      <c r="GE665" s="3"/>
      <c r="GF665" s="3"/>
      <c r="GG665" s="3"/>
      <c r="GH665" s="3"/>
      <c r="GI665" s="3"/>
      <c r="GJ665" s="3"/>
      <c r="GK665" s="3"/>
      <c r="GL665" s="3"/>
      <c r="GM665" s="3"/>
      <c r="GN665" s="3"/>
      <c r="GO665" s="3"/>
      <c r="GP665" s="3"/>
      <c r="GQ665" s="3"/>
      <c r="GR665" s="3"/>
      <c r="GS665" s="3"/>
      <c r="GT665" s="3"/>
      <c r="GU665" s="3"/>
      <c r="GV665" s="3"/>
      <c r="GW665" s="3"/>
      <c r="GX665" s="3"/>
      <c r="GY665" s="3"/>
      <c r="GZ665" s="3"/>
      <c r="HA665" s="3"/>
      <c r="HB665" s="3"/>
    </row>
    <row r="666" spans="1:210" ht="15.75" customHeight="1">
      <c r="A666" s="50"/>
      <c r="B666" s="50"/>
      <c r="C666" s="50"/>
      <c r="D666" s="50"/>
      <c r="E666" s="50"/>
      <c r="F666" s="50"/>
      <c r="G666" s="51"/>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c r="AR666" s="50"/>
      <c r="AS666" s="50"/>
      <c r="AT666" s="50"/>
      <c r="AU666" s="50"/>
      <c r="AV666" s="50"/>
      <c r="AW666" s="50"/>
      <c r="AX666" s="50"/>
      <c r="AY666" s="50"/>
      <c r="AZ666" s="50"/>
      <c r="BA666" s="50"/>
      <c r="BB666" s="50"/>
      <c r="BC666" s="50"/>
      <c r="BD666" s="50"/>
      <c r="BE666" s="50"/>
      <c r="BF666" s="50"/>
      <c r="BG666" s="50"/>
      <c r="BH666" s="50"/>
      <c r="BI666" s="50"/>
      <c r="BJ666" s="50"/>
      <c r="BK666" s="50"/>
      <c r="BL666" s="50"/>
      <c r="BM666" s="50"/>
      <c r="BN666" s="50"/>
      <c r="BO666" s="50"/>
      <c r="BP666" s="50"/>
      <c r="BQ666" s="50"/>
      <c r="BR666" s="50"/>
      <c r="BS666" s="50"/>
      <c r="BT666" s="50"/>
      <c r="BU666" s="50"/>
      <c r="BV666" s="50"/>
      <c r="BW666" s="50"/>
      <c r="BX666" s="50"/>
      <c r="BY666" s="50"/>
      <c r="BZ666" s="50"/>
      <c r="CA666" s="50"/>
      <c r="CB666" s="50"/>
      <c r="CC666" s="50"/>
      <c r="CD666" s="52"/>
      <c r="CE666" s="50"/>
      <c r="CF666" s="50"/>
      <c r="CG666" s="50"/>
      <c r="CH666" s="50"/>
      <c r="CI666" s="50"/>
      <c r="CJ666" s="50"/>
      <c r="CK666" s="50"/>
      <c r="CL666" s="50"/>
      <c r="CM666" s="50"/>
      <c r="CN666" s="50"/>
      <c r="CO666" s="50"/>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c r="FF666" s="3"/>
      <c r="FG666" s="3"/>
      <c r="FH666" s="3"/>
      <c r="FI666" s="3"/>
      <c r="FJ666" s="3"/>
      <c r="FK666" s="3"/>
      <c r="FL666" s="3"/>
      <c r="FM666" s="3"/>
      <c r="FN666" s="3"/>
      <c r="FO666" s="3"/>
      <c r="FP666" s="3"/>
      <c r="FQ666" s="3"/>
      <c r="FR666" s="3"/>
      <c r="FS666" s="3"/>
      <c r="FT666" s="3"/>
      <c r="FU666" s="3"/>
      <c r="FV666" s="3"/>
      <c r="FW666" s="3"/>
      <c r="FX666" s="3"/>
      <c r="FY666" s="3"/>
      <c r="FZ666" s="3"/>
      <c r="GA666" s="3"/>
      <c r="GB666" s="3"/>
      <c r="GC666" s="3"/>
      <c r="GD666" s="3"/>
      <c r="GE666" s="3"/>
      <c r="GF666" s="3"/>
      <c r="GG666" s="3"/>
      <c r="GH666" s="3"/>
      <c r="GI666" s="3"/>
      <c r="GJ666" s="3"/>
      <c r="GK666" s="3"/>
      <c r="GL666" s="3"/>
      <c r="GM666" s="3"/>
      <c r="GN666" s="3"/>
      <c r="GO666" s="3"/>
      <c r="GP666" s="3"/>
      <c r="GQ666" s="3"/>
      <c r="GR666" s="3"/>
      <c r="GS666" s="3"/>
      <c r="GT666" s="3"/>
      <c r="GU666" s="3"/>
      <c r="GV666" s="3"/>
      <c r="GW666" s="3"/>
      <c r="GX666" s="3"/>
      <c r="GY666" s="3"/>
      <c r="GZ666" s="3"/>
      <c r="HA666" s="3"/>
      <c r="HB666" s="3"/>
    </row>
    <row r="667" spans="1:210" ht="15.75" customHeight="1">
      <c r="A667" s="50"/>
      <c r="B667" s="50"/>
      <c r="C667" s="50"/>
      <c r="D667" s="50"/>
      <c r="E667" s="50"/>
      <c r="F667" s="50"/>
      <c r="G667" s="51"/>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c r="AR667" s="50"/>
      <c r="AS667" s="50"/>
      <c r="AT667" s="50"/>
      <c r="AU667" s="50"/>
      <c r="AV667" s="50"/>
      <c r="AW667" s="50"/>
      <c r="AX667" s="50"/>
      <c r="AY667" s="50"/>
      <c r="AZ667" s="50"/>
      <c r="BA667" s="50"/>
      <c r="BB667" s="50"/>
      <c r="BC667" s="50"/>
      <c r="BD667" s="50"/>
      <c r="BE667" s="50"/>
      <c r="BF667" s="50"/>
      <c r="BG667" s="50"/>
      <c r="BH667" s="50"/>
      <c r="BI667" s="50"/>
      <c r="BJ667" s="50"/>
      <c r="BK667" s="50"/>
      <c r="BL667" s="50"/>
      <c r="BM667" s="50"/>
      <c r="BN667" s="50"/>
      <c r="BO667" s="50"/>
      <c r="BP667" s="50"/>
      <c r="BQ667" s="50"/>
      <c r="BR667" s="50"/>
      <c r="BS667" s="50"/>
      <c r="BT667" s="50"/>
      <c r="BU667" s="50"/>
      <c r="BV667" s="50"/>
      <c r="BW667" s="50"/>
      <c r="BX667" s="50"/>
      <c r="BY667" s="50"/>
      <c r="BZ667" s="50"/>
      <c r="CA667" s="50"/>
      <c r="CB667" s="50"/>
      <c r="CC667" s="50"/>
      <c r="CD667" s="52"/>
      <c r="CE667" s="50"/>
      <c r="CF667" s="50"/>
      <c r="CG667" s="50"/>
      <c r="CH667" s="50"/>
      <c r="CI667" s="50"/>
      <c r="CJ667" s="50"/>
      <c r="CK667" s="50"/>
      <c r="CL667" s="50"/>
      <c r="CM667" s="50"/>
      <c r="CN667" s="50"/>
      <c r="CO667" s="50"/>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c r="FF667" s="3"/>
      <c r="FG667" s="3"/>
      <c r="FH667" s="3"/>
      <c r="FI667" s="3"/>
      <c r="FJ667" s="3"/>
      <c r="FK667" s="3"/>
      <c r="FL667" s="3"/>
      <c r="FM667" s="3"/>
      <c r="FN667" s="3"/>
      <c r="FO667" s="3"/>
      <c r="FP667" s="3"/>
      <c r="FQ667" s="3"/>
      <c r="FR667" s="3"/>
      <c r="FS667" s="3"/>
      <c r="FT667" s="3"/>
      <c r="FU667" s="3"/>
      <c r="FV667" s="3"/>
      <c r="FW667" s="3"/>
      <c r="FX667" s="3"/>
      <c r="FY667" s="3"/>
      <c r="FZ667" s="3"/>
      <c r="GA667" s="3"/>
      <c r="GB667" s="3"/>
      <c r="GC667" s="3"/>
      <c r="GD667" s="3"/>
      <c r="GE667" s="3"/>
      <c r="GF667" s="3"/>
      <c r="GG667" s="3"/>
      <c r="GH667" s="3"/>
      <c r="GI667" s="3"/>
      <c r="GJ667" s="3"/>
      <c r="GK667" s="3"/>
      <c r="GL667" s="3"/>
      <c r="GM667" s="3"/>
      <c r="GN667" s="3"/>
      <c r="GO667" s="3"/>
      <c r="GP667" s="3"/>
      <c r="GQ667" s="3"/>
      <c r="GR667" s="3"/>
      <c r="GS667" s="3"/>
      <c r="GT667" s="3"/>
      <c r="GU667" s="3"/>
      <c r="GV667" s="3"/>
      <c r="GW667" s="3"/>
      <c r="GX667" s="3"/>
      <c r="GY667" s="3"/>
      <c r="GZ667" s="3"/>
      <c r="HA667" s="3"/>
      <c r="HB667" s="3"/>
    </row>
    <row r="668" spans="1:210" ht="15.75" customHeight="1">
      <c r="A668" s="50"/>
      <c r="B668" s="50"/>
      <c r="C668" s="50"/>
      <c r="D668" s="50"/>
      <c r="E668" s="50"/>
      <c r="F668" s="50"/>
      <c r="G668" s="51"/>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c r="AR668" s="50"/>
      <c r="AS668" s="50"/>
      <c r="AT668" s="50"/>
      <c r="AU668" s="50"/>
      <c r="AV668" s="50"/>
      <c r="AW668" s="50"/>
      <c r="AX668" s="50"/>
      <c r="AY668" s="50"/>
      <c r="AZ668" s="50"/>
      <c r="BA668" s="50"/>
      <c r="BB668" s="50"/>
      <c r="BC668" s="50"/>
      <c r="BD668" s="50"/>
      <c r="BE668" s="50"/>
      <c r="BF668" s="50"/>
      <c r="BG668" s="50"/>
      <c r="BH668" s="50"/>
      <c r="BI668" s="50"/>
      <c r="BJ668" s="50"/>
      <c r="BK668" s="50"/>
      <c r="BL668" s="50"/>
      <c r="BM668" s="50"/>
      <c r="BN668" s="50"/>
      <c r="BO668" s="50"/>
      <c r="BP668" s="50"/>
      <c r="BQ668" s="50"/>
      <c r="BR668" s="50"/>
      <c r="BS668" s="50"/>
      <c r="BT668" s="50"/>
      <c r="BU668" s="50"/>
      <c r="BV668" s="50"/>
      <c r="BW668" s="50"/>
      <c r="BX668" s="50"/>
      <c r="BY668" s="50"/>
      <c r="BZ668" s="50"/>
      <c r="CA668" s="50"/>
      <c r="CB668" s="50"/>
      <c r="CC668" s="50"/>
      <c r="CD668" s="52"/>
      <c r="CE668" s="50"/>
      <c r="CF668" s="50"/>
      <c r="CG668" s="50"/>
      <c r="CH668" s="50"/>
      <c r="CI668" s="50"/>
      <c r="CJ668" s="50"/>
      <c r="CK668" s="50"/>
      <c r="CL668" s="50"/>
      <c r="CM668" s="50"/>
      <c r="CN668" s="50"/>
      <c r="CO668" s="50"/>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c r="FF668" s="3"/>
      <c r="FG668" s="3"/>
      <c r="FH668" s="3"/>
      <c r="FI668" s="3"/>
      <c r="FJ668" s="3"/>
      <c r="FK668" s="3"/>
      <c r="FL668" s="3"/>
      <c r="FM668" s="3"/>
      <c r="FN668" s="3"/>
      <c r="FO668" s="3"/>
      <c r="FP668" s="3"/>
      <c r="FQ668" s="3"/>
      <c r="FR668" s="3"/>
      <c r="FS668" s="3"/>
      <c r="FT668" s="3"/>
      <c r="FU668" s="3"/>
      <c r="FV668" s="3"/>
      <c r="FW668" s="3"/>
      <c r="FX668" s="3"/>
      <c r="FY668" s="3"/>
      <c r="FZ668" s="3"/>
      <c r="GA668" s="3"/>
      <c r="GB668" s="3"/>
      <c r="GC668" s="3"/>
      <c r="GD668" s="3"/>
      <c r="GE668" s="3"/>
      <c r="GF668" s="3"/>
      <c r="GG668" s="3"/>
      <c r="GH668" s="3"/>
      <c r="GI668" s="3"/>
      <c r="GJ668" s="3"/>
      <c r="GK668" s="3"/>
      <c r="GL668" s="3"/>
      <c r="GM668" s="3"/>
      <c r="GN668" s="3"/>
      <c r="GO668" s="3"/>
      <c r="GP668" s="3"/>
      <c r="GQ668" s="3"/>
      <c r="GR668" s="3"/>
      <c r="GS668" s="3"/>
      <c r="GT668" s="3"/>
      <c r="GU668" s="3"/>
      <c r="GV668" s="3"/>
      <c r="GW668" s="3"/>
      <c r="GX668" s="3"/>
      <c r="GY668" s="3"/>
      <c r="GZ668" s="3"/>
      <c r="HA668" s="3"/>
      <c r="HB668" s="3"/>
    </row>
    <row r="669" spans="1:210" ht="15.75" customHeight="1">
      <c r="A669" s="50"/>
      <c r="B669" s="50"/>
      <c r="C669" s="50"/>
      <c r="D669" s="50"/>
      <c r="E669" s="50"/>
      <c r="F669" s="50"/>
      <c r="G669" s="51"/>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c r="AR669" s="50"/>
      <c r="AS669" s="50"/>
      <c r="AT669" s="50"/>
      <c r="AU669" s="50"/>
      <c r="AV669" s="50"/>
      <c r="AW669" s="50"/>
      <c r="AX669" s="50"/>
      <c r="AY669" s="50"/>
      <c r="AZ669" s="50"/>
      <c r="BA669" s="50"/>
      <c r="BB669" s="50"/>
      <c r="BC669" s="50"/>
      <c r="BD669" s="50"/>
      <c r="BE669" s="50"/>
      <c r="BF669" s="50"/>
      <c r="BG669" s="50"/>
      <c r="BH669" s="50"/>
      <c r="BI669" s="50"/>
      <c r="BJ669" s="50"/>
      <c r="BK669" s="50"/>
      <c r="BL669" s="50"/>
      <c r="BM669" s="50"/>
      <c r="BN669" s="50"/>
      <c r="BO669" s="50"/>
      <c r="BP669" s="50"/>
      <c r="BQ669" s="50"/>
      <c r="BR669" s="50"/>
      <c r="BS669" s="50"/>
      <c r="BT669" s="50"/>
      <c r="BU669" s="50"/>
      <c r="BV669" s="50"/>
      <c r="BW669" s="50"/>
      <c r="BX669" s="50"/>
      <c r="BY669" s="50"/>
      <c r="BZ669" s="50"/>
      <c r="CA669" s="50"/>
      <c r="CB669" s="50"/>
      <c r="CC669" s="50"/>
      <c r="CD669" s="52"/>
      <c r="CE669" s="50"/>
      <c r="CF669" s="50"/>
      <c r="CG669" s="50"/>
      <c r="CH669" s="50"/>
      <c r="CI669" s="50"/>
      <c r="CJ669" s="50"/>
      <c r="CK669" s="50"/>
      <c r="CL669" s="50"/>
      <c r="CM669" s="50"/>
      <c r="CN669" s="50"/>
      <c r="CO669" s="50"/>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c r="FF669" s="3"/>
      <c r="FG669" s="3"/>
      <c r="FH669" s="3"/>
      <c r="FI669" s="3"/>
      <c r="FJ669" s="3"/>
      <c r="FK669" s="3"/>
      <c r="FL669" s="3"/>
      <c r="FM669" s="3"/>
      <c r="FN669" s="3"/>
      <c r="FO669" s="3"/>
      <c r="FP669" s="3"/>
      <c r="FQ669" s="3"/>
      <c r="FR669" s="3"/>
      <c r="FS669" s="3"/>
      <c r="FT669" s="3"/>
      <c r="FU669" s="3"/>
      <c r="FV669" s="3"/>
      <c r="FW669" s="3"/>
      <c r="FX669" s="3"/>
      <c r="FY669" s="3"/>
      <c r="FZ669" s="3"/>
      <c r="GA669" s="3"/>
      <c r="GB669" s="3"/>
      <c r="GC669" s="3"/>
      <c r="GD669" s="3"/>
      <c r="GE669" s="3"/>
      <c r="GF669" s="3"/>
      <c r="GG669" s="3"/>
      <c r="GH669" s="3"/>
      <c r="GI669" s="3"/>
      <c r="GJ669" s="3"/>
      <c r="GK669" s="3"/>
      <c r="GL669" s="3"/>
      <c r="GM669" s="3"/>
      <c r="GN669" s="3"/>
      <c r="GO669" s="3"/>
      <c r="GP669" s="3"/>
      <c r="GQ669" s="3"/>
      <c r="GR669" s="3"/>
      <c r="GS669" s="3"/>
      <c r="GT669" s="3"/>
      <c r="GU669" s="3"/>
      <c r="GV669" s="3"/>
      <c r="GW669" s="3"/>
      <c r="GX669" s="3"/>
      <c r="GY669" s="3"/>
      <c r="GZ669" s="3"/>
      <c r="HA669" s="3"/>
      <c r="HB669" s="3"/>
    </row>
    <row r="670" spans="1:210" ht="15.75" customHeight="1">
      <c r="A670" s="50"/>
      <c r="B670" s="50"/>
      <c r="C670" s="50"/>
      <c r="D670" s="50"/>
      <c r="E670" s="50"/>
      <c r="F670" s="50"/>
      <c r="G670" s="51"/>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c r="AR670" s="50"/>
      <c r="AS670" s="50"/>
      <c r="AT670" s="50"/>
      <c r="AU670" s="50"/>
      <c r="AV670" s="50"/>
      <c r="AW670" s="50"/>
      <c r="AX670" s="50"/>
      <c r="AY670" s="50"/>
      <c r="AZ670" s="50"/>
      <c r="BA670" s="50"/>
      <c r="BB670" s="50"/>
      <c r="BC670" s="50"/>
      <c r="BD670" s="50"/>
      <c r="BE670" s="50"/>
      <c r="BF670" s="50"/>
      <c r="BG670" s="50"/>
      <c r="BH670" s="50"/>
      <c r="BI670" s="50"/>
      <c r="BJ670" s="50"/>
      <c r="BK670" s="50"/>
      <c r="BL670" s="50"/>
      <c r="BM670" s="50"/>
      <c r="BN670" s="50"/>
      <c r="BO670" s="50"/>
      <c r="BP670" s="50"/>
      <c r="BQ670" s="50"/>
      <c r="BR670" s="50"/>
      <c r="BS670" s="50"/>
      <c r="BT670" s="50"/>
      <c r="BU670" s="50"/>
      <c r="BV670" s="50"/>
      <c r="BW670" s="50"/>
      <c r="BX670" s="50"/>
      <c r="BY670" s="50"/>
      <c r="BZ670" s="50"/>
      <c r="CA670" s="50"/>
      <c r="CB670" s="50"/>
      <c r="CC670" s="50"/>
      <c r="CD670" s="52"/>
      <c r="CE670" s="50"/>
      <c r="CF670" s="50"/>
      <c r="CG670" s="50"/>
      <c r="CH670" s="50"/>
      <c r="CI670" s="50"/>
      <c r="CJ670" s="50"/>
      <c r="CK670" s="50"/>
      <c r="CL670" s="50"/>
      <c r="CM670" s="50"/>
      <c r="CN670" s="50"/>
      <c r="CO670" s="50"/>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c r="FF670" s="3"/>
      <c r="FG670" s="3"/>
      <c r="FH670" s="3"/>
      <c r="FI670" s="3"/>
      <c r="FJ670" s="3"/>
      <c r="FK670" s="3"/>
      <c r="FL670" s="3"/>
      <c r="FM670" s="3"/>
      <c r="FN670" s="3"/>
      <c r="FO670" s="3"/>
      <c r="FP670" s="3"/>
      <c r="FQ670" s="3"/>
      <c r="FR670" s="3"/>
      <c r="FS670" s="3"/>
      <c r="FT670" s="3"/>
      <c r="FU670" s="3"/>
      <c r="FV670" s="3"/>
      <c r="FW670" s="3"/>
      <c r="FX670" s="3"/>
      <c r="FY670" s="3"/>
      <c r="FZ670" s="3"/>
      <c r="GA670" s="3"/>
      <c r="GB670" s="3"/>
      <c r="GC670" s="3"/>
      <c r="GD670" s="3"/>
      <c r="GE670" s="3"/>
      <c r="GF670" s="3"/>
      <c r="GG670" s="3"/>
      <c r="GH670" s="3"/>
      <c r="GI670" s="3"/>
      <c r="GJ670" s="3"/>
      <c r="GK670" s="3"/>
      <c r="GL670" s="3"/>
      <c r="GM670" s="3"/>
      <c r="GN670" s="3"/>
      <c r="GO670" s="3"/>
      <c r="GP670" s="3"/>
      <c r="GQ670" s="3"/>
      <c r="GR670" s="3"/>
      <c r="GS670" s="3"/>
      <c r="GT670" s="3"/>
      <c r="GU670" s="3"/>
      <c r="GV670" s="3"/>
      <c r="GW670" s="3"/>
      <c r="GX670" s="3"/>
      <c r="GY670" s="3"/>
      <c r="GZ670" s="3"/>
      <c r="HA670" s="3"/>
      <c r="HB670" s="3"/>
    </row>
    <row r="671" spans="1:210" ht="15.75" customHeight="1">
      <c r="A671" s="50"/>
      <c r="B671" s="50"/>
      <c r="C671" s="50"/>
      <c r="D671" s="50"/>
      <c r="E671" s="50"/>
      <c r="F671" s="50"/>
      <c r="G671" s="51"/>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c r="AR671" s="50"/>
      <c r="AS671" s="50"/>
      <c r="AT671" s="50"/>
      <c r="AU671" s="50"/>
      <c r="AV671" s="50"/>
      <c r="AW671" s="50"/>
      <c r="AX671" s="50"/>
      <c r="AY671" s="50"/>
      <c r="AZ671" s="50"/>
      <c r="BA671" s="50"/>
      <c r="BB671" s="50"/>
      <c r="BC671" s="50"/>
      <c r="BD671" s="50"/>
      <c r="BE671" s="50"/>
      <c r="BF671" s="50"/>
      <c r="BG671" s="50"/>
      <c r="BH671" s="50"/>
      <c r="BI671" s="50"/>
      <c r="BJ671" s="50"/>
      <c r="BK671" s="50"/>
      <c r="BL671" s="50"/>
      <c r="BM671" s="50"/>
      <c r="BN671" s="50"/>
      <c r="BO671" s="50"/>
      <c r="BP671" s="50"/>
      <c r="BQ671" s="50"/>
      <c r="BR671" s="50"/>
      <c r="BS671" s="50"/>
      <c r="BT671" s="50"/>
      <c r="BU671" s="50"/>
      <c r="BV671" s="50"/>
      <c r="BW671" s="50"/>
      <c r="BX671" s="50"/>
      <c r="BY671" s="50"/>
      <c r="BZ671" s="50"/>
      <c r="CA671" s="50"/>
      <c r="CB671" s="50"/>
      <c r="CC671" s="50"/>
      <c r="CD671" s="52"/>
      <c r="CE671" s="50"/>
      <c r="CF671" s="50"/>
      <c r="CG671" s="50"/>
      <c r="CH671" s="50"/>
      <c r="CI671" s="50"/>
      <c r="CJ671" s="50"/>
      <c r="CK671" s="50"/>
      <c r="CL671" s="50"/>
      <c r="CM671" s="50"/>
      <c r="CN671" s="50"/>
      <c r="CO671" s="50"/>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c r="FF671" s="3"/>
      <c r="FG671" s="3"/>
      <c r="FH671" s="3"/>
      <c r="FI671" s="3"/>
      <c r="FJ671" s="3"/>
      <c r="FK671" s="3"/>
      <c r="FL671" s="3"/>
      <c r="FM671" s="3"/>
      <c r="FN671" s="3"/>
      <c r="FO671" s="3"/>
      <c r="FP671" s="3"/>
      <c r="FQ671" s="3"/>
      <c r="FR671" s="3"/>
      <c r="FS671" s="3"/>
      <c r="FT671" s="3"/>
      <c r="FU671" s="3"/>
      <c r="FV671" s="3"/>
      <c r="FW671" s="3"/>
      <c r="FX671" s="3"/>
      <c r="FY671" s="3"/>
      <c r="FZ671" s="3"/>
      <c r="GA671" s="3"/>
      <c r="GB671" s="3"/>
      <c r="GC671" s="3"/>
      <c r="GD671" s="3"/>
      <c r="GE671" s="3"/>
      <c r="GF671" s="3"/>
      <c r="GG671" s="3"/>
      <c r="GH671" s="3"/>
      <c r="GI671" s="3"/>
      <c r="GJ671" s="3"/>
      <c r="GK671" s="3"/>
      <c r="GL671" s="3"/>
      <c r="GM671" s="3"/>
      <c r="GN671" s="3"/>
      <c r="GO671" s="3"/>
      <c r="GP671" s="3"/>
      <c r="GQ671" s="3"/>
      <c r="GR671" s="3"/>
      <c r="GS671" s="3"/>
      <c r="GT671" s="3"/>
      <c r="GU671" s="3"/>
      <c r="GV671" s="3"/>
      <c r="GW671" s="3"/>
      <c r="GX671" s="3"/>
      <c r="GY671" s="3"/>
      <c r="GZ671" s="3"/>
      <c r="HA671" s="3"/>
      <c r="HB671" s="3"/>
    </row>
    <row r="672" spans="1:210" ht="15.75" customHeight="1">
      <c r="A672" s="50"/>
      <c r="B672" s="50"/>
      <c r="C672" s="50"/>
      <c r="D672" s="50"/>
      <c r="E672" s="50"/>
      <c r="F672" s="50"/>
      <c r="G672" s="51"/>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c r="AR672" s="50"/>
      <c r="AS672" s="50"/>
      <c r="AT672" s="50"/>
      <c r="AU672" s="50"/>
      <c r="AV672" s="50"/>
      <c r="AW672" s="50"/>
      <c r="AX672" s="50"/>
      <c r="AY672" s="50"/>
      <c r="AZ672" s="50"/>
      <c r="BA672" s="50"/>
      <c r="BB672" s="50"/>
      <c r="BC672" s="50"/>
      <c r="BD672" s="50"/>
      <c r="BE672" s="50"/>
      <c r="BF672" s="50"/>
      <c r="BG672" s="50"/>
      <c r="BH672" s="50"/>
      <c r="BI672" s="50"/>
      <c r="BJ672" s="50"/>
      <c r="BK672" s="50"/>
      <c r="BL672" s="50"/>
      <c r="BM672" s="50"/>
      <c r="BN672" s="50"/>
      <c r="BO672" s="50"/>
      <c r="BP672" s="50"/>
      <c r="BQ672" s="50"/>
      <c r="BR672" s="50"/>
      <c r="BS672" s="50"/>
      <c r="BT672" s="50"/>
      <c r="BU672" s="50"/>
      <c r="BV672" s="50"/>
      <c r="BW672" s="50"/>
      <c r="BX672" s="50"/>
      <c r="BY672" s="50"/>
      <c r="BZ672" s="50"/>
      <c r="CA672" s="50"/>
      <c r="CB672" s="50"/>
      <c r="CC672" s="50"/>
      <c r="CD672" s="52"/>
      <c r="CE672" s="50"/>
      <c r="CF672" s="50"/>
      <c r="CG672" s="50"/>
      <c r="CH672" s="50"/>
      <c r="CI672" s="50"/>
      <c r="CJ672" s="50"/>
      <c r="CK672" s="50"/>
      <c r="CL672" s="50"/>
      <c r="CM672" s="50"/>
      <c r="CN672" s="50"/>
      <c r="CO672" s="50"/>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c r="FF672" s="3"/>
      <c r="FG672" s="3"/>
      <c r="FH672" s="3"/>
      <c r="FI672" s="3"/>
      <c r="FJ672" s="3"/>
      <c r="FK672" s="3"/>
      <c r="FL672" s="3"/>
      <c r="FM672" s="3"/>
      <c r="FN672" s="3"/>
      <c r="FO672" s="3"/>
      <c r="FP672" s="3"/>
      <c r="FQ672" s="3"/>
      <c r="FR672" s="3"/>
      <c r="FS672" s="3"/>
      <c r="FT672" s="3"/>
      <c r="FU672" s="3"/>
      <c r="FV672" s="3"/>
      <c r="FW672" s="3"/>
      <c r="FX672" s="3"/>
      <c r="FY672" s="3"/>
      <c r="FZ672" s="3"/>
      <c r="GA672" s="3"/>
      <c r="GB672" s="3"/>
      <c r="GC672" s="3"/>
      <c r="GD672" s="3"/>
      <c r="GE672" s="3"/>
      <c r="GF672" s="3"/>
      <c r="GG672" s="3"/>
      <c r="GH672" s="3"/>
      <c r="GI672" s="3"/>
      <c r="GJ672" s="3"/>
      <c r="GK672" s="3"/>
      <c r="GL672" s="3"/>
      <c r="GM672" s="3"/>
      <c r="GN672" s="3"/>
      <c r="GO672" s="3"/>
      <c r="GP672" s="3"/>
      <c r="GQ672" s="3"/>
      <c r="GR672" s="3"/>
      <c r="GS672" s="3"/>
      <c r="GT672" s="3"/>
      <c r="GU672" s="3"/>
      <c r="GV672" s="3"/>
      <c r="GW672" s="3"/>
      <c r="GX672" s="3"/>
      <c r="GY672" s="3"/>
      <c r="GZ672" s="3"/>
      <c r="HA672" s="3"/>
      <c r="HB672" s="3"/>
    </row>
    <row r="673" spans="1:210" ht="15.75" customHeight="1">
      <c r="A673" s="50"/>
      <c r="B673" s="50"/>
      <c r="C673" s="50"/>
      <c r="D673" s="50"/>
      <c r="E673" s="50"/>
      <c r="F673" s="50"/>
      <c r="G673" s="51"/>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c r="AR673" s="50"/>
      <c r="AS673" s="50"/>
      <c r="AT673" s="50"/>
      <c r="AU673" s="50"/>
      <c r="AV673" s="50"/>
      <c r="AW673" s="50"/>
      <c r="AX673" s="50"/>
      <c r="AY673" s="50"/>
      <c r="AZ673" s="50"/>
      <c r="BA673" s="50"/>
      <c r="BB673" s="50"/>
      <c r="BC673" s="50"/>
      <c r="BD673" s="50"/>
      <c r="BE673" s="50"/>
      <c r="BF673" s="50"/>
      <c r="BG673" s="50"/>
      <c r="BH673" s="50"/>
      <c r="BI673" s="50"/>
      <c r="BJ673" s="50"/>
      <c r="BK673" s="50"/>
      <c r="BL673" s="50"/>
      <c r="BM673" s="50"/>
      <c r="BN673" s="50"/>
      <c r="BO673" s="50"/>
      <c r="BP673" s="50"/>
      <c r="BQ673" s="50"/>
      <c r="BR673" s="50"/>
      <c r="BS673" s="50"/>
      <c r="BT673" s="50"/>
      <c r="BU673" s="50"/>
      <c r="BV673" s="50"/>
      <c r="BW673" s="50"/>
      <c r="BX673" s="50"/>
      <c r="BY673" s="50"/>
      <c r="BZ673" s="50"/>
      <c r="CA673" s="50"/>
      <c r="CB673" s="50"/>
      <c r="CC673" s="50"/>
      <c r="CD673" s="52"/>
      <c r="CE673" s="50"/>
      <c r="CF673" s="50"/>
      <c r="CG673" s="50"/>
      <c r="CH673" s="50"/>
      <c r="CI673" s="50"/>
      <c r="CJ673" s="50"/>
      <c r="CK673" s="50"/>
      <c r="CL673" s="50"/>
      <c r="CM673" s="50"/>
      <c r="CN673" s="50"/>
      <c r="CO673" s="50"/>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c r="FF673" s="3"/>
      <c r="FG673" s="3"/>
      <c r="FH673" s="3"/>
      <c r="FI673" s="3"/>
      <c r="FJ673" s="3"/>
      <c r="FK673" s="3"/>
      <c r="FL673" s="3"/>
      <c r="FM673" s="3"/>
      <c r="FN673" s="3"/>
      <c r="FO673" s="3"/>
      <c r="FP673" s="3"/>
      <c r="FQ673" s="3"/>
      <c r="FR673" s="3"/>
      <c r="FS673" s="3"/>
      <c r="FT673" s="3"/>
      <c r="FU673" s="3"/>
      <c r="FV673" s="3"/>
      <c r="FW673" s="3"/>
      <c r="FX673" s="3"/>
      <c r="FY673" s="3"/>
      <c r="FZ673" s="3"/>
      <c r="GA673" s="3"/>
      <c r="GB673" s="3"/>
      <c r="GC673" s="3"/>
      <c r="GD673" s="3"/>
      <c r="GE673" s="3"/>
      <c r="GF673" s="3"/>
      <c r="GG673" s="3"/>
      <c r="GH673" s="3"/>
      <c r="GI673" s="3"/>
      <c r="GJ673" s="3"/>
      <c r="GK673" s="3"/>
      <c r="GL673" s="3"/>
      <c r="GM673" s="3"/>
      <c r="GN673" s="3"/>
      <c r="GO673" s="3"/>
      <c r="GP673" s="3"/>
      <c r="GQ673" s="3"/>
      <c r="GR673" s="3"/>
      <c r="GS673" s="3"/>
      <c r="GT673" s="3"/>
      <c r="GU673" s="3"/>
      <c r="GV673" s="3"/>
      <c r="GW673" s="3"/>
      <c r="GX673" s="3"/>
      <c r="GY673" s="3"/>
      <c r="GZ673" s="3"/>
      <c r="HA673" s="3"/>
      <c r="HB673" s="3"/>
    </row>
    <row r="674" spans="1:210" ht="15.75" customHeight="1">
      <c r="A674" s="50"/>
      <c r="B674" s="50"/>
      <c r="C674" s="50"/>
      <c r="D674" s="50"/>
      <c r="E674" s="50"/>
      <c r="F674" s="50"/>
      <c r="G674" s="51"/>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c r="AS674" s="50"/>
      <c r="AT674" s="50"/>
      <c r="AU674" s="50"/>
      <c r="AV674" s="50"/>
      <c r="AW674" s="50"/>
      <c r="AX674" s="50"/>
      <c r="AY674" s="50"/>
      <c r="AZ674" s="50"/>
      <c r="BA674" s="50"/>
      <c r="BB674" s="50"/>
      <c r="BC674" s="50"/>
      <c r="BD674" s="50"/>
      <c r="BE674" s="50"/>
      <c r="BF674" s="50"/>
      <c r="BG674" s="50"/>
      <c r="BH674" s="50"/>
      <c r="BI674" s="50"/>
      <c r="BJ674" s="50"/>
      <c r="BK674" s="50"/>
      <c r="BL674" s="50"/>
      <c r="BM674" s="50"/>
      <c r="BN674" s="50"/>
      <c r="BO674" s="50"/>
      <c r="BP674" s="50"/>
      <c r="BQ674" s="50"/>
      <c r="BR674" s="50"/>
      <c r="BS674" s="50"/>
      <c r="BT674" s="50"/>
      <c r="BU674" s="50"/>
      <c r="BV674" s="50"/>
      <c r="BW674" s="50"/>
      <c r="BX674" s="50"/>
      <c r="BY674" s="50"/>
      <c r="BZ674" s="50"/>
      <c r="CA674" s="50"/>
      <c r="CB674" s="50"/>
      <c r="CC674" s="50"/>
      <c r="CD674" s="52"/>
      <c r="CE674" s="50"/>
      <c r="CF674" s="50"/>
      <c r="CG674" s="50"/>
      <c r="CH674" s="50"/>
      <c r="CI674" s="50"/>
      <c r="CJ674" s="50"/>
      <c r="CK674" s="50"/>
      <c r="CL674" s="50"/>
      <c r="CM674" s="50"/>
      <c r="CN674" s="50"/>
      <c r="CO674" s="50"/>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c r="FF674" s="3"/>
      <c r="FG674" s="3"/>
      <c r="FH674" s="3"/>
      <c r="FI674" s="3"/>
      <c r="FJ674" s="3"/>
      <c r="FK674" s="3"/>
      <c r="FL674" s="3"/>
      <c r="FM674" s="3"/>
      <c r="FN674" s="3"/>
      <c r="FO674" s="3"/>
      <c r="FP674" s="3"/>
      <c r="FQ674" s="3"/>
      <c r="FR674" s="3"/>
      <c r="FS674" s="3"/>
      <c r="FT674" s="3"/>
      <c r="FU674" s="3"/>
      <c r="FV674" s="3"/>
      <c r="FW674" s="3"/>
      <c r="FX674" s="3"/>
      <c r="FY674" s="3"/>
      <c r="FZ674" s="3"/>
      <c r="GA674" s="3"/>
      <c r="GB674" s="3"/>
      <c r="GC674" s="3"/>
      <c r="GD674" s="3"/>
      <c r="GE674" s="3"/>
      <c r="GF674" s="3"/>
      <c r="GG674" s="3"/>
      <c r="GH674" s="3"/>
      <c r="GI674" s="3"/>
      <c r="GJ674" s="3"/>
      <c r="GK674" s="3"/>
      <c r="GL674" s="3"/>
      <c r="GM674" s="3"/>
      <c r="GN674" s="3"/>
      <c r="GO674" s="3"/>
      <c r="GP674" s="3"/>
      <c r="GQ674" s="3"/>
      <c r="GR674" s="3"/>
      <c r="GS674" s="3"/>
      <c r="GT674" s="3"/>
      <c r="GU674" s="3"/>
      <c r="GV674" s="3"/>
      <c r="GW674" s="3"/>
      <c r="GX674" s="3"/>
      <c r="GY674" s="3"/>
      <c r="GZ674" s="3"/>
      <c r="HA674" s="3"/>
      <c r="HB674" s="3"/>
    </row>
    <row r="675" spans="1:210" ht="15.75" customHeight="1">
      <c r="A675" s="50"/>
      <c r="B675" s="50"/>
      <c r="C675" s="50"/>
      <c r="D675" s="50"/>
      <c r="E675" s="50"/>
      <c r="F675" s="50"/>
      <c r="G675" s="51"/>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c r="AS675" s="50"/>
      <c r="AT675" s="50"/>
      <c r="AU675" s="50"/>
      <c r="AV675" s="50"/>
      <c r="AW675" s="50"/>
      <c r="AX675" s="50"/>
      <c r="AY675" s="50"/>
      <c r="AZ675" s="50"/>
      <c r="BA675" s="50"/>
      <c r="BB675" s="50"/>
      <c r="BC675" s="50"/>
      <c r="BD675" s="50"/>
      <c r="BE675" s="50"/>
      <c r="BF675" s="50"/>
      <c r="BG675" s="50"/>
      <c r="BH675" s="50"/>
      <c r="BI675" s="50"/>
      <c r="BJ675" s="50"/>
      <c r="BK675" s="50"/>
      <c r="BL675" s="50"/>
      <c r="BM675" s="50"/>
      <c r="BN675" s="50"/>
      <c r="BO675" s="50"/>
      <c r="BP675" s="50"/>
      <c r="BQ675" s="50"/>
      <c r="BR675" s="50"/>
      <c r="BS675" s="50"/>
      <c r="BT675" s="50"/>
      <c r="BU675" s="50"/>
      <c r="BV675" s="50"/>
      <c r="BW675" s="50"/>
      <c r="BX675" s="50"/>
      <c r="BY675" s="50"/>
      <c r="BZ675" s="50"/>
      <c r="CA675" s="50"/>
      <c r="CB675" s="50"/>
      <c r="CC675" s="50"/>
      <c r="CD675" s="52"/>
      <c r="CE675" s="50"/>
      <c r="CF675" s="50"/>
      <c r="CG675" s="50"/>
      <c r="CH675" s="50"/>
      <c r="CI675" s="50"/>
      <c r="CJ675" s="50"/>
      <c r="CK675" s="50"/>
      <c r="CL675" s="50"/>
      <c r="CM675" s="50"/>
      <c r="CN675" s="50"/>
      <c r="CO675" s="50"/>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c r="FF675" s="3"/>
      <c r="FG675" s="3"/>
      <c r="FH675" s="3"/>
      <c r="FI675" s="3"/>
      <c r="FJ675" s="3"/>
      <c r="FK675" s="3"/>
      <c r="FL675" s="3"/>
      <c r="FM675" s="3"/>
      <c r="FN675" s="3"/>
      <c r="FO675" s="3"/>
      <c r="FP675" s="3"/>
      <c r="FQ675" s="3"/>
      <c r="FR675" s="3"/>
      <c r="FS675" s="3"/>
      <c r="FT675" s="3"/>
      <c r="FU675" s="3"/>
      <c r="FV675" s="3"/>
      <c r="FW675" s="3"/>
      <c r="FX675" s="3"/>
      <c r="FY675" s="3"/>
      <c r="FZ675" s="3"/>
      <c r="GA675" s="3"/>
      <c r="GB675" s="3"/>
      <c r="GC675" s="3"/>
      <c r="GD675" s="3"/>
      <c r="GE675" s="3"/>
      <c r="GF675" s="3"/>
      <c r="GG675" s="3"/>
      <c r="GH675" s="3"/>
      <c r="GI675" s="3"/>
      <c r="GJ675" s="3"/>
      <c r="GK675" s="3"/>
      <c r="GL675" s="3"/>
      <c r="GM675" s="3"/>
      <c r="GN675" s="3"/>
      <c r="GO675" s="3"/>
      <c r="GP675" s="3"/>
      <c r="GQ675" s="3"/>
      <c r="GR675" s="3"/>
      <c r="GS675" s="3"/>
      <c r="GT675" s="3"/>
      <c r="GU675" s="3"/>
      <c r="GV675" s="3"/>
      <c r="GW675" s="3"/>
      <c r="GX675" s="3"/>
      <c r="GY675" s="3"/>
      <c r="GZ675" s="3"/>
      <c r="HA675" s="3"/>
      <c r="HB675" s="3"/>
    </row>
    <row r="676" spans="1:210" ht="15.75" customHeight="1">
      <c r="A676" s="50"/>
      <c r="B676" s="50"/>
      <c r="C676" s="50"/>
      <c r="D676" s="50"/>
      <c r="E676" s="50"/>
      <c r="F676" s="50"/>
      <c r="G676" s="51"/>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c r="AS676" s="50"/>
      <c r="AT676" s="50"/>
      <c r="AU676" s="50"/>
      <c r="AV676" s="50"/>
      <c r="AW676" s="50"/>
      <c r="AX676" s="50"/>
      <c r="AY676" s="50"/>
      <c r="AZ676" s="50"/>
      <c r="BA676" s="50"/>
      <c r="BB676" s="50"/>
      <c r="BC676" s="50"/>
      <c r="BD676" s="50"/>
      <c r="BE676" s="50"/>
      <c r="BF676" s="50"/>
      <c r="BG676" s="50"/>
      <c r="BH676" s="50"/>
      <c r="BI676" s="50"/>
      <c r="BJ676" s="50"/>
      <c r="BK676" s="50"/>
      <c r="BL676" s="50"/>
      <c r="BM676" s="50"/>
      <c r="BN676" s="50"/>
      <c r="BO676" s="50"/>
      <c r="BP676" s="50"/>
      <c r="BQ676" s="50"/>
      <c r="BR676" s="50"/>
      <c r="BS676" s="50"/>
      <c r="BT676" s="50"/>
      <c r="BU676" s="50"/>
      <c r="BV676" s="50"/>
      <c r="BW676" s="50"/>
      <c r="BX676" s="50"/>
      <c r="BY676" s="50"/>
      <c r="BZ676" s="50"/>
      <c r="CA676" s="50"/>
      <c r="CB676" s="50"/>
      <c r="CC676" s="50"/>
      <c r="CD676" s="52"/>
      <c r="CE676" s="50"/>
      <c r="CF676" s="50"/>
      <c r="CG676" s="50"/>
      <c r="CH676" s="50"/>
      <c r="CI676" s="50"/>
      <c r="CJ676" s="50"/>
      <c r="CK676" s="50"/>
      <c r="CL676" s="50"/>
      <c r="CM676" s="50"/>
      <c r="CN676" s="50"/>
      <c r="CO676" s="50"/>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c r="FF676" s="3"/>
      <c r="FG676" s="3"/>
      <c r="FH676" s="3"/>
      <c r="FI676" s="3"/>
      <c r="FJ676" s="3"/>
      <c r="FK676" s="3"/>
      <c r="FL676" s="3"/>
      <c r="FM676" s="3"/>
      <c r="FN676" s="3"/>
      <c r="FO676" s="3"/>
      <c r="FP676" s="3"/>
      <c r="FQ676" s="3"/>
      <c r="FR676" s="3"/>
      <c r="FS676" s="3"/>
      <c r="FT676" s="3"/>
      <c r="FU676" s="3"/>
      <c r="FV676" s="3"/>
      <c r="FW676" s="3"/>
      <c r="FX676" s="3"/>
      <c r="FY676" s="3"/>
      <c r="FZ676" s="3"/>
      <c r="GA676" s="3"/>
      <c r="GB676" s="3"/>
      <c r="GC676" s="3"/>
      <c r="GD676" s="3"/>
      <c r="GE676" s="3"/>
      <c r="GF676" s="3"/>
      <c r="GG676" s="3"/>
      <c r="GH676" s="3"/>
      <c r="GI676" s="3"/>
      <c r="GJ676" s="3"/>
      <c r="GK676" s="3"/>
      <c r="GL676" s="3"/>
      <c r="GM676" s="3"/>
      <c r="GN676" s="3"/>
      <c r="GO676" s="3"/>
      <c r="GP676" s="3"/>
      <c r="GQ676" s="3"/>
      <c r="GR676" s="3"/>
      <c r="GS676" s="3"/>
      <c r="GT676" s="3"/>
      <c r="GU676" s="3"/>
      <c r="GV676" s="3"/>
      <c r="GW676" s="3"/>
      <c r="GX676" s="3"/>
      <c r="GY676" s="3"/>
      <c r="GZ676" s="3"/>
      <c r="HA676" s="3"/>
      <c r="HB676" s="3"/>
    </row>
    <row r="677" spans="1:210" ht="15.75" customHeight="1">
      <c r="A677" s="50"/>
      <c r="B677" s="50"/>
      <c r="C677" s="50"/>
      <c r="D677" s="50"/>
      <c r="E677" s="50"/>
      <c r="F677" s="50"/>
      <c r="G677" s="51"/>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c r="AR677" s="50"/>
      <c r="AS677" s="50"/>
      <c r="AT677" s="50"/>
      <c r="AU677" s="50"/>
      <c r="AV677" s="50"/>
      <c r="AW677" s="50"/>
      <c r="AX677" s="50"/>
      <c r="AY677" s="50"/>
      <c r="AZ677" s="50"/>
      <c r="BA677" s="50"/>
      <c r="BB677" s="50"/>
      <c r="BC677" s="50"/>
      <c r="BD677" s="50"/>
      <c r="BE677" s="50"/>
      <c r="BF677" s="50"/>
      <c r="BG677" s="50"/>
      <c r="BH677" s="50"/>
      <c r="BI677" s="50"/>
      <c r="BJ677" s="50"/>
      <c r="BK677" s="50"/>
      <c r="BL677" s="50"/>
      <c r="BM677" s="50"/>
      <c r="BN677" s="50"/>
      <c r="BO677" s="50"/>
      <c r="BP677" s="50"/>
      <c r="BQ677" s="50"/>
      <c r="BR677" s="50"/>
      <c r="BS677" s="50"/>
      <c r="BT677" s="50"/>
      <c r="BU677" s="50"/>
      <c r="BV677" s="50"/>
      <c r="BW677" s="50"/>
      <c r="BX677" s="50"/>
      <c r="BY677" s="50"/>
      <c r="BZ677" s="50"/>
      <c r="CA677" s="50"/>
      <c r="CB677" s="50"/>
      <c r="CC677" s="50"/>
      <c r="CD677" s="52"/>
      <c r="CE677" s="50"/>
      <c r="CF677" s="50"/>
      <c r="CG677" s="50"/>
      <c r="CH677" s="50"/>
      <c r="CI677" s="50"/>
      <c r="CJ677" s="50"/>
      <c r="CK677" s="50"/>
      <c r="CL677" s="50"/>
      <c r="CM677" s="50"/>
      <c r="CN677" s="50"/>
      <c r="CO677" s="50"/>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c r="FF677" s="3"/>
      <c r="FG677" s="3"/>
      <c r="FH677" s="3"/>
      <c r="FI677" s="3"/>
      <c r="FJ677" s="3"/>
      <c r="FK677" s="3"/>
      <c r="FL677" s="3"/>
      <c r="FM677" s="3"/>
      <c r="FN677" s="3"/>
      <c r="FO677" s="3"/>
      <c r="FP677" s="3"/>
      <c r="FQ677" s="3"/>
      <c r="FR677" s="3"/>
      <c r="FS677" s="3"/>
      <c r="FT677" s="3"/>
      <c r="FU677" s="3"/>
      <c r="FV677" s="3"/>
      <c r="FW677" s="3"/>
      <c r="FX677" s="3"/>
      <c r="FY677" s="3"/>
      <c r="FZ677" s="3"/>
      <c r="GA677" s="3"/>
      <c r="GB677" s="3"/>
      <c r="GC677" s="3"/>
      <c r="GD677" s="3"/>
      <c r="GE677" s="3"/>
      <c r="GF677" s="3"/>
      <c r="GG677" s="3"/>
      <c r="GH677" s="3"/>
      <c r="GI677" s="3"/>
      <c r="GJ677" s="3"/>
      <c r="GK677" s="3"/>
      <c r="GL677" s="3"/>
      <c r="GM677" s="3"/>
      <c r="GN677" s="3"/>
      <c r="GO677" s="3"/>
      <c r="GP677" s="3"/>
      <c r="GQ677" s="3"/>
      <c r="GR677" s="3"/>
      <c r="GS677" s="3"/>
      <c r="GT677" s="3"/>
      <c r="GU677" s="3"/>
      <c r="GV677" s="3"/>
      <c r="GW677" s="3"/>
      <c r="GX677" s="3"/>
      <c r="GY677" s="3"/>
      <c r="GZ677" s="3"/>
      <c r="HA677" s="3"/>
      <c r="HB677" s="3"/>
    </row>
    <row r="678" spans="1:210" ht="15.75" customHeight="1">
      <c r="A678" s="50"/>
      <c r="B678" s="50"/>
      <c r="C678" s="50"/>
      <c r="D678" s="50"/>
      <c r="E678" s="50"/>
      <c r="F678" s="50"/>
      <c r="G678" s="51"/>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c r="AR678" s="50"/>
      <c r="AS678" s="50"/>
      <c r="AT678" s="50"/>
      <c r="AU678" s="50"/>
      <c r="AV678" s="50"/>
      <c r="AW678" s="50"/>
      <c r="AX678" s="50"/>
      <c r="AY678" s="50"/>
      <c r="AZ678" s="50"/>
      <c r="BA678" s="50"/>
      <c r="BB678" s="50"/>
      <c r="BC678" s="50"/>
      <c r="BD678" s="50"/>
      <c r="BE678" s="50"/>
      <c r="BF678" s="50"/>
      <c r="BG678" s="50"/>
      <c r="BH678" s="50"/>
      <c r="BI678" s="50"/>
      <c r="BJ678" s="50"/>
      <c r="BK678" s="50"/>
      <c r="BL678" s="50"/>
      <c r="BM678" s="50"/>
      <c r="BN678" s="50"/>
      <c r="BO678" s="50"/>
      <c r="BP678" s="50"/>
      <c r="BQ678" s="50"/>
      <c r="BR678" s="50"/>
      <c r="BS678" s="50"/>
      <c r="BT678" s="50"/>
      <c r="BU678" s="50"/>
      <c r="BV678" s="50"/>
      <c r="BW678" s="50"/>
      <c r="BX678" s="50"/>
      <c r="BY678" s="50"/>
      <c r="BZ678" s="50"/>
      <c r="CA678" s="50"/>
      <c r="CB678" s="50"/>
      <c r="CC678" s="50"/>
      <c r="CD678" s="52"/>
      <c r="CE678" s="50"/>
      <c r="CF678" s="50"/>
      <c r="CG678" s="50"/>
      <c r="CH678" s="50"/>
      <c r="CI678" s="50"/>
      <c r="CJ678" s="50"/>
      <c r="CK678" s="50"/>
      <c r="CL678" s="50"/>
      <c r="CM678" s="50"/>
      <c r="CN678" s="50"/>
      <c r="CO678" s="50"/>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c r="FF678" s="3"/>
      <c r="FG678" s="3"/>
      <c r="FH678" s="3"/>
      <c r="FI678" s="3"/>
      <c r="FJ678" s="3"/>
      <c r="FK678" s="3"/>
      <c r="FL678" s="3"/>
      <c r="FM678" s="3"/>
      <c r="FN678" s="3"/>
      <c r="FO678" s="3"/>
      <c r="FP678" s="3"/>
      <c r="FQ678" s="3"/>
      <c r="FR678" s="3"/>
      <c r="FS678" s="3"/>
      <c r="FT678" s="3"/>
      <c r="FU678" s="3"/>
      <c r="FV678" s="3"/>
      <c r="FW678" s="3"/>
      <c r="FX678" s="3"/>
      <c r="FY678" s="3"/>
      <c r="FZ678" s="3"/>
      <c r="GA678" s="3"/>
      <c r="GB678" s="3"/>
      <c r="GC678" s="3"/>
      <c r="GD678" s="3"/>
      <c r="GE678" s="3"/>
      <c r="GF678" s="3"/>
      <c r="GG678" s="3"/>
      <c r="GH678" s="3"/>
      <c r="GI678" s="3"/>
      <c r="GJ678" s="3"/>
      <c r="GK678" s="3"/>
      <c r="GL678" s="3"/>
      <c r="GM678" s="3"/>
      <c r="GN678" s="3"/>
      <c r="GO678" s="3"/>
      <c r="GP678" s="3"/>
      <c r="GQ678" s="3"/>
      <c r="GR678" s="3"/>
      <c r="GS678" s="3"/>
      <c r="GT678" s="3"/>
      <c r="GU678" s="3"/>
      <c r="GV678" s="3"/>
      <c r="GW678" s="3"/>
      <c r="GX678" s="3"/>
      <c r="GY678" s="3"/>
      <c r="GZ678" s="3"/>
      <c r="HA678" s="3"/>
      <c r="HB678" s="3"/>
    </row>
    <row r="679" spans="1:210" ht="15.75" customHeight="1">
      <c r="A679" s="50"/>
      <c r="B679" s="50"/>
      <c r="C679" s="50"/>
      <c r="D679" s="50"/>
      <c r="E679" s="50"/>
      <c r="F679" s="50"/>
      <c r="G679" s="51"/>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c r="AR679" s="50"/>
      <c r="AS679" s="50"/>
      <c r="AT679" s="50"/>
      <c r="AU679" s="50"/>
      <c r="AV679" s="50"/>
      <c r="AW679" s="50"/>
      <c r="AX679" s="50"/>
      <c r="AY679" s="50"/>
      <c r="AZ679" s="50"/>
      <c r="BA679" s="50"/>
      <c r="BB679" s="50"/>
      <c r="BC679" s="50"/>
      <c r="BD679" s="50"/>
      <c r="BE679" s="50"/>
      <c r="BF679" s="50"/>
      <c r="BG679" s="50"/>
      <c r="BH679" s="50"/>
      <c r="BI679" s="50"/>
      <c r="BJ679" s="50"/>
      <c r="BK679" s="50"/>
      <c r="BL679" s="50"/>
      <c r="BM679" s="50"/>
      <c r="BN679" s="50"/>
      <c r="BO679" s="50"/>
      <c r="BP679" s="50"/>
      <c r="BQ679" s="50"/>
      <c r="BR679" s="50"/>
      <c r="BS679" s="50"/>
      <c r="BT679" s="50"/>
      <c r="BU679" s="50"/>
      <c r="BV679" s="50"/>
      <c r="BW679" s="50"/>
      <c r="BX679" s="50"/>
      <c r="BY679" s="50"/>
      <c r="BZ679" s="50"/>
      <c r="CA679" s="50"/>
      <c r="CB679" s="50"/>
      <c r="CC679" s="50"/>
      <c r="CD679" s="52"/>
      <c r="CE679" s="50"/>
      <c r="CF679" s="50"/>
      <c r="CG679" s="50"/>
      <c r="CH679" s="50"/>
      <c r="CI679" s="50"/>
      <c r="CJ679" s="50"/>
      <c r="CK679" s="50"/>
      <c r="CL679" s="50"/>
      <c r="CM679" s="50"/>
      <c r="CN679" s="50"/>
      <c r="CO679" s="50"/>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c r="FF679" s="3"/>
      <c r="FG679" s="3"/>
      <c r="FH679" s="3"/>
      <c r="FI679" s="3"/>
      <c r="FJ679" s="3"/>
      <c r="FK679" s="3"/>
      <c r="FL679" s="3"/>
      <c r="FM679" s="3"/>
      <c r="FN679" s="3"/>
      <c r="FO679" s="3"/>
      <c r="FP679" s="3"/>
      <c r="FQ679" s="3"/>
      <c r="FR679" s="3"/>
      <c r="FS679" s="3"/>
      <c r="FT679" s="3"/>
      <c r="FU679" s="3"/>
      <c r="FV679" s="3"/>
      <c r="FW679" s="3"/>
      <c r="FX679" s="3"/>
      <c r="FY679" s="3"/>
      <c r="FZ679" s="3"/>
      <c r="GA679" s="3"/>
      <c r="GB679" s="3"/>
      <c r="GC679" s="3"/>
      <c r="GD679" s="3"/>
      <c r="GE679" s="3"/>
      <c r="GF679" s="3"/>
      <c r="GG679" s="3"/>
      <c r="GH679" s="3"/>
      <c r="GI679" s="3"/>
      <c r="GJ679" s="3"/>
      <c r="GK679" s="3"/>
      <c r="GL679" s="3"/>
      <c r="GM679" s="3"/>
      <c r="GN679" s="3"/>
      <c r="GO679" s="3"/>
      <c r="GP679" s="3"/>
      <c r="GQ679" s="3"/>
      <c r="GR679" s="3"/>
      <c r="GS679" s="3"/>
      <c r="GT679" s="3"/>
      <c r="GU679" s="3"/>
      <c r="GV679" s="3"/>
      <c r="GW679" s="3"/>
      <c r="GX679" s="3"/>
      <c r="GY679" s="3"/>
      <c r="GZ679" s="3"/>
      <c r="HA679" s="3"/>
      <c r="HB679" s="3"/>
    </row>
    <row r="680" spans="1:210" ht="15.75" customHeight="1">
      <c r="A680" s="50"/>
      <c r="B680" s="50"/>
      <c r="C680" s="50"/>
      <c r="D680" s="50"/>
      <c r="E680" s="50"/>
      <c r="F680" s="50"/>
      <c r="G680" s="51"/>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c r="AR680" s="50"/>
      <c r="AS680" s="50"/>
      <c r="AT680" s="50"/>
      <c r="AU680" s="50"/>
      <c r="AV680" s="50"/>
      <c r="AW680" s="50"/>
      <c r="AX680" s="50"/>
      <c r="AY680" s="50"/>
      <c r="AZ680" s="50"/>
      <c r="BA680" s="50"/>
      <c r="BB680" s="50"/>
      <c r="BC680" s="50"/>
      <c r="BD680" s="50"/>
      <c r="BE680" s="50"/>
      <c r="BF680" s="50"/>
      <c r="BG680" s="50"/>
      <c r="BH680" s="50"/>
      <c r="BI680" s="50"/>
      <c r="BJ680" s="50"/>
      <c r="BK680" s="50"/>
      <c r="BL680" s="50"/>
      <c r="BM680" s="50"/>
      <c r="BN680" s="50"/>
      <c r="BO680" s="50"/>
      <c r="BP680" s="50"/>
      <c r="BQ680" s="50"/>
      <c r="BR680" s="50"/>
      <c r="BS680" s="50"/>
      <c r="BT680" s="50"/>
      <c r="BU680" s="50"/>
      <c r="BV680" s="50"/>
      <c r="BW680" s="50"/>
      <c r="BX680" s="50"/>
      <c r="BY680" s="50"/>
      <c r="BZ680" s="50"/>
      <c r="CA680" s="50"/>
      <c r="CB680" s="50"/>
      <c r="CC680" s="50"/>
      <c r="CD680" s="52"/>
      <c r="CE680" s="50"/>
      <c r="CF680" s="50"/>
      <c r="CG680" s="50"/>
      <c r="CH680" s="50"/>
      <c r="CI680" s="50"/>
      <c r="CJ680" s="50"/>
      <c r="CK680" s="50"/>
      <c r="CL680" s="50"/>
      <c r="CM680" s="50"/>
      <c r="CN680" s="50"/>
      <c r="CO680" s="50"/>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c r="FF680" s="3"/>
      <c r="FG680" s="3"/>
      <c r="FH680" s="3"/>
      <c r="FI680" s="3"/>
      <c r="FJ680" s="3"/>
      <c r="FK680" s="3"/>
      <c r="FL680" s="3"/>
      <c r="FM680" s="3"/>
      <c r="FN680" s="3"/>
      <c r="FO680" s="3"/>
      <c r="FP680" s="3"/>
      <c r="FQ680" s="3"/>
      <c r="FR680" s="3"/>
      <c r="FS680" s="3"/>
      <c r="FT680" s="3"/>
      <c r="FU680" s="3"/>
      <c r="FV680" s="3"/>
      <c r="FW680" s="3"/>
      <c r="FX680" s="3"/>
      <c r="FY680" s="3"/>
      <c r="FZ680" s="3"/>
      <c r="GA680" s="3"/>
      <c r="GB680" s="3"/>
      <c r="GC680" s="3"/>
      <c r="GD680" s="3"/>
      <c r="GE680" s="3"/>
      <c r="GF680" s="3"/>
      <c r="GG680" s="3"/>
      <c r="GH680" s="3"/>
      <c r="GI680" s="3"/>
      <c r="GJ680" s="3"/>
      <c r="GK680" s="3"/>
      <c r="GL680" s="3"/>
      <c r="GM680" s="3"/>
      <c r="GN680" s="3"/>
      <c r="GO680" s="3"/>
      <c r="GP680" s="3"/>
      <c r="GQ680" s="3"/>
      <c r="GR680" s="3"/>
      <c r="GS680" s="3"/>
      <c r="GT680" s="3"/>
      <c r="GU680" s="3"/>
      <c r="GV680" s="3"/>
      <c r="GW680" s="3"/>
      <c r="GX680" s="3"/>
      <c r="GY680" s="3"/>
      <c r="GZ680" s="3"/>
      <c r="HA680" s="3"/>
      <c r="HB680" s="3"/>
    </row>
    <row r="681" spans="1:210" ht="15.75" customHeight="1">
      <c r="A681" s="50"/>
      <c r="B681" s="50"/>
      <c r="C681" s="50"/>
      <c r="D681" s="50"/>
      <c r="E681" s="50"/>
      <c r="F681" s="50"/>
      <c r="G681" s="51"/>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c r="AR681" s="50"/>
      <c r="AS681" s="50"/>
      <c r="AT681" s="50"/>
      <c r="AU681" s="50"/>
      <c r="AV681" s="50"/>
      <c r="AW681" s="50"/>
      <c r="AX681" s="50"/>
      <c r="AY681" s="50"/>
      <c r="AZ681" s="50"/>
      <c r="BA681" s="50"/>
      <c r="BB681" s="50"/>
      <c r="BC681" s="50"/>
      <c r="BD681" s="50"/>
      <c r="BE681" s="50"/>
      <c r="BF681" s="50"/>
      <c r="BG681" s="50"/>
      <c r="BH681" s="50"/>
      <c r="BI681" s="50"/>
      <c r="BJ681" s="50"/>
      <c r="BK681" s="50"/>
      <c r="BL681" s="50"/>
      <c r="BM681" s="50"/>
      <c r="BN681" s="50"/>
      <c r="BO681" s="50"/>
      <c r="BP681" s="50"/>
      <c r="BQ681" s="50"/>
      <c r="BR681" s="50"/>
      <c r="BS681" s="50"/>
      <c r="BT681" s="50"/>
      <c r="BU681" s="50"/>
      <c r="BV681" s="50"/>
      <c r="BW681" s="50"/>
      <c r="BX681" s="50"/>
      <c r="BY681" s="50"/>
      <c r="BZ681" s="50"/>
      <c r="CA681" s="50"/>
      <c r="CB681" s="50"/>
      <c r="CC681" s="50"/>
      <c r="CD681" s="52"/>
      <c r="CE681" s="50"/>
      <c r="CF681" s="50"/>
      <c r="CG681" s="50"/>
      <c r="CH681" s="50"/>
      <c r="CI681" s="50"/>
      <c r="CJ681" s="50"/>
      <c r="CK681" s="50"/>
      <c r="CL681" s="50"/>
      <c r="CM681" s="50"/>
      <c r="CN681" s="50"/>
      <c r="CO681" s="50"/>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c r="FF681" s="3"/>
      <c r="FG681" s="3"/>
      <c r="FH681" s="3"/>
      <c r="FI681" s="3"/>
      <c r="FJ681" s="3"/>
      <c r="FK681" s="3"/>
      <c r="FL681" s="3"/>
      <c r="FM681" s="3"/>
      <c r="FN681" s="3"/>
      <c r="FO681" s="3"/>
      <c r="FP681" s="3"/>
      <c r="FQ681" s="3"/>
      <c r="FR681" s="3"/>
      <c r="FS681" s="3"/>
      <c r="FT681" s="3"/>
      <c r="FU681" s="3"/>
      <c r="FV681" s="3"/>
      <c r="FW681" s="3"/>
      <c r="FX681" s="3"/>
      <c r="FY681" s="3"/>
      <c r="FZ681" s="3"/>
      <c r="GA681" s="3"/>
      <c r="GB681" s="3"/>
      <c r="GC681" s="3"/>
      <c r="GD681" s="3"/>
      <c r="GE681" s="3"/>
      <c r="GF681" s="3"/>
      <c r="GG681" s="3"/>
      <c r="GH681" s="3"/>
      <c r="GI681" s="3"/>
      <c r="GJ681" s="3"/>
      <c r="GK681" s="3"/>
      <c r="GL681" s="3"/>
      <c r="GM681" s="3"/>
      <c r="GN681" s="3"/>
      <c r="GO681" s="3"/>
      <c r="GP681" s="3"/>
      <c r="GQ681" s="3"/>
      <c r="GR681" s="3"/>
      <c r="GS681" s="3"/>
      <c r="GT681" s="3"/>
      <c r="GU681" s="3"/>
      <c r="GV681" s="3"/>
      <c r="GW681" s="3"/>
      <c r="GX681" s="3"/>
      <c r="GY681" s="3"/>
      <c r="GZ681" s="3"/>
      <c r="HA681" s="3"/>
      <c r="HB681" s="3"/>
    </row>
    <row r="682" spans="1:210" ht="15.75" customHeight="1">
      <c r="A682" s="50"/>
      <c r="B682" s="50"/>
      <c r="C682" s="50"/>
      <c r="D682" s="50"/>
      <c r="E682" s="50"/>
      <c r="F682" s="50"/>
      <c r="G682" s="51"/>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c r="AR682" s="50"/>
      <c r="AS682" s="50"/>
      <c r="AT682" s="50"/>
      <c r="AU682" s="50"/>
      <c r="AV682" s="50"/>
      <c r="AW682" s="50"/>
      <c r="AX682" s="50"/>
      <c r="AY682" s="50"/>
      <c r="AZ682" s="50"/>
      <c r="BA682" s="50"/>
      <c r="BB682" s="50"/>
      <c r="BC682" s="50"/>
      <c r="BD682" s="50"/>
      <c r="BE682" s="50"/>
      <c r="BF682" s="50"/>
      <c r="BG682" s="50"/>
      <c r="BH682" s="50"/>
      <c r="BI682" s="50"/>
      <c r="BJ682" s="50"/>
      <c r="BK682" s="50"/>
      <c r="BL682" s="50"/>
      <c r="BM682" s="50"/>
      <c r="BN682" s="50"/>
      <c r="BO682" s="50"/>
      <c r="BP682" s="50"/>
      <c r="BQ682" s="50"/>
      <c r="BR682" s="50"/>
      <c r="BS682" s="50"/>
      <c r="BT682" s="50"/>
      <c r="BU682" s="50"/>
      <c r="BV682" s="50"/>
      <c r="BW682" s="50"/>
      <c r="BX682" s="50"/>
      <c r="BY682" s="50"/>
      <c r="BZ682" s="50"/>
      <c r="CA682" s="50"/>
      <c r="CB682" s="50"/>
      <c r="CC682" s="50"/>
      <c r="CD682" s="52"/>
      <c r="CE682" s="50"/>
      <c r="CF682" s="50"/>
      <c r="CG682" s="50"/>
      <c r="CH682" s="50"/>
      <c r="CI682" s="50"/>
      <c r="CJ682" s="50"/>
      <c r="CK682" s="50"/>
      <c r="CL682" s="50"/>
      <c r="CM682" s="50"/>
      <c r="CN682" s="50"/>
      <c r="CO682" s="50"/>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c r="FF682" s="3"/>
      <c r="FG682" s="3"/>
      <c r="FH682" s="3"/>
      <c r="FI682" s="3"/>
      <c r="FJ682" s="3"/>
      <c r="FK682" s="3"/>
      <c r="FL682" s="3"/>
      <c r="FM682" s="3"/>
      <c r="FN682" s="3"/>
      <c r="FO682" s="3"/>
      <c r="FP682" s="3"/>
      <c r="FQ682" s="3"/>
      <c r="FR682" s="3"/>
      <c r="FS682" s="3"/>
      <c r="FT682" s="3"/>
      <c r="FU682" s="3"/>
      <c r="FV682" s="3"/>
      <c r="FW682" s="3"/>
      <c r="FX682" s="3"/>
      <c r="FY682" s="3"/>
      <c r="FZ682" s="3"/>
      <c r="GA682" s="3"/>
      <c r="GB682" s="3"/>
      <c r="GC682" s="3"/>
      <c r="GD682" s="3"/>
      <c r="GE682" s="3"/>
      <c r="GF682" s="3"/>
      <c r="GG682" s="3"/>
      <c r="GH682" s="3"/>
      <c r="GI682" s="3"/>
      <c r="GJ682" s="3"/>
      <c r="GK682" s="3"/>
      <c r="GL682" s="3"/>
      <c r="GM682" s="3"/>
      <c r="GN682" s="3"/>
      <c r="GO682" s="3"/>
      <c r="GP682" s="3"/>
      <c r="GQ682" s="3"/>
      <c r="GR682" s="3"/>
      <c r="GS682" s="3"/>
      <c r="GT682" s="3"/>
      <c r="GU682" s="3"/>
      <c r="GV682" s="3"/>
      <c r="GW682" s="3"/>
      <c r="GX682" s="3"/>
      <c r="GY682" s="3"/>
      <c r="GZ682" s="3"/>
      <c r="HA682" s="3"/>
      <c r="HB682" s="3"/>
    </row>
    <row r="683" spans="1:210" ht="15.75" customHeight="1">
      <c r="A683" s="50"/>
      <c r="B683" s="50"/>
      <c r="C683" s="50"/>
      <c r="D683" s="50"/>
      <c r="E683" s="50"/>
      <c r="F683" s="50"/>
      <c r="G683" s="51"/>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c r="AR683" s="50"/>
      <c r="AS683" s="50"/>
      <c r="AT683" s="50"/>
      <c r="AU683" s="50"/>
      <c r="AV683" s="50"/>
      <c r="AW683" s="50"/>
      <c r="AX683" s="50"/>
      <c r="AY683" s="50"/>
      <c r="AZ683" s="50"/>
      <c r="BA683" s="50"/>
      <c r="BB683" s="50"/>
      <c r="BC683" s="50"/>
      <c r="BD683" s="50"/>
      <c r="BE683" s="50"/>
      <c r="BF683" s="50"/>
      <c r="BG683" s="50"/>
      <c r="BH683" s="50"/>
      <c r="BI683" s="50"/>
      <c r="BJ683" s="50"/>
      <c r="BK683" s="50"/>
      <c r="BL683" s="50"/>
      <c r="BM683" s="50"/>
      <c r="BN683" s="50"/>
      <c r="BO683" s="50"/>
      <c r="BP683" s="50"/>
      <c r="BQ683" s="50"/>
      <c r="BR683" s="50"/>
      <c r="BS683" s="50"/>
      <c r="BT683" s="50"/>
      <c r="BU683" s="50"/>
      <c r="BV683" s="50"/>
      <c r="BW683" s="50"/>
      <c r="BX683" s="50"/>
      <c r="BY683" s="50"/>
      <c r="BZ683" s="50"/>
      <c r="CA683" s="50"/>
      <c r="CB683" s="50"/>
      <c r="CC683" s="50"/>
      <c r="CD683" s="52"/>
      <c r="CE683" s="50"/>
      <c r="CF683" s="50"/>
      <c r="CG683" s="50"/>
      <c r="CH683" s="50"/>
      <c r="CI683" s="50"/>
      <c r="CJ683" s="50"/>
      <c r="CK683" s="50"/>
      <c r="CL683" s="50"/>
      <c r="CM683" s="50"/>
      <c r="CN683" s="50"/>
      <c r="CO683" s="50"/>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c r="FF683" s="3"/>
      <c r="FG683" s="3"/>
      <c r="FH683" s="3"/>
      <c r="FI683" s="3"/>
      <c r="FJ683" s="3"/>
      <c r="FK683" s="3"/>
      <c r="FL683" s="3"/>
      <c r="FM683" s="3"/>
      <c r="FN683" s="3"/>
      <c r="FO683" s="3"/>
      <c r="FP683" s="3"/>
      <c r="FQ683" s="3"/>
      <c r="FR683" s="3"/>
      <c r="FS683" s="3"/>
      <c r="FT683" s="3"/>
      <c r="FU683" s="3"/>
      <c r="FV683" s="3"/>
      <c r="FW683" s="3"/>
      <c r="FX683" s="3"/>
      <c r="FY683" s="3"/>
      <c r="FZ683" s="3"/>
      <c r="GA683" s="3"/>
      <c r="GB683" s="3"/>
      <c r="GC683" s="3"/>
      <c r="GD683" s="3"/>
      <c r="GE683" s="3"/>
      <c r="GF683" s="3"/>
      <c r="GG683" s="3"/>
      <c r="GH683" s="3"/>
      <c r="GI683" s="3"/>
      <c r="GJ683" s="3"/>
      <c r="GK683" s="3"/>
      <c r="GL683" s="3"/>
      <c r="GM683" s="3"/>
      <c r="GN683" s="3"/>
      <c r="GO683" s="3"/>
      <c r="GP683" s="3"/>
      <c r="GQ683" s="3"/>
      <c r="GR683" s="3"/>
      <c r="GS683" s="3"/>
      <c r="GT683" s="3"/>
      <c r="GU683" s="3"/>
      <c r="GV683" s="3"/>
      <c r="GW683" s="3"/>
      <c r="GX683" s="3"/>
      <c r="GY683" s="3"/>
      <c r="GZ683" s="3"/>
      <c r="HA683" s="3"/>
      <c r="HB683" s="3"/>
    </row>
    <row r="684" spans="1:210" ht="15.75" customHeight="1">
      <c r="A684" s="50"/>
      <c r="B684" s="50"/>
      <c r="C684" s="50"/>
      <c r="D684" s="50"/>
      <c r="E684" s="50"/>
      <c r="F684" s="50"/>
      <c r="G684" s="51"/>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c r="AR684" s="50"/>
      <c r="AS684" s="50"/>
      <c r="AT684" s="50"/>
      <c r="AU684" s="50"/>
      <c r="AV684" s="50"/>
      <c r="AW684" s="50"/>
      <c r="AX684" s="50"/>
      <c r="AY684" s="50"/>
      <c r="AZ684" s="50"/>
      <c r="BA684" s="50"/>
      <c r="BB684" s="50"/>
      <c r="BC684" s="50"/>
      <c r="BD684" s="50"/>
      <c r="BE684" s="50"/>
      <c r="BF684" s="50"/>
      <c r="BG684" s="50"/>
      <c r="BH684" s="50"/>
      <c r="BI684" s="50"/>
      <c r="BJ684" s="50"/>
      <c r="BK684" s="50"/>
      <c r="BL684" s="50"/>
      <c r="BM684" s="50"/>
      <c r="BN684" s="50"/>
      <c r="BO684" s="50"/>
      <c r="BP684" s="50"/>
      <c r="BQ684" s="50"/>
      <c r="BR684" s="50"/>
      <c r="BS684" s="50"/>
      <c r="BT684" s="50"/>
      <c r="BU684" s="50"/>
      <c r="BV684" s="50"/>
      <c r="BW684" s="50"/>
      <c r="BX684" s="50"/>
      <c r="BY684" s="50"/>
      <c r="BZ684" s="50"/>
      <c r="CA684" s="50"/>
      <c r="CB684" s="50"/>
      <c r="CC684" s="50"/>
      <c r="CD684" s="52"/>
      <c r="CE684" s="50"/>
      <c r="CF684" s="50"/>
      <c r="CG684" s="50"/>
      <c r="CH684" s="50"/>
      <c r="CI684" s="50"/>
      <c r="CJ684" s="50"/>
      <c r="CK684" s="50"/>
      <c r="CL684" s="50"/>
      <c r="CM684" s="50"/>
      <c r="CN684" s="50"/>
      <c r="CO684" s="50"/>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c r="FF684" s="3"/>
      <c r="FG684" s="3"/>
      <c r="FH684" s="3"/>
      <c r="FI684" s="3"/>
      <c r="FJ684" s="3"/>
      <c r="FK684" s="3"/>
      <c r="FL684" s="3"/>
      <c r="FM684" s="3"/>
      <c r="FN684" s="3"/>
      <c r="FO684" s="3"/>
      <c r="FP684" s="3"/>
      <c r="FQ684" s="3"/>
      <c r="FR684" s="3"/>
      <c r="FS684" s="3"/>
      <c r="FT684" s="3"/>
      <c r="FU684" s="3"/>
      <c r="FV684" s="3"/>
      <c r="FW684" s="3"/>
      <c r="FX684" s="3"/>
      <c r="FY684" s="3"/>
      <c r="FZ684" s="3"/>
      <c r="GA684" s="3"/>
      <c r="GB684" s="3"/>
      <c r="GC684" s="3"/>
      <c r="GD684" s="3"/>
      <c r="GE684" s="3"/>
      <c r="GF684" s="3"/>
      <c r="GG684" s="3"/>
      <c r="GH684" s="3"/>
      <c r="GI684" s="3"/>
      <c r="GJ684" s="3"/>
      <c r="GK684" s="3"/>
      <c r="GL684" s="3"/>
      <c r="GM684" s="3"/>
      <c r="GN684" s="3"/>
      <c r="GO684" s="3"/>
      <c r="GP684" s="3"/>
      <c r="GQ684" s="3"/>
      <c r="GR684" s="3"/>
      <c r="GS684" s="3"/>
      <c r="GT684" s="3"/>
      <c r="GU684" s="3"/>
      <c r="GV684" s="3"/>
      <c r="GW684" s="3"/>
      <c r="GX684" s="3"/>
      <c r="GY684" s="3"/>
      <c r="GZ684" s="3"/>
      <c r="HA684" s="3"/>
      <c r="HB684" s="3"/>
    </row>
    <row r="685" spans="1:210" ht="15.75" customHeight="1">
      <c r="A685" s="50"/>
      <c r="B685" s="50"/>
      <c r="C685" s="50"/>
      <c r="D685" s="50"/>
      <c r="E685" s="50"/>
      <c r="F685" s="50"/>
      <c r="G685" s="51"/>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c r="AR685" s="50"/>
      <c r="AS685" s="50"/>
      <c r="AT685" s="50"/>
      <c r="AU685" s="50"/>
      <c r="AV685" s="50"/>
      <c r="AW685" s="50"/>
      <c r="AX685" s="50"/>
      <c r="AY685" s="50"/>
      <c r="AZ685" s="50"/>
      <c r="BA685" s="50"/>
      <c r="BB685" s="50"/>
      <c r="BC685" s="50"/>
      <c r="BD685" s="50"/>
      <c r="BE685" s="50"/>
      <c r="BF685" s="50"/>
      <c r="BG685" s="50"/>
      <c r="BH685" s="50"/>
      <c r="BI685" s="50"/>
      <c r="BJ685" s="50"/>
      <c r="BK685" s="50"/>
      <c r="BL685" s="50"/>
      <c r="BM685" s="50"/>
      <c r="BN685" s="50"/>
      <c r="BO685" s="50"/>
      <c r="BP685" s="50"/>
      <c r="BQ685" s="50"/>
      <c r="BR685" s="50"/>
      <c r="BS685" s="50"/>
      <c r="BT685" s="50"/>
      <c r="BU685" s="50"/>
      <c r="BV685" s="50"/>
      <c r="BW685" s="50"/>
      <c r="BX685" s="50"/>
      <c r="BY685" s="50"/>
      <c r="BZ685" s="50"/>
      <c r="CA685" s="50"/>
      <c r="CB685" s="50"/>
      <c r="CC685" s="50"/>
      <c r="CD685" s="52"/>
      <c r="CE685" s="50"/>
      <c r="CF685" s="50"/>
      <c r="CG685" s="50"/>
      <c r="CH685" s="50"/>
      <c r="CI685" s="50"/>
      <c r="CJ685" s="50"/>
      <c r="CK685" s="50"/>
      <c r="CL685" s="50"/>
      <c r="CM685" s="50"/>
      <c r="CN685" s="50"/>
      <c r="CO685" s="50"/>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c r="FF685" s="3"/>
      <c r="FG685" s="3"/>
      <c r="FH685" s="3"/>
      <c r="FI685" s="3"/>
      <c r="FJ685" s="3"/>
      <c r="FK685" s="3"/>
      <c r="FL685" s="3"/>
      <c r="FM685" s="3"/>
      <c r="FN685" s="3"/>
      <c r="FO685" s="3"/>
      <c r="FP685" s="3"/>
      <c r="FQ685" s="3"/>
      <c r="FR685" s="3"/>
      <c r="FS685" s="3"/>
      <c r="FT685" s="3"/>
      <c r="FU685" s="3"/>
      <c r="FV685" s="3"/>
      <c r="FW685" s="3"/>
      <c r="FX685" s="3"/>
      <c r="FY685" s="3"/>
      <c r="FZ685" s="3"/>
      <c r="GA685" s="3"/>
      <c r="GB685" s="3"/>
      <c r="GC685" s="3"/>
      <c r="GD685" s="3"/>
      <c r="GE685" s="3"/>
      <c r="GF685" s="3"/>
      <c r="GG685" s="3"/>
      <c r="GH685" s="3"/>
      <c r="GI685" s="3"/>
      <c r="GJ685" s="3"/>
      <c r="GK685" s="3"/>
      <c r="GL685" s="3"/>
      <c r="GM685" s="3"/>
      <c r="GN685" s="3"/>
      <c r="GO685" s="3"/>
      <c r="GP685" s="3"/>
      <c r="GQ685" s="3"/>
      <c r="GR685" s="3"/>
      <c r="GS685" s="3"/>
      <c r="GT685" s="3"/>
      <c r="GU685" s="3"/>
      <c r="GV685" s="3"/>
      <c r="GW685" s="3"/>
      <c r="GX685" s="3"/>
      <c r="GY685" s="3"/>
      <c r="GZ685" s="3"/>
      <c r="HA685" s="3"/>
      <c r="HB685" s="3"/>
    </row>
    <row r="686" spans="1:210" ht="15.75" customHeight="1">
      <c r="A686" s="50"/>
      <c r="B686" s="50"/>
      <c r="C686" s="50"/>
      <c r="D686" s="50"/>
      <c r="E686" s="50"/>
      <c r="F686" s="50"/>
      <c r="G686" s="51"/>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c r="AR686" s="50"/>
      <c r="AS686" s="50"/>
      <c r="AT686" s="50"/>
      <c r="AU686" s="50"/>
      <c r="AV686" s="50"/>
      <c r="AW686" s="50"/>
      <c r="AX686" s="50"/>
      <c r="AY686" s="50"/>
      <c r="AZ686" s="50"/>
      <c r="BA686" s="50"/>
      <c r="BB686" s="50"/>
      <c r="BC686" s="50"/>
      <c r="BD686" s="50"/>
      <c r="BE686" s="50"/>
      <c r="BF686" s="50"/>
      <c r="BG686" s="50"/>
      <c r="BH686" s="50"/>
      <c r="BI686" s="50"/>
      <c r="BJ686" s="50"/>
      <c r="BK686" s="50"/>
      <c r="BL686" s="50"/>
      <c r="BM686" s="50"/>
      <c r="BN686" s="50"/>
      <c r="BO686" s="50"/>
      <c r="BP686" s="50"/>
      <c r="BQ686" s="50"/>
      <c r="BR686" s="50"/>
      <c r="BS686" s="50"/>
      <c r="BT686" s="50"/>
      <c r="BU686" s="50"/>
      <c r="BV686" s="50"/>
      <c r="BW686" s="50"/>
      <c r="BX686" s="50"/>
      <c r="BY686" s="50"/>
      <c r="BZ686" s="50"/>
      <c r="CA686" s="50"/>
      <c r="CB686" s="50"/>
      <c r="CC686" s="50"/>
      <c r="CD686" s="52"/>
      <c r="CE686" s="50"/>
      <c r="CF686" s="50"/>
      <c r="CG686" s="50"/>
      <c r="CH686" s="50"/>
      <c r="CI686" s="50"/>
      <c r="CJ686" s="50"/>
      <c r="CK686" s="50"/>
      <c r="CL686" s="50"/>
      <c r="CM686" s="50"/>
      <c r="CN686" s="50"/>
      <c r="CO686" s="50"/>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c r="FF686" s="3"/>
      <c r="FG686" s="3"/>
      <c r="FH686" s="3"/>
      <c r="FI686" s="3"/>
      <c r="FJ686" s="3"/>
      <c r="FK686" s="3"/>
      <c r="FL686" s="3"/>
      <c r="FM686" s="3"/>
      <c r="FN686" s="3"/>
      <c r="FO686" s="3"/>
      <c r="FP686" s="3"/>
      <c r="FQ686" s="3"/>
      <c r="FR686" s="3"/>
      <c r="FS686" s="3"/>
      <c r="FT686" s="3"/>
      <c r="FU686" s="3"/>
      <c r="FV686" s="3"/>
      <c r="FW686" s="3"/>
      <c r="FX686" s="3"/>
      <c r="FY686" s="3"/>
      <c r="FZ686" s="3"/>
      <c r="GA686" s="3"/>
      <c r="GB686" s="3"/>
      <c r="GC686" s="3"/>
      <c r="GD686" s="3"/>
      <c r="GE686" s="3"/>
      <c r="GF686" s="3"/>
      <c r="GG686" s="3"/>
      <c r="GH686" s="3"/>
      <c r="GI686" s="3"/>
      <c r="GJ686" s="3"/>
      <c r="GK686" s="3"/>
      <c r="GL686" s="3"/>
      <c r="GM686" s="3"/>
      <c r="GN686" s="3"/>
      <c r="GO686" s="3"/>
      <c r="GP686" s="3"/>
      <c r="GQ686" s="3"/>
      <c r="GR686" s="3"/>
      <c r="GS686" s="3"/>
      <c r="GT686" s="3"/>
      <c r="GU686" s="3"/>
      <c r="GV686" s="3"/>
      <c r="GW686" s="3"/>
      <c r="GX686" s="3"/>
      <c r="GY686" s="3"/>
      <c r="GZ686" s="3"/>
      <c r="HA686" s="3"/>
      <c r="HB686" s="3"/>
    </row>
    <row r="687" spans="1:210" ht="15.75" customHeight="1">
      <c r="A687" s="50"/>
      <c r="B687" s="50"/>
      <c r="C687" s="50"/>
      <c r="D687" s="50"/>
      <c r="E687" s="50"/>
      <c r="F687" s="50"/>
      <c r="G687" s="51"/>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c r="AR687" s="50"/>
      <c r="AS687" s="50"/>
      <c r="AT687" s="50"/>
      <c r="AU687" s="50"/>
      <c r="AV687" s="50"/>
      <c r="AW687" s="50"/>
      <c r="AX687" s="50"/>
      <c r="AY687" s="50"/>
      <c r="AZ687" s="50"/>
      <c r="BA687" s="50"/>
      <c r="BB687" s="50"/>
      <c r="BC687" s="50"/>
      <c r="BD687" s="50"/>
      <c r="BE687" s="50"/>
      <c r="BF687" s="50"/>
      <c r="BG687" s="50"/>
      <c r="BH687" s="50"/>
      <c r="BI687" s="50"/>
      <c r="BJ687" s="50"/>
      <c r="BK687" s="50"/>
      <c r="BL687" s="50"/>
      <c r="BM687" s="50"/>
      <c r="BN687" s="50"/>
      <c r="BO687" s="50"/>
      <c r="BP687" s="50"/>
      <c r="BQ687" s="50"/>
      <c r="BR687" s="50"/>
      <c r="BS687" s="50"/>
      <c r="BT687" s="50"/>
      <c r="BU687" s="50"/>
      <c r="BV687" s="50"/>
      <c r="BW687" s="50"/>
      <c r="BX687" s="50"/>
      <c r="BY687" s="50"/>
      <c r="BZ687" s="50"/>
      <c r="CA687" s="50"/>
      <c r="CB687" s="50"/>
      <c r="CC687" s="50"/>
      <c r="CD687" s="52"/>
      <c r="CE687" s="50"/>
      <c r="CF687" s="50"/>
      <c r="CG687" s="50"/>
      <c r="CH687" s="50"/>
      <c r="CI687" s="50"/>
      <c r="CJ687" s="50"/>
      <c r="CK687" s="50"/>
      <c r="CL687" s="50"/>
      <c r="CM687" s="50"/>
      <c r="CN687" s="50"/>
      <c r="CO687" s="50"/>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c r="FF687" s="3"/>
      <c r="FG687" s="3"/>
      <c r="FH687" s="3"/>
      <c r="FI687" s="3"/>
      <c r="FJ687" s="3"/>
      <c r="FK687" s="3"/>
      <c r="FL687" s="3"/>
      <c r="FM687" s="3"/>
      <c r="FN687" s="3"/>
      <c r="FO687" s="3"/>
      <c r="FP687" s="3"/>
      <c r="FQ687" s="3"/>
      <c r="FR687" s="3"/>
      <c r="FS687" s="3"/>
      <c r="FT687" s="3"/>
      <c r="FU687" s="3"/>
      <c r="FV687" s="3"/>
      <c r="FW687" s="3"/>
      <c r="FX687" s="3"/>
      <c r="FY687" s="3"/>
      <c r="FZ687" s="3"/>
      <c r="GA687" s="3"/>
      <c r="GB687" s="3"/>
      <c r="GC687" s="3"/>
      <c r="GD687" s="3"/>
      <c r="GE687" s="3"/>
      <c r="GF687" s="3"/>
      <c r="GG687" s="3"/>
      <c r="GH687" s="3"/>
      <c r="GI687" s="3"/>
      <c r="GJ687" s="3"/>
      <c r="GK687" s="3"/>
      <c r="GL687" s="3"/>
      <c r="GM687" s="3"/>
      <c r="GN687" s="3"/>
      <c r="GO687" s="3"/>
      <c r="GP687" s="3"/>
      <c r="GQ687" s="3"/>
      <c r="GR687" s="3"/>
      <c r="GS687" s="3"/>
      <c r="GT687" s="3"/>
      <c r="GU687" s="3"/>
      <c r="GV687" s="3"/>
      <c r="GW687" s="3"/>
      <c r="GX687" s="3"/>
      <c r="GY687" s="3"/>
      <c r="GZ687" s="3"/>
      <c r="HA687" s="3"/>
      <c r="HB687" s="3"/>
    </row>
    <row r="688" spans="1:210" ht="15.75" customHeight="1">
      <c r="A688" s="50"/>
      <c r="B688" s="50"/>
      <c r="C688" s="50"/>
      <c r="D688" s="50"/>
      <c r="E688" s="50"/>
      <c r="F688" s="50"/>
      <c r="G688" s="51"/>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c r="AR688" s="50"/>
      <c r="AS688" s="50"/>
      <c r="AT688" s="50"/>
      <c r="AU688" s="50"/>
      <c r="AV688" s="50"/>
      <c r="AW688" s="50"/>
      <c r="AX688" s="50"/>
      <c r="AY688" s="50"/>
      <c r="AZ688" s="50"/>
      <c r="BA688" s="50"/>
      <c r="BB688" s="50"/>
      <c r="BC688" s="50"/>
      <c r="BD688" s="50"/>
      <c r="BE688" s="50"/>
      <c r="BF688" s="50"/>
      <c r="BG688" s="50"/>
      <c r="BH688" s="50"/>
      <c r="BI688" s="50"/>
      <c r="BJ688" s="50"/>
      <c r="BK688" s="50"/>
      <c r="BL688" s="50"/>
      <c r="BM688" s="50"/>
      <c r="BN688" s="50"/>
      <c r="BO688" s="50"/>
      <c r="BP688" s="50"/>
      <c r="BQ688" s="50"/>
      <c r="BR688" s="50"/>
      <c r="BS688" s="50"/>
      <c r="BT688" s="50"/>
      <c r="BU688" s="50"/>
      <c r="BV688" s="50"/>
      <c r="BW688" s="50"/>
      <c r="BX688" s="50"/>
      <c r="BY688" s="50"/>
      <c r="BZ688" s="50"/>
      <c r="CA688" s="50"/>
      <c r="CB688" s="50"/>
      <c r="CC688" s="50"/>
      <c r="CD688" s="52"/>
      <c r="CE688" s="50"/>
      <c r="CF688" s="50"/>
      <c r="CG688" s="50"/>
      <c r="CH688" s="50"/>
      <c r="CI688" s="50"/>
      <c r="CJ688" s="50"/>
      <c r="CK688" s="50"/>
      <c r="CL688" s="50"/>
      <c r="CM688" s="50"/>
      <c r="CN688" s="50"/>
      <c r="CO688" s="50"/>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c r="FF688" s="3"/>
      <c r="FG688" s="3"/>
      <c r="FH688" s="3"/>
      <c r="FI688" s="3"/>
      <c r="FJ688" s="3"/>
      <c r="FK688" s="3"/>
      <c r="FL688" s="3"/>
      <c r="FM688" s="3"/>
      <c r="FN688" s="3"/>
      <c r="FO688" s="3"/>
      <c r="FP688" s="3"/>
      <c r="FQ688" s="3"/>
      <c r="FR688" s="3"/>
      <c r="FS688" s="3"/>
      <c r="FT688" s="3"/>
      <c r="FU688" s="3"/>
      <c r="FV688" s="3"/>
      <c r="FW688" s="3"/>
      <c r="FX688" s="3"/>
      <c r="FY688" s="3"/>
      <c r="FZ688" s="3"/>
      <c r="GA688" s="3"/>
      <c r="GB688" s="3"/>
      <c r="GC688" s="3"/>
      <c r="GD688" s="3"/>
      <c r="GE688" s="3"/>
      <c r="GF688" s="3"/>
      <c r="GG688" s="3"/>
      <c r="GH688" s="3"/>
      <c r="GI688" s="3"/>
      <c r="GJ688" s="3"/>
      <c r="GK688" s="3"/>
      <c r="GL688" s="3"/>
      <c r="GM688" s="3"/>
      <c r="GN688" s="3"/>
      <c r="GO688" s="3"/>
      <c r="GP688" s="3"/>
      <c r="GQ688" s="3"/>
      <c r="GR688" s="3"/>
      <c r="GS688" s="3"/>
      <c r="GT688" s="3"/>
      <c r="GU688" s="3"/>
      <c r="GV688" s="3"/>
      <c r="GW688" s="3"/>
      <c r="GX688" s="3"/>
      <c r="GY688" s="3"/>
      <c r="GZ688" s="3"/>
      <c r="HA688" s="3"/>
      <c r="HB688" s="3"/>
    </row>
    <row r="689" spans="1:210" ht="15.75" customHeight="1">
      <c r="A689" s="50"/>
      <c r="B689" s="50"/>
      <c r="C689" s="50"/>
      <c r="D689" s="50"/>
      <c r="E689" s="50"/>
      <c r="F689" s="50"/>
      <c r="G689" s="51"/>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c r="AR689" s="50"/>
      <c r="AS689" s="50"/>
      <c r="AT689" s="50"/>
      <c r="AU689" s="50"/>
      <c r="AV689" s="50"/>
      <c r="AW689" s="50"/>
      <c r="AX689" s="50"/>
      <c r="AY689" s="50"/>
      <c r="AZ689" s="50"/>
      <c r="BA689" s="50"/>
      <c r="BB689" s="50"/>
      <c r="BC689" s="50"/>
      <c r="BD689" s="50"/>
      <c r="BE689" s="50"/>
      <c r="BF689" s="50"/>
      <c r="BG689" s="50"/>
      <c r="BH689" s="50"/>
      <c r="BI689" s="50"/>
      <c r="BJ689" s="50"/>
      <c r="BK689" s="50"/>
      <c r="BL689" s="50"/>
      <c r="BM689" s="50"/>
      <c r="BN689" s="50"/>
      <c r="BO689" s="50"/>
      <c r="BP689" s="50"/>
      <c r="BQ689" s="50"/>
      <c r="BR689" s="50"/>
      <c r="BS689" s="50"/>
      <c r="BT689" s="50"/>
      <c r="BU689" s="50"/>
      <c r="BV689" s="50"/>
      <c r="BW689" s="50"/>
      <c r="BX689" s="50"/>
      <c r="BY689" s="50"/>
      <c r="BZ689" s="50"/>
      <c r="CA689" s="50"/>
      <c r="CB689" s="50"/>
      <c r="CC689" s="50"/>
      <c r="CD689" s="52"/>
      <c r="CE689" s="50"/>
      <c r="CF689" s="50"/>
      <c r="CG689" s="50"/>
      <c r="CH689" s="50"/>
      <c r="CI689" s="50"/>
      <c r="CJ689" s="50"/>
      <c r="CK689" s="50"/>
      <c r="CL689" s="50"/>
      <c r="CM689" s="50"/>
      <c r="CN689" s="50"/>
      <c r="CO689" s="50"/>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c r="FF689" s="3"/>
      <c r="FG689" s="3"/>
      <c r="FH689" s="3"/>
      <c r="FI689" s="3"/>
      <c r="FJ689" s="3"/>
      <c r="FK689" s="3"/>
      <c r="FL689" s="3"/>
      <c r="FM689" s="3"/>
      <c r="FN689" s="3"/>
      <c r="FO689" s="3"/>
      <c r="FP689" s="3"/>
      <c r="FQ689" s="3"/>
      <c r="FR689" s="3"/>
      <c r="FS689" s="3"/>
      <c r="FT689" s="3"/>
      <c r="FU689" s="3"/>
      <c r="FV689" s="3"/>
      <c r="FW689" s="3"/>
      <c r="FX689" s="3"/>
      <c r="FY689" s="3"/>
      <c r="FZ689" s="3"/>
      <c r="GA689" s="3"/>
      <c r="GB689" s="3"/>
      <c r="GC689" s="3"/>
      <c r="GD689" s="3"/>
      <c r="GE689" s="3"/>
      <c r="GF689" s="3"/>
      <c r="GG689" s="3"/>
      <c r="GH689" s="3"/>
      <c r="GI689" s="3"/>
      <c r="GJ689" s="3"/>
      <c r="GK689" s="3"/>
      <c r="GL689" s="3"/>
      <c r="GM689" s="3"/>
      <c r="GN689" s="3"/>
      <c r="GO689" s="3"/>
      <c r="GP689" s="3"/>
      <c r="GQ689" s="3"/>
      <c r="GR689" s="3"/>
      <c r="GS689" s="3"/>
      <c r="GT689" s="3"/>
      <c r="GU689" s="3"/>
      <c r="GV689" s="3"/>
      <c r="GW689" s="3"/>
      <c r="GX689" s="3"/>
      <c r="GY689" s="3"/>
      <c r="GZ689" s="3"/>
      <c r="HA689" s="3"/>
      <c r="HB689" s="3"/>
    </row>
    <row r="690" spans="1:210" ht="15.75" customHeight="1">
      <c r="A690" s="50"/>
      <c r="B690" s="50"/>
      <c r="C690" s="50"/>
      <c r="D690" s="50"/>
      <c r="E690" s="50"/>
      <c r="F690" s="50"/>
      <c r="G690" s="51"/>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c r="AR690" s="50"/>
      <c r="AS690" s="50"/>
      <c r="AT690" s="50"/>
      <c r="AU690" s="50"/>
      <c r="AV690" s="50"/>
      <c r="AW690" s="50"/>
      <c r="AX690" s="50"/>
      <c r="AY690" s="50"/>
      <c r="AZ690" s="50"/>
      <c r="BA690" s="50"/>
      <c r="BB690" s="50"/>
      <c r="BC690" s="50"/>
      <c r="BD690" s="50"/>
      <c r="BE690" s="50"/>
      <c r="BF690" s="50"/>
      <c r="BG690" s="50"/>
      <c r="BH690" s="50"/>
      <c r="BI690" s="50"/>
      <c r="BJ690" s="50"/>
      <c r="BK690" s="50"/>
      <c r="BL690" s="50"/>
      <c r="BM690" s="50"/>
      <c r="BN690" s="50"/>
      <c r="BO690" s="50"/>
      <c r="BP690" s="50"/>
      <c r="BQ690" s="50"/>
      <c r="BR690" s="50"/>
      <c r="BS690" s="50"/>
      <c r="BT690" s="50"/>
      <c r="BU690" s="50"/>
      <c r="BV690" s="50"/>
      <c r="BW690" s="50"/>
      <c r="BX690" s="50"/>
      <c r="BY690" s="50"/>
      <c r="BZ690" s="50"/>
      <c r="CA690" s="50"/>
      <c r="CB690" s="50"/>
      <c r="CC690" s="50"/>
      <c r="CD690" s="52"/>
      <c r="CE690" s="50"/>
      <c r="CF690" s="50"/>
      <c r="CG690" s="50"/>
      <c r="CH690" s="50"/>
      <c r="CI690" s="50"/>
      <c r="CJ690" s="50"/>
      <c r="CK690" s="50"/>
      <c r="CL690" s="50"/>
      <c r="CM690" s="50"/>
      <c r="CN690" s="50"/>
      <c r="CO690" s="50"/>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c r="FF690" s="3"/>
      <c r="FG690" s="3"/>
      <c r="FH690" s="3"/>
      <c r="FI690" s="3"/>
      <c r="FJ690" s="3"/>
      <c r="FK690" s="3"/>
      <c r="FL690" s="3"/>
      <c r="FM690" s="3"/>
      <c r="FN690" s="3"/>
      <c r="FO690" s="3"/>
      <c r="FP690" s="3"/>
      <c r="FQ690" s="3"/>
      <c r="FR690" s="3"/>
      <c r="FS690" s="3"/>
      <c r="FT690" s="3"/>
      <c r="FU690" s="3"/>
      <c r="FV690" s="3"/>
      <c r="FW690" s="3"/>
      <c r="FX690" s="3"/>
      <c r="FY690" s="3"/>
      <c r="FZ690" s="3"/>
      <c r="GA690" s="3"/>
      <c r="GB690" s="3"/>
      <c r="GC690" s="3"/>
      <c r="GD690" s="3"/>
      <c r="GE690" s="3"/>
      <c r="GF690" s="3"/>
      <c r="GG690" s="3"/>
      <c r="GH690" s="3"/>
      <c r="GI690" s="3"/>
      <c r="GJ690" s="3"/>
      <c r="GK690" s="3"/>
      <c r="GL690" s="3"/>
      <c r="GM690" s="3"/>
      <c r="GN690" s="3"/>
      <c r="GO690" s="3"/>
      <c r="GP690" s="3"/>
      <c r="GQ690" s="3"/>
      <c r="GR690" s="3"/>
      <c r="GS690" s="3"/>
      <c r="GT690" s="3"/>
      <c r="GU690" s="3"/>
      <c r="GV690" s="3"/>
      <c r="GW690" s="3"/>
      <c r="GX690" s="3"/>
      <c r="GY690" s="3"/>
      <c r="GZ690" s="3"/>
      <c r="HA690" s="3"/>
      <c r="HB690" s="3"/>
    </row>
    <row r="691" spans="1:210" ht="15.75" customHeight="1">
      <c r="A691" s="50"/>
      <c r="B691" s="50"/>
      <c r="C691" s="50"/>
      <c r="D691" s="50"/>
      <c r="E691" s="50"/>
      <c r="F691" s="50"/>
      <c r="G691" s="51"/>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c r="AR691" s="50"/>
      <c r="AS691" s="50"/>
      <c r="AT691" s="50"/>
      <c r="AU691" s="50"/>
      <c r="AV691" s="50"/>
      <c r="AW691" s="50"/>
      <c r="AX691" s="50"/>
      <c r="AY691" s="50"/>
      <c r="AZ691" s="50"/>
      <c r="BA691" s="50"/>
      <c r="BB691" s="50"/>
      <c r="BC691" s="50"/>
      <c r="BD691" s="50"/>
      <c r="BE691" s="50"/>
      <c r="BF691" s="50"/>
      <c r="BG691" s="50"/>
      <c r="BH691" s="50"/>
      <c r="BI691" s="50"/>
      <c r="BJ691" s="50"/>
      <c r="BK691" s="50"/>
      <c r="BL691" s="50"/>
      <c r="BM691" s="50"/>
      <c r="BN691" s="50"/>
      <c r="BO691" s="50"/>
      <c r="BP691" s="50"/>
      <c r="BQ691" s="50"/>
      <c r="BR691" s="50"/>
      <c r="BS691" s="50"/>
      <c r="BT691" s="50"/>
      <c r="BU691" s="50"/>
      <c r="BV691" s="50"/>
      <c r="BW691" s="50"/>
      <c r="BX691" s="50"/>
      <c r="BY691" s="50"/>
      <c r="BZ691" s="50"/>
      <c r="CA691" s="50"/>
      <c r="CB691" s="50"/>
      <c r="CC691" s="50"/>
      <c r="CD691" s="52"/>
      <c r="CE691" s="50"/>
      <c r="CF691" s="50"/>
      <c r="CG691" s="50"/>
      <c r="CH691" s="50"/>
      <c r="CI691" s="50"/>
      <c r="CJ691" s="50"/>
      <c r="CK691" s="50"/>
      <c r="CL691" s="50"/>
      <c r="CM691" s="50"/>
      <c r="CN691" s="50"/>
      <c r="CO691" s="50"/>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c r="FF691" s="3"/>
      <c r="FG691" s="3"/>
      <c r="FH691" s="3"/>
      <c r="FI691" s="3"/>
      <c r="FJ691" s="3"/>
      <c r="FK691" s="3"/>
      <c r="FL691" s="3"/>
      <c r="FM691" s="3"/>
      <c r="FN691" s="3"/>
      <c r="FO691" s="3"/>
      <c r="FP691" s="3"/>
      <c r="FQ691" s="3"/>
      <c r="FR691" s="3"/>
      <c r="FS691" s="3"/>
      <c r="FT691" s="3"/>
      <c r="FU691" s="3"/>
      <c r="FV691" s="3"/>
      <c r="FW691" s="3"/>
      <c r="FX691" s="3"/>
      <c r="FY691" s="3"/>
      <c r="FZ691" s="3"/>
      <c r="GA691" s="3"/>
      <c r="GB691" s="3"/>
      <c r="GC691" s="3"/>
      <c r="GD691" s="3"/>
      <c r="GE691" s="3"/>
      <c r="GF691" s="3"/>
      <c r="GG691" s="3"/>
      <c r="GH691" s="3"/>
      <c r="GI691" s="3"/>
      <c r="GJ691" s="3"/>
      <c r="GK691" s="3"/>
      <c r="GL691" s="3"/>
      <c r="GM691" s="3"/>
      <c r="GN691" s="3"/>
      <c r="GO691" s="3"/>
      <c r="GP691" s="3"/>
      <c r="GQ691" s="3"/>
      <c r="GR691" s="3"/>
      <c r="GS691" s="3"/>
      <c r="GT691" s="3"/>
      <c r="GU691" s="3"/>
      <c r="GV691" s="3"/>
      <c r="GW691" s="3"/>
      <c r="GX691" s="3"/>
      <c r="GY691" s="3"/>
      <c r="GZ691" s="3"/>
      <c r="HA691" s="3"/>
      <c r="HB691" s="3"/>
    </row>
    <row r="692" spans="1:210" ht="15.75" customHeight="1">
      <c r="A692" s="50"/>
      <c r="B692" s="50"/>
      <c r="C692" s="50"/>
      <c r="D692" s="50"/>
      <c r="E692" s="50"/>
      <c r="F692" s="50"/>
      <c r="G692" s="51"/>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c r="AR692" s="50"/>
      <c r="AS692" s="50"/>
      <c r="AT692" s="50"/>
      <c r="AU692" s="50"/>
      <c r="AV692" s="50"/>
      <c r="AW692" s="50"/>
      <c r="AX692" s="50"/>
      <c r="AY692" s="50"/>
      <c r="AZ692" s="50"/>
      <c r="BA692" s="50"/>
      <c r="BB692" s="50"/>
      <c r="BC692" s="50"/>
      <c r="BD692" s="50"/>
      <c r="BE692" s="50"/>
      <c r="BF692" s="50"/>
      <c r="BG692" s="50"/>
      <c r="BH692" s="50"/>
      <c r="BI692" s="50"/>
      <c r="BJ692" s="50"/>
      <c r="BK692" s="50"/>
      <c r="BL692" s="50"/>
      <c r="BM692" s="50"/>
      <c r="BN692" s="50"/>
      <c r="BO692" s="50"/>
      <c r="BP692" s="50"/>
      <c r="BQ692" s="50"/>
      <c r="BR692" s="50"/>
      <c r="BS692" s="50"/>
      <c r="BT692" s="50"/>
      <c r="BU692" s="50"/>
      <c r="BV692" s="50"/>
      <c r="BW692" s="50"/>
      <c r="BX692" s="50"/>
      <c r="BY692" s="50"/>
      <c r="BZ692" s="50"/>
      <c r="CA692" s="50"/>
      <c r="CB692" s="50"/>
      <c r="CC692" s="50"/>
      <c r="CD692" s="52"/>
      <c r="CE692" s="50"/>
      <c r="CF692" s="50"/>
      <c r="CG692" s="50"/>
      <c r="CH692" s="50"/>
      <c r="CI692" s="50"/>
      <c r="CJ692" s="50"/>
      <c r="CK692" s="50"/>
      <c r="CL692" s="50"/>
      <c r="CM692" s="50"/>
      <c r="CN692" s="50"/>
      <c r="CO692" s="50"/>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c r="FF692" s="3"/>
      <c r="FG692" s="3"/>
      <c r="FH692" s="3"/>
      <c r="FI692" s="3"/>
      <c r="FJ692" s="3"/>
      <c r="FK692" s="3"/>
      <c r="FL692" s="3"/>
      <c r="FM692" s="3"/>
      <c r="FN692" s="3"/>
      <c r="FO692" s="3"/>
      <c r="FP692" s="3"/>
      <c r="FQ692" s="3"/>
      <c r="FR692" s="3"/>
      <c r="FS692" s="3"/>
      <c r="FT692" s="3"/>
      <c r="FU692" s="3"/>
      <c r="FV692" s="3"/>
      <c r="FW692" s="3"/>
      <c r="FX692" s="3"/>
      <c r="FY692" s="3"/>
      <c r="FZ692" s="3"/>
      <c r="GA692" s="3"/>
      <c r="GB692" s="3"/>
      <c r="GC692" s="3"/>
      <c r="GD692" s="3"/>
      <c r="GE692" s="3"/>
      <c r="GF692" s="3"/>
      <c r="GG692" s="3"/>
      <c r="GH692" s="3"/>
      <c r="GI692" s="3"/>
      <c r="GJ692" s="3"/>
      <c r="GK692" s="3"/>
      <c r="GL692" s="3"/>
      <c r="GM692" s="3"/>
      <c r="GN692" s="3"/>
      <c r="GO692" s="3"/>
      <c r="GP692" s="3"/>
      <c r="GQ692" s="3"/>
      <c r="GR692" s="3"/>
      <c r="GS692" s="3"/>
      <c r="GT692" s="3"/>
      <c r="GU692" s="3"/>
      <c r="GV692" s="3"/>
      <c r="GW692" s="3"/>
      <c r="GX692" s="3"/>
      <c r="GY692" s="3"/>
      <c r="GZ692" s="3"/>
      <c r="HA692" s="3"/>
      <c r="HB692" s="3"/>
    </row>
    <row r="693" spans="1:210" ht="15.75" customHeight="1">
      <c r="A693" s="50"/>
      <c r="B693" s="50"/>
      <c r="C693" s="50"/>
      <c r="D693" s="50"/>
      <c r="E693" s="50"/>
      <c r="F693" s="50"/>
      <c r="G693" s="51"/>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c r="AR693" s="50"/>
      <c r="AS693" s="50"/>
      <c r="AT693" s="50"/>
      <c r="AU693" s="50"/>
      <c r="AV693" s="50"/>
      <c r="AW693" s="50"/>
      <c r="AX693" s="50"/>
      <c r="AY693" s="50"/>
      <c r="AZ693" s="50"/>
      <c r="BA693" s="50"/>
      <c r="BB693" s="50"/>
      <c r="BC693" s="50"/>
      <c r="BD693" s="50"/>
      <c r="BE693" s="50"/>
      <c r="BF693" s="50"/>
      <c r="BG693" s="50"/>
      <c r="BH693" s="50"/>
      <c r="BI693" s="50"/>
      <c r="BJ693" s="50"/>
      <c r="BK693" s="50"/>
      <c r="BL693" s="50"/>
      <c r="BM693" s="50"/>
      <c r="BN693" s="50"/>
      <c r="BO693" s="50"/>
      <c r="BP693" s="50"/>
      <c r="BQ693" s="50"/>
      <c r="BR693" s="50"/>
      <c r="BS693" s="50"/>
      <c r="BT693" s="50"/>
      <c r="BU693" s="50"/>
      <c r="BV693" s="50"/>
      <c r="BW693" s="50"/>
      <c r="BX693" s="50"/>
      <c r="BY693" s="50"/>
      <c r="BZ693" s="50"/>
      <c r="CA693" s="50"/>
      <c r="CB693" s="50"/>
      <c r="CC693" s="50"/>
      <c r="CD693" s="52"/>
      <c r="CE693" s="50"/>
      <c r="CF693" s="50"/>
      <c r="CG693" s="50"/>
      <c r="CH693" s="50"/>
      <c r="CI693" s="50"/>
      <c r="CJ693" s="50"/>
      <c r="CK693" s="50"/>
      <c r="CL693" s="50"/>
      <c r="CM693" s="50"/>
      <c r="CN693" s="50"/>
      <c r="CO693" s="50"/>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c r="FF693" s="3"/>
      <c r="FG693" s="3"/>
      <c r="FH693" s="3"/>
      <c r="FI693" s="3"/>
      <c r="FJ693" s="3"/>
      <c r="FK693" s="3"/>
      <c r="FL693" s="3"/>
      <c r="FM693" s="3"/>
      <c r="FN693" s="3"/>
      <c r="FO693" s="3"/>
      <c r="FP693" s="3"/>
      <c r="FQ693" s="3"/>
      <c r="FR693" s="3"/>
      <c r="FS693" s="3"/>
      <c r="FT693" s="3"/>
      <c r="FU693" s="3"/>
      <c r="FV693" s="3"/>
      <c r="FW693" s="3"/>
      <c r="FX693" s="3"/>
      <c r="FY693" s="3"/>
      <c r="FZ693" s="3"/>
      <c r="GA693" s="3"/>
      <c r="GB693" s="3"/>
      <c r="GC693" s="3"/>
      <c r="GD693" s="3"/>
      <c r="GE693" s="3"/>
      <c r="GF693" s="3"/>
      <c r="GG693" s="3"/>
      <c r="GH693" s="3"/>
      <c r="GI693" s="3"/>
      <c r="GJ693" s="3"/>
      <c r="GK693" s="3"/>
      <c r="GL693" s="3"/>
      <c r="GM693" s="3"/>
      <c r="GN693" s="3"/>
      <c r="GO693" s="3"/>
      <c r="GP693" s="3"/>
      <c r="GQ693" s="3"/>
      <c r="GR693" s="3"/>
      <c r="GS693" s="3"/>
      <c r="GT693" s="3"/>
      <c r="GU693" s="3"/>
      <c r="GV693" s="3"/>
      <c r="GW693" s="3"/>
      <c r="GX693" s="3"/>
      <c r="GY693" s="3"/>
      <c r="GZ693" s="3"/>
      <c r="HA693" s="3"/>
      <c r="HB693" s="3"/>
    </row>
    <row r="694" spans="1:210" ht="15.75" customHeight="1">
      <c r="A694" s="50"/>
      <c r="B694" s="50"/>
      <c r="C694" s="50"/>
      <c r="D694" s="50"/>
      <c r="E694" s="50"/>
      <c r="F694" s="50"/>
      <c r="G694" s="51"/>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c r="AR694" s="50"/>
      <c r="AS694" s="50"/>
      <c r="AT694" s="50"/>
      <c r="AU694" s="50"/>
      <c r="AV694" s="50"/>
      <c r="AW694" s="50"/>
      <c r="AX694" s="50"/>
      <c r="AY694" s="50"/>
      <c r="AZ694" s="50"/>
      <c r="BA694" s="50"/>
      <c r="BB694" s="50"/>
      <c r="BC694" s="50"/>
      <c r="BD694" s="50"/>
      <c r="BE694" s="50"/>
      <c r="BF694" s="50"/>
      <c r="BG694" s="50"/>
      <c r="BH694" s="50"/>
      <c r="BI694" s="50"/>
      <c r="BJ694" s="50"/>
      <c r="BK694" s="50"/>
      <c r="BL694" s="50"/>
      <c r="BM694" s="50"/>
      <c r="BN694" s="50"/>
      <c r="BO694" s="50"/>
      <c r="BP694" s="50"/>
      <c r="BQ694" s="50"/>
      <c r="BR694" s="50"/>
      <c r="BS694" s="50"/>
      <c r="BT694" s="50"/>
      <c r="BU694" s="50"/>
      <c r="BV694" s="50"/>
      <c r="BW694" s="50"/>
      <c r="BX694" s="50"/>
      <c r="BY694" s="50"/>
      <c r="BZ694" s="50"/>
      <c r="CA694" s="50"/>
      <c r="CB694" s="50"/>
      <c r="CC694" s="50"/>
      <c r="CD694" s="52"/>
      <c r="CE694" s="50"/>
      <c r="CF694" s="50"/>
      <c r="CG694" s="50"/>
      <c r="CH694" s="50"/>
      <c r="CI694" s="50"/>
      <c r="CJ694" s="50"/>
      <c r="CK694" s="50"/>
      <c r="CL694" s="50"/>
      <c r="CM694" s="50"/>
      <c r="CN694" s="50"/>
      <c r="CO694" s="50"/>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c r="FF694" s="3"/>
      <c r="FG694" s="3"/>
      <c r="FH694" s="3"/>
      <c r="FI694" s="3"/>
      <c r="FJ694" s="3"/>
      <c r="FK694" s="3"/>
      <c r="FL694" s="3"/>
      <c r="FM694" s="3"/>
      <c r="FN694" s="3"/>
      <c r="FO694" s="3"/>
      <c r="FP694" s="3"/>
      <c r="FQ694" s="3"/>
      <c r="FR694" s="3"/>
      <c r="FS694" s="3"/>
      <c r="FT694" s="3"/>
      <c r="FU694" s="3"/>
      <c r="FV694" s="3"/>
      <c r="FW694" s="3"/>
      <c r="FX694" s="3"/>
      <c r="FY694" s="3"/>
      <c r="FZ694" s="3"/>
      <c r="GA694" s="3"/>
      <c r="GB694" s="3"/>
      <c r="GC694" s="3"/>
      <c r="GD694" s="3"/>
      <c r="GE694" s="3"/>
      <c r="GF694" s="3"/>
      <c r="GG694" s="3"/>
      <c r="GH694" s="3"/>
      <c r="GI694" s="3"/>
      <c r="GJ694" s="3"/>
      <c r="GK694" s="3"/>
      <c r="GL694" s="3"/>
      <c r="GM694" s="3"/>
      <c r="GN694" s="3"/>
      <c r="GO694" s="3"/>
      <c r="GP694" s="3"/>
      <c r="GQ694" s="3"/>
      <c r="GR694" s="3"/>
      <c r="GS694" s="3"/>
      <c r="GT694" s="3"/>
      <c r="GU694" s="3"/>
      <c r="GV694" s="3"/>
      <c r="GW694" s="3"/>
      <c r="GX694" s="3"/>
      <c r="GY694" s="3"/>
      <c r="GZ694" s="3"/>
      <c r="HA694" s="3"/>
      <c r="HB694" s="3"/>
    </row>
    <row r="695" spans="1:210" ht="15.75" customHeight="1">
      <c r="A695" s="50"/>
      <c r="B695" s="50"/>
      <c r="C695" s="50"/>
      <c r="D695" s="50"/>
      <c r="E695" s="50"/>
      <c r="F695" s="50"/>
      <c r="G695" s="51"/>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c r="AR695" s="50"/>
      <c r="AS695" s="50"/>
      <c r="AT695" s="50"/>
      <c r="AU695" s="50"/>
      <c r="AV695" s="50"/>
      <c r="AW695" s="50"/>
      <c r="AX695" s="50"/>
      <c r="AY695" s="50"/>
      <c r="AZ695" s="50"/>
      <c r="BA695" s="50"/>
      <c r="BB695" s="50"/>
      <c r="BC695" s="50"/>
      <c r="BD695" s="50"/>
      <c r="BE695" s="50"/>
      <c r="BF695" s="50"/>
      <c r="BG695" s="50"/>
      <c r="BH695" s="50"/>
      <c r="BI695" s="50"/>
      <c r="BJ695" s="50"/>
      <c r="BK695" s="50"/>
      <c r="BL695" s="50"/>
      <c r="BM695" s="50"/>
      <c r="BN695" s="50"/>
      <c r="BO695" s="50"/>
      <c r="BP695" s="50"/>
      <c r="BQ695" s="50"/>
      <c r="BR695" s="50"/>
      <c r="BS695" s="50"/>
      <c r="BT695" s="50"/>
      <c r="BU695" s="50"/>
      <c r="BV695" s="50"/>
      <c r="BW695" s="50"/>
      <c r="BX695" s="50"/>
      <c r="BY695" s="50"/>
      <c r="BZ695" s="50"/>
      <c r="CA695" s="50"/>
      <c r="CB695" s="50"/>
      <c r="CC695" s="50"/>
      <c r="CD695" s="52"/>
      <c r="CE695" s="50"/>
      <c r="CF695" s="50"/>
      <c r="CG695" s="50"/>
      <c r="CH695" s="50"/>
      <c r="CI695" s="50"/>
      <c r="CJ695" s="50"/>
      <c r="CK695" s="50"/>
      <c r="CL695" s="50"/>
      <c r="CM695" s="50"/>
      <c r="CN695" s="50"/>
      <c r="CO695" s="50"/>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c r="FF695" s="3"/>
      <c r="FG695" s="3"/>
      <c r="FH695" s="3"/>
      <c r="FI695" s="3"/>
      <c r="FJ695" s="3"/>
      <c r="FK695" s="3"/>
      <c r="FL695" s="3"/>
      <c r="FM695" s="3"/>
      <c r="FN695" s="3"/>
      <c r="FO695" s="3"/>
      <c r="FP695" s="3"/>
      <c r="FQ695" s="3"/>
      <c r="FR695" s="3"/>
      <c r="FS695" s="3"/>
      <c r="FT695" s="3"/>
      <c r="FU695" s="3"/>
      <c r="FV695" s="3"/>
      <c r="FW695" s="3"/>
      <c r="FX695" s="3"/>
      <c r="FY695" s="3"/>
      <c r="FZ695" s="3"/>
      <c r="GA695" s="3"/>
      <c r="GB695" s="3"/>
      <c r="GC695" s="3"/>
      <c r="GD695" s="3"/>
      <c r="GE695" s="3"/>
      <c r="GF695" s="3"/>
      <c r="GG695" s="3"/>
      <c r="GH695" s="3"/>
      <c r="GI695" s="3"/>
      <c r="GJ695" s="3"/>
      <c r="GK695" s="3"/>
      <c r="GL695" s="3"/>
      <c r="GM695" s="3"/>
      <c r="GN695" s="3"/>
      <c r="GO695" s="3"/>
      <c r="GP695" s="3"/>
      <c r="GQ695" s="3"/>
      <c r="GR695" s="3"/>
      <c r="GS695" s="3"/>
      <c r="GT695" s="3"/>
      <c r="GU695" s="3"/>
      <c r="GV695" s="3"/>
      <c r="GW695" s="3"/>
      <c r="GX695" s="3"/>
      <c r="GY695" s="3"/>
      <c r="GZ695" s="3"/>
      <c r="HA695" s="3"/>
      <c r="HB695" s="3"/>
    </row>
    <row r="696" spans="1:210" ht="15.75" customHeight="1">
      <c r="A696" s="50"/>
      <c r="B696" s="50"/>
      <c r="C696" s="50"/>
      <c r="D696" s="50"/>
      <c r="E696" s="50"/>
      <c r="F696" s="50"/>
      <c r="G696" s="51"/>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c r="AR696" s="50"/>
      <c r="AS696" s="50"/>
      <c r="AT696" s="50"/>
      <c r="AU696" s="50"/>
      <c r="AV696" s="50"/>
      <c r="AW696" s="50"/>
      <c r="AX696" s="50"/>
      <c r="AY696" s="50"/>
      <c r="AZ696" s="50"/>
      <c r="BA696" s="50"/>
      <c r="BB696" s="50"/>
      <c r="BC696" s="50"/>
      <c r="BD696" s="50"/>
      <c r="BE696" s="50"/>
      <c r="BF696" s="50"/>
      <c r="BG696" s="50"/>
      <c r="BH696" s="50"/>
      <c r="BI696" s="50"/>
      <c r="BJ696" s="50"/>
      <c r="BK696" s="50"/>
      <c r="BL696" s="50"/>
      <c r="BM696" s="50"/>
      <c r="BN696" s="50"/>
      <c r="BO696" s="50"/>
      <c r="BP696" s="50"/>
      <c r="BQ696" s="50"/>
      <c r="BR696" s="50"/>
      <c r="BS696" s="50"/>
      <c r="BT696" s="50"/>
      <c r="BU696" s="50"/>
      <c r="BV696" s="50"/>
      <c r="BW696" s="50"/>
      <c r="BX696" s="50"/>
      <c r="BY696" s="50"/>
      <c r="BZ696" s="50"/>
      <c r="CA696" s="50"/>
      <c r="CB696" s="50"/>
      <c r="CC696" s="50"/>
      <c r="CD696" s="52"/>
      <c r="CE696" s="50"/>
      <c r="CF696" s="50"/>
      <c r="CG696" s="50"/>
      <c r="CH696" s="50"/>
      <c r="CI696" s="50"/>
      <c r="CJ696" s="50"/>
      <c r="CK696" s="50"/>
      <c r="CL696" s="50"/>
      <c r="CM696" s="50"/>
      <c r="CN696" s="50"/>
      <c r="CO696" s="50"/>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c r="FF696" s="3"/>
      <c r="FG696" s="3"/>
      <c r="FH696" s="3"/>
      <c r="FI696" s="3"/>
      <c r="FJ696" s="3"/>
      <c r="FK696" s="3"/>
      <c r="FL696" s="3"/>
      <c r="FM696" s="3"/>
      <c r="FN696" s="3"/>
      <c r="FO696" s="3"/>
      <c r="FP696" s="3"/>
      <c r="FQ696" s="3"/>
      <c r="FR696" s="3"/>
      <c r="FS696" s="3"/>
      <c r="FT696" s="3"/>
      <c r="FU696" s="3"/>
      <c r="FV696" s="3"/>
      <c r="FW696" s="3"/>
      <c r="FX696" s="3"/>
      <c r="FY696" s="3"/>
      <c r="FZ696" s="3"/>
      <c r="GA696" s="3"/>
      <c r="GB696" s="3"/>
      <c r="GC696" s="3"/>
      <c r="GD696" s="3"/>
      <c r="GE696" s="3"/>
      <c r="GF696" s="3"/>
      <c r="GG696" s="3"/>
      <c r="GH696" s="3"/>
      <c r="GI696" s="3"/>
      <c r="GJ696" s="3"/>
      <c r="GK696" s="3"/>
      <c r="GL696" s="3"/>
      <c r="GM696" s="3"/>
      <c r="GN696" s="3"/>
      <c r="GO696" s="3"/>
      <c r="GP696" s="3"/>
      <c r="GQ696" s="3"/>
      <c r="GR696" s="3"/>
      <c r="GS696" s="3"/>
      <c r="GT696" s="3"/>
      <c r="GU696" s="3"/>
      <c r="GV696" s="3"/>
      <c r="GW696" s="3"/>
      <c r="GX696" s="3"/>
      <c r="GY696" s="3"/>
      <c r="GZ696" s="3"/>
      <c r="HA696" s="3"/>
      <c r="HB696" s="3"/>
    </row>
    <row r="697" spans="1:210" ht="15.75" customHeight="1">
      <c r="A697" s="50"/>
      <c r="B697" s="50"/>
      <c r="C697" s="50"/>
      <c r="D697" s="50"/>
      <c r="E697" s="50"/>
      <c r="F697" s="50"/>
      <c r="G697" s="51"/>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c r="AR697" s="50"/>
      <c r="AS697" s="50"/>
      <c r="AT697" s="50"/>
      <c r="AU697" s="50"/>
      <c r="AV697" s="50"/>
      <c r="AW697" s="50"/>
      <c r="AX697" s="50"/>
      <c r="AY697" s="50"/>
      <c r="AZ697" s="50"/>
      <c r="BA697" s="50"/>
      <c r="BB697" s="50"/>
      <c r="BC697" s="50"/>
      <c r="BD697" s="50"/>
      <c r="BE697" s="50"/>
      <c r="BF697" s="50"/>
      <c r="BG697" s="50"/>
      <c r="BH697" s="50"/>
      <c r="BI697" s="50"/>
      <c r="BJ697" s="50"/>
      <c r="BK697" s="50"/>
      <c r="BL697" s="50"/>
      <c r="BM697" s="50"/>
      <c r="BN697" s="50"/>
      <c r="BO697" s="50"/>
      <c r="BP697" s="50"/>
      <c r="BQ697" s="50"/>
      <c r="BR697" s="50"/>
      <c r="BS697" s="50"/>
      <c r="BT697" s="50"/>
      <c r="BU697" s="50"/>
      <c r="BV697" s="50"/>
      <c r="BW697" s="50"/>
      <c r="BX697" s="50"/>
      <c r="BY697" s="50"/>
      <c r="BZ697" s="50"/>
      <c r="CA697" s="50"/>
      <c r="CB697" s="50"/>
      <c r="CC697" s="50"/>
      <c r="CD697" s="52"/>
      <c r="CE697" s="50"/>
      <c r="CF697" s="50"/>
      <c r="CG697" s="50"/>
      <c r="CH697" s="50"/>
      <c r="CI697" s="50"/>
      <c r="CJ697" s="50"/>
      <c r="CK697" s="50"/>
      <c r="CL697" s="50"/>
      <c r="CM697" s="50"/>
      <c r="CN697" s="50"/>
      <c r="CO697" s="50"/>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c r="FF697" s="3"/>
      <c r="FG697" s="3"/>
      <c r="FH697" s="3"/>
      <c r="FI697" s="3"/>
      <c r="FJ697" s="3"/>
      <c r="FK697" s="3"/>
      <c r="FL697" s="3"/>
      <c r="FM697" s="3"/>
      <c r="FN697" s="3"/>
      <c r="FO697" s="3"/>
      <c r="FP697" s="3"/>
      <c r="FQ697" s="3"/>
      <c r="FR697" s="3"/>
      <c r="FS697" s="3"/>
      <c r="FT697" s="3"/>
      <c r="FU697" s="3"/>
      <c r="FV697" s="3"/>
      <c r="FW697" s="3"/>
      <c r="FX697" s="3"/>
      <c r="FY697" s="3"/>
      <c r="FZ697" s="3"/>
      <c r="GA697" s="3"/>
      <c r="GB697" s="3"/>
      <c r="GC697" s="3"/>
      <c r="GD697" s="3"/>
      <c r="GE697" s="3"/>
      <c r="GF697" s="3"/>
      <c r="GG697" s="3"/>
      <c r="GH697" s="3"/>
      <c r="GI697" s="3"/>
      <c r="GJ697" s="3"/>
      <c r="GK697" s="3"/>
      <c r="GL697" s="3"/>
      <c r="GM697" s="3"/>
      <c r="GN697" s="3"/>
      <c r="GO697" s="3"/>
      <c r="GP697" s="3"/>
      <c r="GQ697" s="3"/>
      <c r="GR697" s="3"/>
      <c r="GS697" s="3"/>
      <c r="GT697" s="3"/>
      <c r="GU697" s="3"/>
      <c r="GV697" s="3"/>
      <c r="GW697" s="3"/>
      <c r="GX697" s="3"/>
      <c r="GY697" s="3"/>
      <c r="GZ697" s="3"/>
      <c r="HA697" s="3"/>
      <c r="HB697" s="3"/>
    </row>
    <row r="698" spans="1:210" ht="15.75" customHeight="1">
      <c r="A698" s="50"/>
      <c r="B698" s="50"/>
      <c r="C698" s="50"/>
      <c r="D698" s="50"/>
      <c r="E698" s="50"/>
      <c r="F698" s="50"/>
      <c r="G698" s="51"/>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c r="AR698" s="50"/>
      <c r="AS698" s="50"/>
      <c r="AT698" s="50"/>
      <c r="AU698" s="50"/>
      <c r="AV698" s="50"/>
      <c r="AW698" s="50"/>
      <c r="AX698" s="50"/>
      <c r="AY698" s="50"/>
      <c r="AZ698" s="50"/>
      <c r="BA698" s="50"/>
      <c r="BB698" s="50"/>
      <c r="BC698" s="50"/>
      <c r="BD698" s="50"/>
      <c r="BE698" s="50"/>
      <c r="BF698" s="50"/>
      <c r="BG698" s="50"/>
      <c r="BH698" s="50"/>
      <c r="BI698" s="50"/>
      <c r="BJ698" s="50"/>
      <c r="BK698" s="50"/>
      <c r="BL698" s="50"/>
      <c r="BM698" s="50"/>
      <c r="BN698" s="50"/>
      <c r="BO698" s="50"/>
      <c r="BP698" s="50"/>
      <c r="BQ698" s="50"/>
      <c r="BR698" s="50"/>
      <c r="BS698" s="50"/>
      <c r="BT698" s="50"/>
      <c r="BU698" s="50"/>
      <c r="BV698" s="50"/>
      <c r="BW698" s="50"/>
      <c r="BX698" s="50"/>
      <c r="BY698" s="50"/>
      <c r="BZ698" s="50"/>
      <c r="CA698" s="50"/>
      <c r="CB698" s="50"/>
      <c r="CC698" s="50"/>
      <c r="CD698" s="52"/>
      <c r="CE698" s="50"/>
      <c r="CF698" s="50"/>
      <c r="CG698" s="50"/>
      <c r="CH698" s="50"/>
      <c r="CI698" s="50"/>
      <c r="CJ698" s="50"/>
      <c r="CK698" s="50"/>
      <c r="CL698" s="50"/>
      <c r="CM698" s="50"/>
      <c r="CN698" s="50"/>
      <c r="CO698" s="50"/>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c r="FF698" s="3"/>
      <c r="FG698" s="3"/>
      <c r="FH698" s="3"/>
      <c r="FI698" s="3"/>
      <c r="FJ698" s="3"/>
      <c r="FK698" s="3"/>
      <c r="FL698" s="3"/>
      <c r="FM698" s="3"/>
      <c r="FN698" s="3"/>
      <c r="FO698" s="3"/>
      <c r="FP698" s="3"/>
      <c r="FQ698" s="3"/>
      <c r="FR698" s="3"/>
      <c r="FS698" s="3"/>
      <c r="FT698" s="3"/>
      <c r="FU698" s="3"/>
      <c r="FV698" s="3"/>
      <c r="FW698" s="3"/>
      <c r="FX698" s="3"/>
      <c r="FY698" s="3"/>
      <c r="FZ698" s="3"/>
      <c r="GA698" s="3"/>
      <c r="GB698" s="3"/>
      <c r="GC698" s="3"/>
      <c r="GD698" s="3"/>
      <c r="GE698" s="3"/>
      <c r="GF698" s="3"/>
      <c r="GG698" s="3"/>
      <c r="GH698" s="3"/>
      <c r="GI698" s="3"/>
      <c r="GJ698" s="3"/>
      <c r="GK698" s="3"/>
      <c r="GL698" s="3"/>
      <c r="GM698" s="3"/>
      <c r="GN698" s="3"/>
      <c r="GO698" s="3"/>
      <c r="GP698" s="3"/>
      <c r="GQ698" s="3"/>
      <c r="GR698" s="3"/>
      <c r="GS698" s="3"/>
      <c r="GT698" s="3"/>
      <c r="GU698" s="3"/>
      <c r="GV698" s="3"/>
      <c r="GW698" s="3"/>
      <c r="GX698" s="3"/>
      <c r="GY698" s="3"/>
      <c r="GZ698" s="3"/>
      <c r="HA698" s="3"/>
      <c r="HB698" s="3"/>
    </row>
    <row r="699" spans="1:210" ht="15.75" customHeight="1">
      <c r="A699" s="50"/>
      <c r="B699" s="50"/>
      <c r="C699" s="50"/>
      <c r="D699" s="50"/>
      <c r="E699" s="50"/>
      <c r="F699" s="50"/>
      <c r="G699" s="51"/>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c r="AR699" s="50"/>
      <c r="AS699" s="50"/>
      <c r="AT699" s="50"/>
      <c r="AU699" s="50"/>
      <c r="AV699" s="50"/>
      <c r="AW699" s="50"/>
      <c r="AX699" s="50"/>
      <c r="AY699" s="50"/>
      <c r="AZ699" s="50"/>
      <c r="BA699" s="50"/>
      <c r="BB699" s="50"/>
      <c r="BC699" s="50"/>
      <c r="BD699" s="50"/>
      <c r="BE699" s="50"/>
      <c r="BF699" s="50"/>
      <c r="BG699" s="50"/>
      <c r="BH699" s="50"/>
      <c r="BI699" s="50"/>
      <c r="BJ699" s="50"/>
      <c r="BK699" s="50"/>
      <c r="BL699" s="50"/>
      <c r="BM699" s="50"/>
      <c r="BN699" s="50"/>
      <c r="BO699" s="50"/>
      <c r="BP699" s="50"/>
      <c r="BQ699" s="50"/>
      <c r="BR699" s="50"/>
      <c r="BS699" s="50"/>
      <c r="BT699" s="50"/>
      <c r="BU699" s="50"/>
      <c r="BV699" s="50"/>
      <c r="BW699" s="50"/>
      <c r="BX699" s="50"/>
      <c r="BY699" s="50"/>
      <c r="BZ699" s="50"/>
      <c r="CA699" s="50"/>
      <c r="CB699" s="50"/>
      <c r="CC699" s="50"/>
      <c r="CD699" s="52"/>
      <c r="CE699" s="50"/>
      <c r="CF699" s="50"/>
      <c r="CG699" s="50"/>
      <c r="CH699" s="50"/>
      <c r="CI699" s="50"/>
      <c r="CJ699" s="50"/>
      <c r="CK699" s="50"/>
      <c r="CL699" s="50"/>
      <c r="CM699" s="50"/>
      <c r="CN699" s="50"/>
      <c r="CO699" s="50"/>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c r="FF699" s="3"/>
      <c r="FG699" s="3"/>
      <c r="FH699" s="3"/>
      <c r="FI699" s="3"/>
      <c r="FJ699" s="3"/>
      <c r="FK699" s="3"/>
      <c r="FL699" s="3"/>
      <c r="FM699" s="3"/>
      <c r="FN699" s="3"/>
      <c r="FO699" s="3"/>
      <c r="FP699" s="3"/>
      <c r="FQ699" s="3"/>
      <c r="FR699" s="3"/>
      <c r="FS699" s="3"/>
      <c r="FT699" s="3"/>
      <c r="FU699" s="3"/>
      <c r="FV699" s="3"/>
      <c r="FW699" s="3"/>
      <c r="FX699" s="3"/>
      <c r="FY699" s="3"/>
      <c r="FZ699" s="3"/>
      <c r="GA699" s="3"/>
      <c r="GB699" s="3"/>
      <c r="GC699" s="3"/>
      <c r="GD699" s="3"/>
      <c r="GE699" s="3"/>
      <c r="GF699" s="3"/>
      <c r="GG699" s="3"/>
      <c r="GH699" s="3"/>
      <c r="GI699" s="3"/>
      <c r="GJ699" s="3"/>
      <c r="GK699" s="3"/>
      <c r="GL699" s="3"/>
      <c r="GM699" s="3"/>
      <c r="GN699" s="3"/>
      <c r="GO699" s="3"/>
      <c r="GP699" s="3"/>
      <c r="GQ699" s="3"/>
      <c r="GR699" s="3"/>
      <c r="GS699" s="3"/>
      <c r="GT699" s="3"/>
      <c r="GU699" s="3"/>
      <c r="GV699" s="3"/>
      <c r="GW699" s="3"/>
      <c r="GX699" s="3"/>
      <c r="GY699" s="3"/>
      <c r="GZ699" s="3"/>
      <c r="HA699" s="3"/>
      <c r="HB699" s="3"/>
    </row>
    <row r="700" spans="1:210" ht="15.75" customHeight="1">
      <c r="A700" s="50"/>
      <c r="B700" s="50"/>
      <c r="C700" s="50"/>
      <c r="D700" s="50"/>
      <c r="E700" s="50"/>
      <c r="F700" s="50"/>
      <c r="G700" s="51"/>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c r="AR700" s="50"/>
      <c r="AS700" s="50"/>
      <c r="AT700" s="50"/>
      <c r="AU700" s="50"/>
      <c r="AV700" s="50"/>
      <c r="AW700" s="50"/>
      <c r="AX700" s="50"/>
      <c r="AY700" s="50"/>
      <c r="AZ700" s="50"/>
      <c r="BA700" s="50"/>
      <c r="BB700" s="50"/>
      <c r="BC700" s="50"/>
      <c r="BD700" s="50"/>
      <c r="BE700" s="50"/>
      <c r="BF700" s="50"/>
      <c r="BG700" s="50"/>
      <c r="BH700" s="50"/>
      <c r="BI700" s="50"/>
      <c r="BJ700" s="50"/>
      <c r="BK700" s="50"/>
      <c r="BL700" s="50"/>
      <c r="BM700" s="50"/>
      <c r="BN700" s="50"/>
      <c r="BO700" s="50"/>
      <c r="BP700" s="50"/>
      <c r="BQ700" s="50"/>
      <c r="BR700" s="50"/>
      <c r="BS700" s="50"/>
      <c r="BT700" s="50"/>
      <c r="BU700" s="50"/>
      <c r="BV700" s="50"/>
      <c r="BW700" s="50"/>
      <c r="BX700" s="50"/>
      <c r="BY700" s="50"/>
      <c r="BZ700" s="50"/>
      <c r="CA700" s="50"/>
      <c r="CB700" s="50"/>
      <c r="CC700" s="50"/>
      <c r="CD700" s="52"/>
      <c r="CE700" s="50"/>
      <c r="CF700" s="50"/>
      <c r="CG700" s="50"/>
      <c r="CH700" s="50"/>
      <c r="CI700" s="50"/>
      <c r="CJ700" s="50"/>
      <c r="CK700" s="50"/>
      <c r="CL700" s="50"/>
      <c r="CM700" s="50"/>
      <c r="CN700" s="50"/>
      <c r="CO700" s="50"/>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c r="FF700" s="3"/>
      <c r="FG700" s="3"/>
      <c r="FH700" s="3"/>
      <c r="FI700" s="3"/>
      <c r="FJ700" s="3"/>
      <c r="FK700" s="3"/>
      <c r="FL700" s="3"/>
      <c r="FM700" s="3"/>
      <c r="FN700" s="3"/>
      <c r="FO700" s="3"/>
      <c r="FP700" s="3"/>
      <c r="FQ700" s="3"/>
      <c r="FR700" s="3"/>
      <c r="FS700" s="3"/>
      <c r="FT700" s="3"/>
      <c r="FU700" s="3"/>
      <c r="FV700" s="3"/>
      <c r="FW700" s="3"/>
      <c r="FX700" s="3"/>
      <c r="FY700" s="3"/>
      <c r="FZ700" s="3"/>
      <c r="GA700" s="3"/>
      <c r="GB700" s="3"/>
      <c r="GC700" s="3"/>
      <c r="GD700" s="3"/>
      <c r="GE700" s="3"/>
      <c r="GF700" s="3"/>
      <c r="GG700" s="3"/>
      <c r="GH700" s="3"/>
      <c r="GI700" s="3"/>
      <c r="GJ700" s="3"/>
      <c r="GK700" s="3"/>
      <c r="GL700" s="3"/>
      <c r="GM700" s="3"/>
      <c r="GN700" s="3"/>
      <c r="GO700" s="3"/>
      <c r="GP700" s="3"/>
      <c r="GQ700" s="3"/>
      <c r="GR700" s="3"/>
      <c r="GS700" s="3"/>
      <c r="GT700" s="3"/>
      <c r="GU700" s="3"/>
      <c r="GV700" s="3"/>
      <c r="GW700" s="3"/>
      <c r="GX700" s="3"/>
      <c r="GY700" s="3"/>
      <c r="GZ700" s="3"/>
      <c r="HA700" s="3"/>
      <c r="HB700" s="3"/>
    </row>
    <row r="701" spans="1:210" ht="15.75" customHeight="1">
      <c r="A701" s="50"/>
      <c r="B701" s="50"/>
      <c r="C701" s="50"/>
      <c r="D701" s="50"/>
      <c r="E701" s="50"/>
      <c r="F701" s="50"/>
      <c r="G701" s="51"/>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c r="AR701" s="50"/>
      <c r="AS701" s="50"/>
      <c r="AT701" s="50"/>
      <c r="AU701" s="50"/>
      <c r="AV701" s="50"/>
      <c r="AW701" s="50"/>
      <c r="AX701" s="50"/>
      <c r="AY701" s="50"/>
      <c r="AZ701" s="50"/>
      <c r="BA701" s="50"/>
      <c r="BB701" s="50"/>
      <c r="BC701" s="50"/>
      <c r="BD701" s="50"/>
      <c r="BE701" s="50"/>
      <c r="BF701" s="50"/>
      <c r="BG701" s="50"/>
      <c r="BH701" s="50"/>
      <c r="BI701" s="50"/>
      <c r="BJ701" s="50"/>
      <c r="BK701" s="50"/>
      <c r="BL701" s="50"/>
      <c r="BM701" s="50"/>
      <c r="BN701" s="50"/>
      <c r="BO701" s="50"/>
      <c r="BP701" s="50"/>
      <c r="BQ701" s="50"/>
      <c r="BR701" s="50"/>
      <c r="BS701" s="50"/>
      <c r="BT701" s="50"/>
      <c r="BU701" s="50"/>
      <c r="BV701" s="50"/>
      <c r="BW701" s="50"/>
      <c r="BX701" s="50"/>
      <c r="BY701" s="50"/>
      <c r="BZ701" s="50"/>
      <c r="CA701" s="50"/>
      <c r="CB701" s="50"/>
      <c r="CC701" s="50"/>
      <c r="CD701" s="52"/>
      <c r="CE701" s="50"/>
      <c r="CF701" s="50"/>
      <c r="CG701" s="50"/>
      <c r="CH701" s="50"/>
      <c r="CI701" s="50"/>
      <c r="CJ701" s="50"/>
      <c r="CK701" s="50"/>
      <c r="CL701" s="50"/>
      <c r="CM701" s="50"/>
      <c r="CN701" s="50"/>
      <c r="CO701" s="50"/>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c r="FF701" s="3"/>
      <c r="FG701" s="3"/>
      <c r="FH701" s="3"/>
      <c r="FI701" s="3"/>
      <c r="FJ701" s="3"/>
      <c r="FK701" s="3"/>
      <c r="FL701" s="3"/>
      <c r="FM701" s="3"/>
      <c r="FN701" s="3"/>
      <c r="FO701" s="3"/>
      <c r="FP701" s="3"/>
      <c r="FQ701" s="3"/>
      <c r="FR701" s="3"/>
      <c r="FS701" s="3"/>
      <c r="FT701" s="3"/>
      <c r="FU701" s="3"/>
      <c r="FV701" s="3"/>
      <c r="FW701" s="3"/>
      <c r="FX701" s="3"/>
      <c r="FY701" s="3"/>
      <c r="FZ701" s="3"/>
      <c r="GA701" s="3"/>
      <c r="GB701" s="3"/>
      <c r="GC701" s="3"/>
      <c r="GD701" s="3"/>
      <c r="GE701" s="3"/>
      <c r="GF701" s="3"/>
      <c r="GG701" s="3"/>
      <c r="GH701" s="3"/>
      <c r="GI701" s="3"/>
      <c r="GJ701" s="3"/>
      <c r="GK701" s="3"/>
      <c r="GL701" s="3"/>
      <c r="GM701" s="3"/>
      <c r="GN701" s="3"/>
      <c r="GO701" s="3"/>
      <c r="GP701" s="3"/>
      <c r="GQ701" s="3"/>
      <c r="GR701" s="3"/>
      <c r="GS701" s="3"/>
      <c r="GT701" s="3"/>
      <c r="GU701" s="3"/>
      <c r="GV701" s="3"/>
      <c r="GW701" s="3"/>
      <c r="GX701" s="3"/>
      <c r="GY701" s="3"/>
      <c r="GZ701" s="3"/>
      <c r="HA701" s="3"/>
      <c r="HB701" s="3"/>
    </row>
    <row r="702" spans="1:210" ht="15.75" customHeight="1">
      <c r="A702" s="50"/>
      <c r="B702" s="50"/>
      <c r="C702" s="50"/>
      <c r="D702" s="50"/>
      <c r="E702" s="50"/>
      <c r="F702" s="50"/>
      <c r="G702" s="51"/>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c r="AR702" s="50"/>
      <c r="AS702" s="50"/>
      <c r="AT702" s="50"/>
      <c r="AU702" s="50"/>
      <c r="AV702" s="50"/>
      <c r="AW702" s="50"/>
      <c r="AX702" s="50"/>
      <c r="AY702" s="50"/>
      <c r="AZ702" s="50"/>
      <c r="BA702" s="50"/>
      <c r="BB702" s="50"/>
      <c r="BC702" s="50"/>
      <c r="BD702" s="50"/>
      <c r="BE702" s="50"/>
      <c r="BF702" s="50"/>
      <c r="BG702" s="50"/>
      <c r="BH702" s="50"/>
      <c r="BI702" s="50"/>
      <c r="BJ702" s="50"/>
      <c r="BK702" s="50"/>
      <c r="BL702" s="50"/>
      <c r="BM702" s="50"/>
      <c r="BN702" s="50"/>
      <c r="BO702" s="50"/>
      <c r="BP702" s="50"/>
      <c r="BQ702" s="50"/>
      <c r="BR702" s="50"/>
      <c r="BS702" s="50"/>
      <c r="BT702" s="50"/>
      <c r="BU702" s="50"/>
      <c r="BV702" s="50"/>
      <c r="BW702" s="50"/>
      <c r="BX702" s="50"/>
      <c r="BY702" s="50"/>
      <c r="BZ702" s="50"/>
      <c r="CA702" s="50"/>
      <c r="CB702" s="50"/>
      <c r="CC702" s="50"/>
      <c r="CD702" s="52"/>
      <c r="CE702" s="50"/>
      <c r="CF702" s="50"/>
      <c r="CG702" s="50"/>
      <c r="CH702" s="50"/>
      <c r="CI702" s="50"/>
      <c r="CJ702" s="50"/>
      <c r="CK702" s="50"/>
      <c r="CL702" s="50"/>
      <c r="CM702" s="50"/>
      <c r="CN702" s="50"/>
      <c r="CO702" s="50"/>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c r="FF702" s="3"/>
      <c r="FG702" s="3"/>
      <c r="FH702" s="3"/>
      <c r="FI702" s="3"/>
      <c r="FJ702" s="3"/>
      <c r="FK702" s="3"/>
      <c r="FL702" s="3"/>
      <c r="FM702" s="3"/>
      <c r="FN702" s="3"/>
      <c r="FO702" s="3"/>
      <c r="FP702" s="3"/>
      <c r="FQ702" s="3"/>
      <c r="FR702" s="3"/>
      <c r="FS702" s="3"/>
      <c r="FT702" s="3"/>
      <c r="FU702" s="3"/>
      <c r="FV702" s="3"/>
      <c r="FW702" s="3"/>
      <c r="FX702" s="3"/>
      <c r="FY702" s="3"/>
      <c r="FZ702" s="3"/>
      <c r="GA702" s="3"/>
      <c r="GB702" s="3"/>
      <c r="GC702" s="3"/>
      <c r="GD702" s="3"/>
      <c r="GE702" s="3"/>
      <c r="GF702" s="3"/>
      <c r="GG702" s="3"/>
      <c r="GH702" s="3"/>
      <c r="GI702" s="3"/>
      <c r="GJ702" s="3"/>
      <c r="GK702" s="3"/>
      <c r="GL702" s="3"/>
      <c r="GM702" s="3"/>
      <c r="GN702" s="3"/>
      <c r="GO702" s="3"/>
      <c r="GP702" s="3"/>
      <c r="GQ702" s="3"/>
      <c r="GR702" s="3"/>
      <c r="GS702" s="3"/>
      <c r="GT702" s="3"/>
      <c r="GU702" s="3"/>
      <c r="GV702" s="3"/>
      <c r="GW702" s="3"/>
      <c r="GX702" s="3"/>
      <c r="GY702" s="3"/>
      <c r="GZ702" s="3"/>
      <c r="HA702" s="3"/>
      <c r="HB702" s="3"/>
    </row>
    <row r="703" spans="1:210" ht="15.75" customHeight="1">
      <c r="A703" s="50"/>
      <c r="B703" s="50"/>
      <c r="C703" s="50"/>
      <c r="D703" s="50"/>
      <c r="E703" s="50"/>
      <c r="F703" s="50"/>
      <c r="G703" s="51"/>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c r="AR703" s="50"/>
      <c r="AS703" s="50"/>
      <c r="AT703" s="50"/>
      <c r="AU703" s="50"/>
      <c r="AV703" s="50"/>
      <c r="AW703" s="50"/>
      <c r="AX703" s="50"/>
      <c r="AY703" s="50"/>
      <c r="AZ703" s="50"/>
      <c r="BA703" s="50"/>
      <c r="BB703" s="50"/>
      <c r="BC703" s="50"/>
      <c r="BD703" s="50"/>
      <c r="BE703" s="50"/>
      <c r="BF703" s="50"/>
      <c r="BG703" s="50"/>
      <c r="BH703" s="50"/>
      <c r="BI703" s="50"/>
      <c r="BJ703" s="50"/>
      <c r="BK703" s="50"/>
      <c r="BL703" s="50"/>
      <c r="BM703" s="50"/>
      <c r="BN703" s="50"/>
      <c r="BO703" s="50"/>
      <c r="BP703" s="50"/>
      <c r="BQ703" s="50"/>
      <c r="BR703" s="50"/>
      <c r="BS703" s="50"/>
      <c r="BT703" s="50"/>
      <c r="BU703" s="50"/>
      <c r="BV703" s="50"/>
      <c r="BW703" s="50"/>
      <c r="BX703" s="50"/>
      <c r="BY703" s="50"/>
      <c r="BZ703" s="50"/>
      <c r="CA703" s="50"/>
      <c r="CB703" s="50"/>
      <c r="CC703" s="50"/>
      <c r="CD703" s="52"/>
      <c r="CE703" s="50"/>
      <c r="CF703" s="50"/>
      <c r="CG703" s="50"/>
      <c r="CH703" s="50"/>
      <c r="CI703" s="50"/>
      <c r="CJ703" s="50"/>
      <c r="CK703" s="50"/>
      <c r="CL703" s="50"/>
      <c r="CM703" s="50"/>
      <c r="CN703" s="50"/>
      <c r="CO703" s="50"/>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c r="FF703" s="3"/>
      <c r="FG703" s="3"/>
      <c r="FH703" s="3"/>
      <c r="FI703" s="3"/>
      <c r="FJ703" s="3"/>
      <c r="FK703" s="3"/>
      <c r="FL703" s="3"/>
      <c r="FM703" s="3"/>
      <c r="FN703" s="3"/>
      <c r="FO703" s="3"/>
      <c r="FP703" s="3"/>
      <c r="FQ703" s="3"/>
      <c r="FR703" s="3"/>
      <c r="FS703" s="3"/>
      <c r="FT703" s="3"/>
      <c r="FU703" s="3"/>
      <c r="FV703" s="3"/>
      <c r="FW703" s="3"/>
      <c r="FX703" s="3"/>
      <c r="FY703" s="3"/>
      <c r="FZ703" s="3"/>
      <c r="GA703" s="3"/>
      <c r="GB703" s="3"/>
      <c r="GC703" s="3"/>
      <c r="GD703" s="3"/>
      <c r="GE703" s="3"/>
      <c r="GF703" s="3"/>
      <c r="GG703" s="3"/>
      <c r="GH703" s="3"/>
      <c r="GI703" s="3"/>
      <c r="GJ703" s="3"/>
      <c r="GK703" s="3"/>
      <c r="GL703" s="3"/>
      <c r="GM703" s="3"/>
      <c r="GN703" s="3"/>
      <c r="GO703" s="3"/>
      <c r="GP703" s="3"/>
      <c r="GQ703" s="3"/>
      <c r="GR703" s="3"/>
      <c r="GS703" s="3"/>
      <c r="GT703" s="3"/>
      <c r="GU703" s="3"/>
      <c r="GV703" s="3"/>
      <c r="GW703" s="3"/>
      <c r="GX703" s="3"/>
      <c r="GY703" s="3"/>
      <c r="GZ703" s="3"/>
      <c r="HA703" s="3"/>
      <c r="HB703" s="3"/>
    </row>
    <row r="704" spans="1:210" ht="15.75" customHeight="1">
      <c r="A704" s="50"/>
      <c r="B704" s="50"/>
      <c r="C704" s="50"/>
      <c r="D704" s="50"/>
      <c r="E704" s="50"/>
      <c r="F704" s="50"/>
      <c r="G704" s="51"/>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c r="AR704" s="50"/>
      <c r="AS704" s="50"/>
      <c r="AT704" s="50"/>
      <c r="AU704" s="50"/>
      <c r="AV704" s="50"/>
      <c r="AW704" s="50"/>
      <c r="AX704" s="50"/>
      <c r="AY704" s="50"/>
      <c r="AZ704" s="50"/>
      <c r="BA704" s="50"/>
      <c r="BB704" s="50"/>
      <c r="BC704" s="50"/>
      <c r="BD704" s="50"/>
      <c r="BE704" s="50"/>
      <c r="BF704" s="50"/>
      <c r="BG704" s="50"/>
      <c r="BH704" s="50"/>
      <c r="BI704" s="50"/>
      <c r="BJ704" s="50"/>
      <c r="BK704" s="50"/>
      <c r="BL704" s="50"/>
      <c r="BM704" s="50"/>
      <c r="BN704" s="50"/>
      <c r="BO704" s="50"/>
      <c r="BP704" s="50"/>
      <c r="BQ704" s="50"/>
      <c r="BR704" s="50"/>
      <c r="BS704" s="50"/>
      <c r="BT704" s="50"/>
      <c r="BU704" s="50"/>
      <c r="BV704" s="50"/>
      <c r="BW704" s="50"/>
      <c r="BX704" s="50"/>
      <c r="BY704" s="50"/>
      <c r="BZ704" s="50"/>
      <c r="CA704" s="50"/>
      <c r="CB704" s="50"/>
      <c r="CC704" s="50"/>
      <c r="CD704" s="52"/>
      <c r="CE704" s="50"/>
      <c r="CF704" s="50"/>
      <c r="CG704" s="50"/>
      <c r="CH704" s="50"/>
      <c r="CI704" s="50"/>
      <c r="CJ704" s="50"/>
      <c r="CK704" s="50"/>
      <c r="CL704" s="50"/>
      <c r="CM704" s="50"/>
      <c r="CN704" s="50"/>
      <c r="CO704" s="50"/>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c r="FF704" s="3"/>
      <c r="FG704" s="3"/>
      <c r="FH704" s="3"/>
      <c r="FI704" s="3"/>
      <c r="FJ704" s="3"/>
      <c r="FK704" s="3"/>
      <c r="FL704" s="3"/>
      <c r="FM704" s="3"/>
      <c r="FN704" s="3"/>
      <c r="FO704" s="3"/>
      <c r="FP704" s="3"/>
      <c r="FQ704" s="3"/>
      <c r="FR704" s="3"/>
      <c r="FS704" s="3"/>
      <c r="FT704" s="3"/>
      <c r="FU704" s="3"/>
      <c r="FV704" s="3"/>
      <c r="FW704" s="3"/>
      <c r="FX704" s="3"/>
      <c r="FY704" s="3"/>
      <c r="FZ704" s="3"/>
      <c r="GA704" s="3"/>
      <c r="GB704" s="3"/>
      <c r="GC704" s="3"/>
      <c r="GD704" s="3"/>
      <c r="GE704" s="3"/>
      <c r="GF704" s="3"/>
      <c r="GG704" s="3"/>
      <c r="GH704" s="3"/>
      <c r="GI704" s="3"/>
      <c r="GJ704" s="3"/>
      <c r="GK704" s="3"/>
      <c r="GL704" s="3"/>
      <c r="GM704" s="3"/>
      <c r="GN704" s="3"/>
      <c r="GO704" s="3"/>
      <c r="GP704" s="3"/>
      <c r="GQ704" s="3"/>
      <c r="GR704" s="3"/>
      <c r="GS704" s="3"/>
      <c r="GT704" s="3"/>
      <c r="GU704" s="3"/>
      <c r="GV704" s="3"/>
      <c r="GW704" s="3"/>
      <c r="GX704" s="3"/>
      <c r="GY704" s="3"/>
      <c r="GZ704" s="3"/>
      <c r="HA704" s="3"/>
      <c r="HB704" s="3"/>
    </row>
    <row r="705" spans="1:210" ht="15.75" customHeight="1">
      <c r="A705" s="50"/>
      <c r="B705" s="50"/>
      <c r="C705" s="50"/>
      <c r="D705" s="50"/>
      <c r="E705" s="50"/>
      <c r="F705" s="50"/>
      <c r="G705" s="51"/>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c r="AR705" s="50"/>
      <c r="AS705" s="50"/>
      <c r="AT705" s="50"/>
      <c r="AU705" s="50"/>
      <c r="AV705" s="50"/>
      <c r="AW705" s="50"/>
      <c r="AX705" s="50"/>
      <c r="AY705" s="50"/>
      <c r="AZ705" s="50"/>
      <c r="BA705" s="50"/>
      <c r="BB705" s="50"/>
      <c r="BC705" s="50"/>
      <c r="BD705" s="50"/>
      <c r="BE705" s="50"/>
      <c r="BF705" s="50"/>
      <c r="BG705" s="50"/>
      <c r="BH705" s="50"/>
      <c r="BI705" s="50"/>
      <c r="BJ705" s="50"/>
      <c r="BK705" s="50"/>
      <c r="BL705" s="50"/>
      <c r="BM705" s="50"/>
      <c r="BN705" s="50"/>
      <c r="BO705" s="50"/>
      <c r="BP705" s="50"/>
      <c r="BQ705" s="50"/>
      <c r="BR705" s="50"/>
      <c r="BS705" s="50"/>
      <c r="BT705" s="50"/>
      <c r="BU705" s="50"/>
      <c r="BV705" s="50"/>
      <c r="BW705" s="50"/>
      <c r="BX705" s="50"/>
      <c r="BY705" s="50"/>
      <c r="BZ705" s="50"/>
      <c r="CA705" s="50"/>
      <c r="CB705" s="50"/>
      <c r="CC705" s="50"/>
      <c r="CD705" s="52"/>
      <c r="CE705" s="50"/>
      <c r="CF705" s="50"/>
      <c r="CG705" s="50"/>
      <c r="CH705" s="50"/>
      <c r="CI705" s="50"/>
      <c r="CJ705" s="50"/>
      <c r="CK705" s="50"/>
      <c r="CL705" s="50"/>
      <c r="CM705" s="50"/>
      <c r="CN705" s="50"/>
      <c r="CO705" s="50"/>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c r="FF705" s="3"/>
      <c r="FG705" s="3"/>
      <c r="FH705" s="3"/>
      <c r="FI705" s="3"/>
      <c r="FJ705" s="3"/>
      <c r="FK705" s="3"/>
      <c r="FL705" s="3"/>
      <c r="FM705" s="3"/>
      <c r="FN705" s="3"/>
      <c r="FO705" s="3"/>
      <c r="FP705" s="3"/>
      <c r="FQ705" s="3"/>
      <c r="FR705" s="3"/>
      <c r="FS705" s="3"/>
      <c r="FT705" s="3"/>
      <c r="FU705" s="3"/>
      <c r="FV705" s="3"/>
      <c r="FW705" s="3"/>
      <c r="FX705" s="3"/>
      <c r="FY705" s="3"/>
      <c r="FZ705" s="3"/>
      <c r="GA705" s="3"/>
      <c r="GB705" s="3"/>
      <c r="GC705" s="3"/>
      <c r="GD705" s="3"/>
      <c r="GE705" s="3"/>
      <c r="GF705" s="3"/>
      <c r="GG705" s="3"/>
      <c r="GH705" s="3"/>
      <c r="GI705" s="3"/>
      <c r="GJ705" s="3"/>
      <c r="GK705" s="3"/>
      <c r="GL705" s="3"/>
      <c r="GM705" s="3"/>
      <c r="GN705" s="3"/>
      <c r="GO705" s="3"/>
      <c r="GP705" s="3"/>
      <c r="GQ705" s="3"/>
      <c r="GR705" s="3"/>
      <c r="GS705" s="3"/>
      <c r="GT705" s="3"/>
      <c r="GU705" s="3"/>
      <c r="GV705" s="3"/>
      <c r="GW705" s="3"/>
      <c r="GX705" s="3"/>
      <c r="GY705" s="3"/>
      <c r="GZ705" s="3"/>
      <c r="HA705" s="3"/>
      <c r="HB705" s="3"/>
    </row>
    <row r="706" spans="1:210" ht="15.75" customHeight="1">
      <c r="A706" s="50"/>
      <c r="B706" s="50"/>
      <c r="C706" s="50"/>
      <c r="D706" s="50"/>
      <c r="E706" s="50"/>
      <c r="F706" s="50"/>
      <c r="G706" s="51"/>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c r="AR706" s="50"/>
      <c r="AS706" s="50"/>
      <c r="AT706" s="50"/>
      <c r="AU706" s="50"/>
      <c r="AV706" s="50"/>
      <c r="AW706" s="50"/>
      <c r="AX706" s="50"/>
      <c r="AY706" s="50"/>
      <c r="AZ706" s="50"/>
      <c r="BA706" s="50"/>
      <c r="BB706" s="50"/>
      <c r="BC706" s="50"/>
      <c r="BD706" s="50"/>
      <c r="BE706" s="50"/>
      <c r="BF706" s="50"/>
      <c r="BG706" s="50"/>
      <c r="BH706" s="50"/>
      <c r="BI706" s="50"/>
      <c r="BJ706" s="50"/>
      <c r="BK706" s="50"/>
      <c r="BL706" s="50"/>
      <c r="BM706" s="50"/>
      <c r="BN706" s="50"/>
      <c r="BO706" s="50"/>
      <c r="BP706" s="50"/>
      <c r="BQ706" s="50"/>
      <c r="BR706" s="50"/>
      <c r="BS706" s="50"/>
      <c r="BT706" s="50"/>
      <c r="BU706" s="50"/>
      <c r="BV706" s="50"/>
      <c r="BW706" s="50"/>
      <c r="BX706" s="50"/>
      <c r="BY706" s="50"/>
      <c r="BZ706" s="50"/>
      <c r="CA706" s="50"/>
      <c r="CB706" s="50"/>
      <c r="CC706" s="50"/>
      <c r="CD706" s="52"/>
      <c r="CE706" s="50"/>
      <c r="CF706" s="50"/>
      <c r="CG706" s="50"/>
      <c r="CH706" s="50"/>
      <c r="CI706" s="50"/>
      <c r="CJ706" s="50"/>
      <c r="CK706" s="50"/>
      <c r="CL706" s="50"/>
      <c r="CM706" s="50"/>
      <c r="CN706" s="50"/>
      <c r="CO706" s="50"/>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c r="FF706" s="3"/>
      <c r="FG706" s="3"/>
      <c r="FH706" s="3"/>
      <c r="FI706" s="3"/>
      <c r="FJ706" s="3"/>
      <c r="FK706" s="3"/>
      <c r="FL706" s="3"/>
      <c r="FM706" s="3"/>
      <c r="FN706" s="3"/>
      <c r="FO706" s="3"/>
      <c r="FP706" s="3"/>
      <c r="FQ706" s="3"/>
      <c r="FR706" s="3"/>
      <c r="FS706" s="3"/>
      <c r="FT706" s="3"/>
      <c r="FU706" s="3"/>
      <c r="FV706" s="3"/>
      <c r="FW706" s="3"/>
      <c r="FX706" s="3"/>
      <c r="FY706" s="3"/>
      <c r="FZ706" s="3"/>
      <c r="GA706" s="3"/>
      <c r="GB706" s="3"/>
      <c r="GC706" s="3"/>
      <c r="GD706" s="3"/>
      <c r="GE706" s="3"/>
      <c r="GF706" s="3"/>
      <c r="GG706" s="3"/>
      <c r="GH706" s="3"/>
      <c r="GI706" s="3"/>
      <c r="GJ706" s="3"/>
      <c r="GK706" s="3"/>
      <c r="GL706" s="3"/>
      <c r="GM706" s="3"/>
      <c r="GN706" s="3"/>
      <c r="GO706" s="3"/>
      <c r="GP706" s="3"/>
      <c r="GQ706" s="3"/>
      <c r="GR706" s="3"/>
      <c r="GS706" s="3"/>
      <c r="GT706" s="3"/>
      <c r="GU706" s="3"/>
      <c r="GV706" s="3"/>
      <c r="GW706" s="3"/>
      <c r="GX706" s="3"/>
      <c r="GY706" s="3"/>
      <c r="GZ706" s="3"/>
      <c r="HA706" s="3"/>
      <c r="HB706" s="3"/>
    </row>
    <row r="707" spans="1:210" ht="15.75" customHeight="1">
      <c r="A707" s="50"/>
      <c r="B707" s="50"/>
      <c r="C707" s="50"/>
      <c r="D707" s="50"/>
      <c r="E707" s="50"/>
      <c r="F707" s="50"/>
      <c r="G707" s="51"/>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c r="AR707" s="50"/>
      <c r="AS707" s="50"/>
      <c r="AT707" s="50"/>
      <c r="AU707" s="50"/>
      <c r="AV707" s="50"/>
      <c r="AW707" s="50"/>
      <c r="AX707" s="50"/>
      <c r="AY707" s="50"/>
      <c r="AZ707" s="50"/>
      <c r="BA707" s="50"/>
      <c r="BB707" s="50"/>
      <c r="BC707" s="50"/>
      <c r="BD707" s="50"/>
      <c r="BE707" s="50"/>
      <c r="BF707" s="50"/>
      <c r="BG707" s="50"/>
      <c r="BH707" s="50"/>
      <c r="BI707" s="50"/>
      <c r="BJ707" s="50"/>
      <c r="BK707" s="50"/>
      <c r="BL707" s="50"/>
      <c r="BM707" s="50"/>
      <c r="BN707" s="50"/>
      <c r="BO707" s="50"/>
      <c r="BP707" s="50"/>
      <c r="BQ707" s="50"/>
      <c r="BR707" s="50"/>
      <c r="BS707" s="50"/>
      <c r="BT707" s="50"/>
      <c r="BU707" s="50"/>
      <c r="BV707" s="50"/>
      <c r="BW707" s="50"/>
      <c r="BX707" s="50"/>
      <c r="BY707" s="50"/>
      <c r="BZ707" s="50"/>
      <c r="CA707" s="50"/>
      <c r="CB707" s="50"/>
      <c r="CC707" s="50"/>
      <c r="CD707" s="52"/>
      <c r="CE707" s="50"/>
      <c r="CF707" s="50"/>
      <c r="CG707" s="50"/>
      <c r="CH707" s="50"/>
      <c r="CI707" s="50"/>
      <c r="CJ707" s="50"/>
      <c r="CK707" s="50"/>
      <c r="CL707" s="50"/>
      <c r="CM707" s="50"/>
      <c r="CN707" s="50"/>
      <c r="CO707" s="50"/>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c r="FF707" s="3"/>
      <c r="FG707" s="3"/>
      <c r="FH707" s="3"/>
      <c r="FI707" s="3"/>
      <c r="FJ707" s="3"/>
      <c r="FK707" s="3"/>
      <c r="FL707" s="3"/>
      <c r="FM707" s="3"/>
      <c r="FN707" s="3"/>
      <c r="FO707" s="3"/>
      <c r="FP707" s="3"/>
      <c r="FQ707" s="3"/>
      <c r="FR707" s="3"/>
      <c r="FS707" s="3"/>
      <c r="FT707" s="3"/>
      <c r="FU707" s="3"/>
      <c r="FV707" s="3"/>
      <c r="FW707" s="3"/>
      <c r="FX707" s="3"/>
      <c r="FY707" s="3"/>
      <c r="FZ707" s="3"/>
      <c r="GA707" s="3"/>
      <c r="GB707" s="3"/>
      <c r="GC707" s="3"/>
      <c r="GD707" s="3"/>
      <c r="GE707" s="3"/>
      <c r="GF707" s="3"/>
      <c r="GG707" s="3"/>
      <c r="GH707" s="3"/>
      <c r="GI707" s="3"/>
      <c r="GJ707" s="3"/>
      <c r="GK707" s="3"/>
      <c r="GL707" s="3"/>
      <c r="GM707" s="3"/>
      <c r="GN707" s="3"/>
      <c r="GO707" s="3"/>
      <c r="GP707" s="3"/>
      <c r="GQ707" s="3"/>
      <c r="GR707" s="3"/>
      <c r="GS707" s="3"/>
      <c r="GT707" s="3"/>
      <c r="GU707" s="3"/>
      <c r="GV707" s="3"/>
      <c r="GW707" s="3"/>
      <c r="GX707" s="3"/>
      <c r="GY707" s="3"/>
      <c r="GZ707" s="3"/>
      <c r="HA707" s="3"/>
      <c r="HB707" s="3"/>
    </row>
    <row r="708" spans="1:210" ht="15.75" customHeight="1">
      <c r="A708" s="50"/>
      <c r="B708" s="50"/>
      <c r="C708" s="50"/>
      <c r="D708" s="50"/>
      <c r="E708" s="50"/>
      <c r="F708" s="50"/>
      <c r="G708" s="51"/>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c r="AR708" s="50"/>
      <c r="AS708" s="50"/>
      <c r="AT708" s="50"/>
      <c r="AU708" s="50"/>
      <c r="AV708" s="50"/>
      <c r="AW708" s="50"/>
      <c r="AX708" s="50"/>
      <c r="AY708" s="50"/>
      <c r="AZ708" s="50"/>
      <c r="BA708" s="50"/>
      <c r="BB708" s="50"/>
      <c r="BC708" s="50"/>
      <c r="BD708" s="50"/>
      <c r="BE708" s="50"/>
      <c r="BF708" s="50"/>
      <c r="BG708" s="50"/>
      <c r="BH708" s="50"/>
      <c r="BI708" s="50"/>
      <c r="BJ708" s="50"/>
      <c r="BK708" s="50"/>
      <c r="BL708" s="50"/>
      <c r="BM708" s="50"/>
      <c r="BN708" s="50"/>
      <c r="BO708" s="50"/>
      <c r="BP708" s="50"/>
      <c r="BQ708" s="50"/>
      <c r="BR708" s="50"/>
      <c r="BS708" s="50"/>
      <c r="BT708" s="50"/>
      <c r="BU708" s="50"/>
      <c r="BV708" s="50"/>
      <c r="BW708" s="50"/>
      <c r="BX708" s="50"/>
      <c r="BY708" s="50"/>
      <c r="BZ708" s="50"/>
      <c r="CA708" s="50"/>
      <c r="CB708" s="50"/>
      <c r="CC708" s="50"/>
      <c r="CD708" s="52"/>
      <c r="CE708" s="50"/>
      <c r="CF708" s="50"/>
      <c r="CG708" s="50"/>
      <c r="CH708" s="50"/>
      <c r="CI708" s="50"/>
      <c r="CJ708" s="50"/>
      <c r="CK708" s="50"/>
      <c r="CL708" s="50"/>
      <c r="CM708" s="50"/>
      <c r="CN708" s="50"/>
      <c r="CO708" s="50"/>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c r="FF708" s="3"/>
      <c r="FG708" s="3"/>
      <c r="FH708" s="3"/>
      <c r="FI708" s="3"/>
      <c r="FJ708" s="3"/>
      <c r="FK708" s="3"/>
      <c r="FL708" s="3"/>
      <c r="FM708" s="3"/>
      <c r="FN708" s="3"/>
      <c r="FO708" s="3"/>
      <c r="FP708" s="3"/>
      <c r="FQ708" s="3"/>
      <c r="FR708" s="3"/>
      <c r="FS708" s="3"/>
      <c r="FT708" s="3"/>
      <c r="FU708" s="3"/>
      <c r="FV708" s="3"/>
      <c r="FW708" s="3"/>
      <c r="FX708" s="3"/>
      <c r="FY708" s="3"/>
      <c r="FZ708" s="3"/>
      <c r="GA708" s="3"/>
      <c r="GB708" s="3"/>
      <c r="GC708" s="3"/>
      <c r="GD708" s="3"/>
      <c r="GE708" s="3"/>
      <c r="GF708" s="3"/>
      <c r="GG708" s="3"/>
      <c r="GH708" s="3"/>
      <c r="GI708" s="3"/>
      <c r="GJ708" s="3"/>
      <c r="GK708" s="3"/>
      <c r="GL708" s="3"/>
      <c r="GM708" s="3"/>
      <c r="GN708" s="3"/>
      <c r="GO708" s="3"/>
      <c r="GP708" s="3"/>
      <c r="GQ708" s="3"/>
      <c r="GR708" s="3"/>
      <c r="GS708" s="3"/>
      <c r="GT708" s="3"/>
      <c r="GU708" s="3"/>
      <c r="GV708" s="3"/>
      <c r="GW708" s="3"/>
      <c r="GX708" s="3"/>
      <c r="GY708" s="3"/>
      <c r="GZ708" s="3"/>
      <c r="HA708" s="3"/>
      <c r="HB708" s="3"/>
    </row>
    <row r="709" spans="1:210" ht="15.75" customHeight="1">
      <c r="A709" s="50"/>
      <c r="B709" s="50"/>
      <c r="C709" s="50"/>
      <c r="D709" s="50"/>
      <c r="E709" s="50"/>
      <c r="F709" s="50"/>
      <c r="G709" s="51"/>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c r="AR709" s="50"/>
      <c r="AS709" s="50"/>
      <c r="AT709" s="50"/>
      <c r="AU709" s="50"/>
      <c r="AV709" s="50"/>
      <c r="AW709" s="50"/>
      <c r="AX709" s="50"/>
      <c r="AY709" s="50"/>
      <c r="AZ709" s="50"/>
      <c r="BA709" s="50"/>
      <c r="BB709" s="50"/>
      <c r="BC709" s="50"/>
      <c r="BD709" s="50"/>
      <c r="BE709" s="50"/>
      <c r="BF709" s="50"/>
      <c r="BG709" s="50"/>
      <c r="BH709" s="50"/>
      <c r="BI709" s="50"/>
      <c r="BJ709" s="50"/>
      <c r="BK709" s="50"/>
      <c r="BL709" s="50"/>
      <c r="BM709" s="50"/>
      <c r="BN709" s="50"/>
      <c r="BO709" s="50"/>
      <c r="BP709" s="50"/>
      <c r="BQ709" s="50"/>
      <c r="BR709" s="50"/>
      <c r="BS709" s="50"/>
      <c r="BT709" s="50"/>
      <c r="BU709" s="50"/>
      <c r="BV709" s="50"/>
      <c r="BW709" s="50"/>
      <c r="BX709" s="50"/>
      <c r="BY709" s="50"/>
      <c r="BZ709" s="50"/>
      <c r="CA709" s="50"/>
      <c r="CB709" s="50"/>
      <c r="CC709" s="50"/>
      <c r="CD709" s="52"/>
      <c r="CE709" s="50"/>
      <c r="CF709" s="50"/>
      <c r="CG709" s="50"/>
      <c r="CH709" s="50"/>
      <c r="CI709" s="50"/>
      <c r="CJ709" s="50"/>
      <c r="CK709" s="50"/>
      <c r="CL709" s="50"/>
      <c r="CM709" s="50"/>
      <c r="CN709" s="50"/>
      <c r="CO709" s="50"/>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c r="FF709" s="3"/>
      <c r="FG709" s="3"/>
      <c r="FH709" s="3"/>
      <c r="FI709" s="3"/>
      <c r="FJ709" s="3"/>
      <c r="FK709" s="3"/>
      <c r="FL709" s="3"/>
      <c r="FM709" s="3"/>
      <c r="FN709" s="3"/>
      <c r="FO709" s="3"/>
      <c r="FP709" s="3"/>
      <c r="FQ709" s="3"/>
      <c r="FR709" s="3"/>
      <c r="FS709" s="3"/>
      <c r="FT709" s="3"/>
      <c r="FU709" s="3"/>
      <c r="FV709" s="3"/>
      <c r="FW709" s="3"/>
      <c r="FX709" s="3"/>
      <c r="FY709" s="3"/>
      <c r="FZ709" s="3"/>
      <c r="GA709" s="3"/>
      <c r="GB709" s="3"/>
      <c r="GC709" s="3"/>
      <c r="GD709" s="3"/>
      <c r="GE709" s="3"/>
      <c r="GF709" s="3"/>
      <c r="GG709" s="3"/>
      <c r="GH709" s="3"/>
      <c r="GI709" s="3"/>
      <c r="GJ709" s="3"/>
      <c r="GK709" s="3"/>
      <c r="GL709" s="3"/>
      <c r="GM709" s="3"/>
      <c r="GN709" s="3"/>
      <c r="GO709" s="3"/>
      <c r="GP709" s="3"/>
      <c r="GQ709" s="3"/>
      <c r="GR709" s="3"/>
      <c r="GS709" s="3"/>
      <c r="GT709" s="3"/>
      <c r="GU709" s="3"/>
      <c r="GV709" s="3"/>
      <c r="GW709" s="3"/>
      <c r="GX709" s="3"/>
      <c r="GY709" s="3"/>
      <c r="GZ709" s="3"/>
      <c r="HA709" s="3"/>
      <c r="HB709" s="3"/>
    </row>
    <row r="710" spans="1:210" ht="15.75" customHeight="1">
      <c r="A710" s="50"/>
      <c r="B710" s="50"/>
      <c r="C710" s="50"/>
      <c r="D710" s="50"/>
      <c r="E710" s="50"/>
      <c r="F710" s="50"/>
      <c r="G710" s="51"/>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c r="AR710" s="50"/>
      <c r="AS710" s="50"/>
      <c r="AT710" s="50"/>
      <c r="AU710" s="50"/>
      <c r="AV710" s="50"/>
      <c r="AW710" s="50"/>
      <c r="AX710" s="50"/>
      <c r="AY710" s="50"/>
      <c r="AZ710" s="50"/>
      <c r="BA710" s="50"/>
      <c r="BB710" s="50"/>
      <c r="BC710" s="50"/>
      <c r="BD710" s="50"/>
      <c r="BE710" s="50"/>
      <c r="BF710" s="50"/>
      <c r="BG710" s="50"/>
      <c r="BH710" s="50"/>
      <c r="BI710" s="50"/>
      <c r="BJ710" s="50"/>
      <c r="BK710" s="50"/>
      <c r="BL710" s="50"/>
      <c r="BM710" s="50"/>
      <c r="BN710" s="50"/>
      <c r="BO710" s="50"/>
      <c r="BP710" s="50"/>
      <c r="BQ710" s="50"/>
      <c r="BR710" s="50"/>
      <c r="BS710" s="50"/>
      <c r="BT710" s="50"/>
      <c r="BU710" s="50"/>
      <c r="BV710" s="50"/>
      <c r="BW710" s="50"/>
      <c r="BX710" s="50"/>
      <c r="BY710" s="50"/>
      <c r="BZ710" s="50"/>
      <c r="CA710" s="50"/>
      <c r="CB710" s="50"/>
      <c r="CC710" s="50"/>
      <c r="CD710" s="52"/>
      <c r="CE710" s="50"/>
      <c r="CF710" s="50"/>
      <c r="CG710" s="50"/>
      <c r="CH710" s="50"/>
      <c r="CI710" s="50"/>
      <c r="CJ710" s="50"/>
      <c r="CK710" s="50"/>
      <c r="CL710" s="50"/>
      <c r="CM710" s="50"/>
      <c r="CN710" s="50"/>
      <c r="CO710" s="50"/>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c r="FF710" s="3"/>
      <c r="FG710" s="3"/>
      <c r="FH710" s="3"/>
      <c r="FI710" s="3"/>
      <c r="FJ710" s="3"/>
      <c r="FK710" s="3"/>
      <c r="FL710" s="3"/>
      <c r="FM710" s="3"/>
      <c r="FN710" s="3"/>
      <c r="FO710" s="3"/>
      <c r="FP710" s="3"/>
      <c r="FQ710" s="3"/>
      <c r="FR710" s="3"/>
      <c r="FS710" s="3"/>
      <c r="FT710" s="3"/>
      <c r="FU710" s="3"/>
      <c r="FV710" s="3"/>
      <c r="FW710" s="3"/>
      <c r="FX710" s="3"/>
      <c r="FY710" s="3"/>
      <c r="FZ710" s="3"/>
      <c r="GA710" s="3"/>
      <c r="GB710" s="3"/>
      <c r="GC710" s="3"/>
      <c r="GD710" s="3"/>
      <c r="GE710" s="3"/>
      <c r="GF710" s="3"/>
      <c r="GG710" s="3"/>
      <c r="GH710" s="3"/>
      <c r="GI710" s="3"/>
      <c r="GJ710" s="3"/>
      <c r="GK710" s="3"/>
      <c r="GL710" s="3"/>
      <c r="GM710" s="3"/>
      <c r="GN710" s="3"/>
      <c r="GO710" s="3"/>
      <c r="GP710" s="3"/>
      <c r="GQ710" s="3"/>
      <c r="GR710" s="3"/>
      <c r="GS710" s="3"/>
      <c r="GT710" s="3"/>
      <c r="GU710" s="3"/>
      <c r="GV710" s="3"/>
      <c r="GW710" s="3"/>
      <c r="GX710" s="3"/>
      <c r="GY710" s="3"/>
      <c r="GZ710" s="3"/>
      <c r="HA710" s="3"/>
      <c r="HB710" s="3"/>
    </row>
    <row r="711" spans="1:210" ht="15.75" customHeight="1">
      <c r="A711" s="50"/>
      <c r="B711" s="50"/>
      <c r="C711" s="50"/>
      <c r="D711" s="50"/>
      <c r="E711" s="50"/>
      <c r="F711" s="50"/>
      <c r="G711" s="51"/>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c r="AR711" s="50"/>
      <c r="AS711" s="50"/>
      <c r="AT711" s="50"/>
      <c r="AU711" s="50"/>
      <c r="AV711" s="50"/>
      <c r="AW711" s="50"/>
      <c r="AX711" s="50"/>
      <c r="AY711" s="50"/>
      <c r="AZ711" s="50"/>
      <c r="BA711" s="50"/>
      <c r="BB711" s="50"/>
      <c r="BC711" s="50"/>
      <c r="BD711" s="50"/>
      <c r="BE711" s="50"/>
      <c r="BF711" s="50"/>
      <c r="BG711" s="50"/>
      <c r="BH711" s="50"/>
      <c r="BI711" s="50"/>
      <c r="BJ711" s="50"/>
      <c r="BK711" s="50"/>
      <c r="BL711" s="50"/>
      <c r="BM711" s="50"/>
      <c r="BN711" s="50"/>
      <c r="BO711" s="50"/>
      <c r="BP711" s="50"/>
      <c r="BQ711" s="50"/>
      <c r="BR711" s="50"/>
      <c r="BS711" s="50"/>
      <c r="BT711" s="50"/>
      <c r="BU711" s="50"/>
      <c r="BV711" s="50"/>
      <c r="BW711" s="50"/>
      <c r="BX711" s="50"/>
      <c r="BY711" s="50"/>
      <c r="BZ711" s="50"/>
      <c r="CA711" s="50"/>
      <c r="CB711" s="50"/>
      <c r="CC711" s="50"/>
      <c r="CD711" s="52"/>
      <c r="CE711" s="50"/>
      <c r="CF711" s="50"/>
      <c r="CG711" s="50"/>
      <c r="CH711" s="50"/>
      <c r="CI711" s="50"/>
      <c r="CJ711" s="50"/>
      <c r="CK711" s="50"/>
      <c r="CL711" s="50"/>
      <c r="CM711" s="50"/>
      <c r="CN711" s="50"/>
      <c r="CO711" s="50"/>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c r="FF711" s="3"/>
      <c r="FG711" s="3"/>
      <c r="FH711" s="3"/>
      <c r="FI711" s="3"/>
      <c r="FJ711" s="3"/>
      <c r="FK711" s="3"/>
      <c r="FL711" s="3"/>
      <c r="FM711" s="3"/>
      <c r="FN711" s="3"/>
      <c r="FO711" s="3"/>
      <c r="FP711" s="3"/>
      <c r="FQ711" s="3"/>
      <c r="FR711" s="3"/>
      <c r="FS711" s="3"/>
      <c r="FT711" s="3"/>
      <c r="FU711" s="3"/>
      <c r="FV711" s="3"/>
      <c r="FW711" s="3"/>
      <c r="FX711" s="3"/>
      <c r="FY711" s="3"/>
      <c r="FZ711" s="3"/>
      <c r="GA711" s="3"/>
      <c r="GB711" s="3"/>
      <c r="GC711" s="3"/>
      <c r="GD711" s="3"/>
      <c r="GE711" s="3"/>
      <c r="GF711" s="3"/>
      <c r="GG711" s="3"/>
      <c r="GH711" s="3"/>
      <c r="GI711" s="3"/>
      <c r="GJ711" s="3"/>
      <c r="GK711" s="3"/>
      <c r="GL711" s="3"/>
      <c r="GM711" s="3"/>
      <c r="GN711" s="3"/>
      <c r="GO711" s="3"/>
      <c r="GP711" s="3"/>
      <c r="GQ711" s="3"/>
      <c r="GR711" s="3"/>
      <c r="GS711" s="3"/>
      <c r="GT711" s="3"/>
      <c r="GU711" s="3"/>
      <c r="GV711" s="3"/>
      <c r="GW711" s="3"/>
      <c r="GX711" s="3"/>
      <c r="GY711" s="3"/>
      <c r="GZ711" s="3"/>
      <c r="HA711" s="3"/>
      <c r="HB711" s="3"/>
    </row>
    <row r="712" spans="1:210" ht="15.75" customHeight="1">
      <c r="A712" s="50"/>
      <c r="B712" s="50"/>
      <c r="C712" s="50"/>
      <c r="D712" s="50"/>
      <c r="E712" s="50"/>
      <c r="F712" s="50"/>
      <c r="G712" s="51"/>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c r="AR712" s="50"/>
      <c r="AS712" s="50"/>
      <c r="AT712" s="50"/>
      <c r="AU712" s="50"/>
      <c r="AV712" s="50"/>
      <c r="AW712" s="50"/>
      <c r="AX712" s="50"/>
      <c r="AY712" s="50"/>
      <c r="AZ712" s="50"/>
      <c r="BA712" s="50"/>
      <c r="BB712" s="50"/>
      <c r="BC712" s="50"/>
      <c r="BD712" s="50"/>
      <c r="BE712" s="50"/>
      <c r="BF712" s="50"/>
      <c r="BG712" s="50"/>
      <c r="BH712" s="50"/>
      <c r="BI712" s="50"/>
      <c r="BJ712" s="50"/>
      <c r="BK712" s="50"/>
      <c r="BL712" s="50"/>
      <c r="BM712" s="50"/>
      <c r="BN712" s="50"/>
      <c r="BO712" s="50"/>
      <c r="BP712" s="50"/>
      <c r="BQ712" s="50"/>
      <c r="BR712" s="50"/>
      <c r="BS712" s="50"/>
      <c r="BT712" s="50"/>
      <c r="BU712" s="50"/>
      <c r="BV712" s="50"/>
      <c r="BW712" s="50"/>
      <c r="BX712" s="50"/>
      <c r="BY712" s="50"/>
      <c r="BZ712" s="50"/>
      <c r="CA712" s="50"/>
      <c r="CB712" s="50"/>
      <c r="CC712" s="50"/>
      <c r="CD712" s="52"/>
      <c r="CE712" s="50"/>
      <c r="CF712" s="50"/>
      <c r="CG712" s="50"/>
      <c r="CH712" s="50"/>
      <c r="CI712" s="50"/>
      <c r="CJ712" s="50"/>
      <c r="CK712" s="50"/>
      <c r="CL712" s="50"/>
      <c r="CM712" s="50"/>
      <c r="CN712" s="50"/>
      <c r="CO712" s="50"/>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c r="FF712" s="3"/>
      <c r="FG712" s="3"/>
      <c r="FH712" s="3"/>
      <c r="FI712" s="3"/>
      <c r="FJ712" s="3"/>
      <c r="FK712" s="3"/>
      <c r="FL712" s="3"/>
      <c r="FM712" s="3"/>
      <c r="FN712" s="3"/>
      <c r="FO712" s="3"/>
      <c r="FP712" s="3"/>
      <c r="FQ712" s="3"/>
      <c r="FR712" s="3"/>
      <c r="FS712" s="3"/>
      <c r="FT712" s="3"/>
      <c r="FU712" s="3"/>
      <c r="FV712" s="3"/>
      <c r="FW712" s="3"/>
      <c r="FX712" s="3"/>
      <c r="FY712" s="3"/>
      <c r="FZ712" s="3"/>
      <c r="GA712" s="3"/>
      <c r="GB712" s="3"/>
      <c r="GC712" s="3"/>
      <c r="GD712" s="3"/>
      <c r="GE712" s="3"/>
      <c r="GF712" s="3"/>
      <c r="GG712" s="3"/>
      <c r="GH712" s="3"/>
      <c r="GI712" s="3"/>
      <c r="GJ712" s="3"/>
      <c r="GK712" s="3"/>
      <c r="GL712" s="3"/>
      <c r="GM712" s="3"/>
      <c r="GN712" s="3"/>
      <c r="GO712" s="3"/>
      <c r="GP712" s="3"/>
      <c r="GQ712" s="3"/>
      <c r="GR712" s="3"/>
      <c r="GS712" s="3"/>
      <c r="GT712" s="3"/>
      <c r="GU712" s="3"/>
      <c r="GV712" s="3"/>
      <c r="GW712" s="3"/>
      <c r="GX712" s="3"/>
      <c r="GY712" s="3"/>
      <c r="GZ712" s="3"/>
      <c r="HA712" s="3"/>
      <c r="HB712" s="3"/>
    </row>
    <row r="713" spans="1:210" ht="15.75" customHeight="1">
      <c r="A713" s="50"/>
      <c r="B713" s="50"/>
      <c r="C713" s="50"/>
      <c r="D713" s="50"/>
      <c r="E713" s="50"/>
      <c r="F713" s="50"/>
      <c r="G713" s="51"/>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c r="AR713" s="50"/>
      <c r="AS713" s="50"/>
      <c r="AT713" s="50"/>
      <c r="AU713" s="50"/>
      <c r="AV713" s="50"/>
      <c r="AW713" s="50"/>
      <c r="AX713" s="50"/>
      <c r="AY713" s="50"/>
      <c r="AZ713" s="50"/>
      <c r="BA713" s="50"/>
      <c r="BB713" s="50"/>
      <c r="BC713" s="50"/>
      <c r="BD713" s="50"/>
      <c r="BE713" s="50"/>
      <c r="BF713" s="50"/>
      <c r="BG713" s="50"/>
      <c r="BH713" s="50"/>
      <c r="BI713" s="50"/>
      <c r="BJ713" s="50"/>
      <c r="BK713" s="50"/>
      <c r="BL713" s="50"/>
      <c r="BM713" s="50"/>
      <c r="BN713" s="50"/>
      <c r="BO713" s="50"/>
      <c r="BP713" s="50"/>
      <c r="BQ713" s="50"/>
      <c r="BR713" s="50"/>
      <c r="BS713" s="50"/>
      <c r="BT713" s="50"/>
      <c r="BU713" s="50"/>
      <c r="BV713" s="50"/>
      <c r="BW713" s="50"/>
      <c r="BX713" s="50"/>
      <c r="BY713" s="50"/>
      <c r="BZ713" s="50"/>
      <c r="CA713" s="50"/>
      <c r="CB713" s="50"/>
      <c r="CC713" s="50"/>
      <c r="CD713" s="52"/>
      <c r="CE713" s="50"/>
      <c r="CF713" s="50"/>
      <c r="CG713" s="50"/>
      <c r="CH713" s="50"/>
      <c r="CI713" s="50"/>
      <c r="CJ713" s="50"/>
      <c r="CK713" s="50"/>
      <c r="CL713" s="50"/>
      <c r="CM713" s="50"/>
      <c r="CN713" s="50"/>
      <c r="CO713" s="50"/>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c r="GE713" s="3"/>
      <c r="GF713" s="3"/>
      <c r="GG713" s="3"/>
      <c r="GH713" s="3"/>
      <c r="GI713" s="3"/>
      <c r="GJ713" s="3"/>
      <c r="GK713" s="3"/>
      <c r="GL713" s="3"/>
      <c r="GM713" s="3"/>
      <c r="GN713" s="3"/>
      <c r="GO713" s="3"/>
      <c r="GP713" s="3"/>
      <c r="GQ713" s="3"/>
      <c r="GR713" s="3"/>
      <c r="GS713" s="3"/>
      <c r="GT713" s="3"/>
      <c r="GU713" s="3"/>
      <c r="GV713" s="3"/>
      <c r="GW713" s="3"/>
      <c r="GX713" s="3"/>
      <c r="GY713" s="3"/>
      <c r="GZ713" s="3"/>
      <c r="HA713" s="3"/>
      <c r="HB713" s="3"/>
    </row>
    <row r="714" spans="1:210" ht="15.75" customHeight="1">
      <c r="A714" s="50"/>
      <c r="B714" s="50"/>
      <c r="C714" s="50"/>
      <c r="D714" s="50"/>
      <c r="E714" s="50"/>
      <c r="F714" s="50"/>
      <c r="G714" s="51"/>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c r="AR714" s="50"/>
      <c r="AS714" s="50"/>
      <c r="AT714" s="50"/>
      <c r="AU714" s="50"/>
      <c r="AV714" s="50"/>
      <c r="AW714" s="50"/>
      <c r="AX714" s="50"/>
      <c r="AY714" s="50"/>
      <c r="AZ714" s="50"/>
      <c r="BA714" s="50"/>
      <c r="BB714" s="50"/>
      <c r="BC714" s="50"/>
      <c r="BD714" s="50"/>
      <c r="BE714" s="50"/>
      <c r="BF714" s="50"/>
      <c r="BG714" s="50"/>
      <c r="BH714" s="50"/>
      <c r="BI714" s="50"/>
      <c r="BJ714" s="50"/>
      <c r="BK714" s="50"/>
      <c r="BL714" s="50"/>
      <c r="BM714" s="50"/>
      <c r="BN714" s="50"/>
      <c r="BO714" s="50"/>
      <c r="BP714" s="50"/>
      <c r="BQ714" s="50"/>
      <c r="BR714" s="50"/>
      <c r="BS714" s="50"/>
      <c r="BT714" s="50"/>
      <c r="BU714" s="50"/>
      <c r="BV714" s="50"/>
      <c r="BW714" s="50"/>
      <c r="BX714" s="50"/>
      <c r="BY714" s="50"/>
      <c r="BZ714" s="50"/>
      <c r="CA714" s="50"/>
      <c r="CB714" s="50"/>
      <c r="CC714" s="50"/>
      <c r="CD714" s="52"/>
      <c r="CE714" s="50"/>
      <c r="CF714" s="50"/>
      <c r="CG714" s="50"/>
      <c r="CH714" s="50"/>
      <c r="CI714" s="50"/>
      <c r="CJ714" s="50"/>
      <c r="CK714" s="50"/>
      <c r="CL714" s="50"/>
      <c r="CM714" s="50"/>
      <c r="CN714" s="50"/>
      <c r="CO714" s="50"/>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c r="FF714" s="3"/>
      <c r="FG714" s="3"/>
      <c r="FH714" s="3"/>
      <c r="FI714" s="3"/>
      <c r="FJ714" s="3"/>
      <c r="FK714" s="3"/>
      <c r="FL714" s="3"/>
      <c r="FM714" s="3"/>
      <c r="FN714" s="3"/>
      <c r="FO714" s="3"/>
      <c r="FP714" s="3"/>
      <c r="FQ714" s="3"/>
      <c r="FR714" s="3"/>
      <c r="FS714" s="3"/>
      <c r="FT714" s="3"/>
      <c r="FU714" s="3"/>
      <c r="FV714" s="3"/>
      <c r="FW714" s="3"/>
      <c r="FX714" s="3"/>
      <c r="FY714" s="3"/>
      <c r="FZ714" s="3"/>
      <c r="GA714" s="3"/>
      <c r="GB714" s="3"/>
      <c r="GC714" s="3"/>
      <c r="GD714" s="3"/>
      <c r="GE714" s="3"/>
      <c r="GF714" s="3"/>
      <c r="GG714" s="3"/>
      <c r="GH714" s="3"/>
      <c r="GI714" s="3"/>
      <c r="GJ714" s="3"/>
      <c r="GK714" s="3"/>
      <c r="GL714" s="3"/>
      <c r="GM714" s="3"/>
      <c r="GN714" s="3"/>
      <c r="GO714" s="3"/>
      <c r="GP714" s="3"/>
      <c r="GQ714" s="3"/>
      <c r="GR714" s="3"/>
      <c r="GS714" s="3"/>
      <c r="GT714" s="3"/>
      <c r="GU714" s="3"/>
      <c r="GV714" s="3"/>
      <c r="GW714" s="3"/>
      <c r="GX714" s="3"/>
      <c r="GY714" s="3"/>
      <c r="GZ714" s="3"/>
      <c r="HA714" s="3"/>
      <c r="HB714" s="3"/>
    </row>
    <row r="715" spans="1:210" ht="15.75" customHeight="1">
      <c r="A715" s="50"/>
      <c r="B715" s="50"/>
      <c r="C715" s="50"/>
      <c r="D715" s="50"/>
      <c r="E715" s="50"/>
      <c r="F715" s="50"/>
      <c r="G715" s="51"/>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c r="AR715" s="50"/>
      <c r="AS715" s="50"/>
      <c r="AT715" s="50"/>
      <c r="AU715" s="50"/>
      <c r="AV715" s="50"/>
      <c r="AW715" s="50"/>
      <c r="AX715" s="50"/>
      <c r="AY715" s="50"/>
      <c r="AZ715" s="50"/>
      <c r="BA715" s="50"/>
      <c r="BB715" s="50"/>
      <c r="BC715" s="50"/>
      <c r="BD715" s="50"/>
      <c r="BE715" s="50"/>
      <c r="BF715" s="50"/>
      <c r="BG715" s="50"/>
      <c r="BH715" s="50"/>
      <c r="BI715" s="50"/>
      <c r="BJ715" s="50"/>
      <c r="BK715" s="50"/>
      <c r="BL715" s="50"/>
      <c r="BM715" s="50"/>
      <c r="BN715" s="50"/>
      <c r="BO715" s="50"/>
      <c r="BP715" s="50"/>
      <c r="BQ715" s="50"/>
      <c r="BR715" s="50"/>
      <c r="BS715" s="50"/>
      <c r="BT715" s="50"/>
      <c r="BU715" s="50"/>
      <c r="BV715" s="50"/>
      <c r="BW715" s="50"/>
      <c r="BX715" s="50"/>
      <c r="BY715" s="50"/>
      <c r="BZ715" s="50"/>
      <c r="CA715" s="50"/>
      <c r="CB715" s="50"/>
      <c r="CC715" s="50"/>
      <c r="CD715" s="52"/>
      <c r="CE715" s="50"/>
      <c r="CF715" s="50"/>
      <c r="CG715" s="50"/>
      <c r="CH715" s="50"/>
      <c r="CI715" s="50"/>
      <c r="CJ715" s="50"/>
      <c r="CK715" s="50"/>
      <c r="CL715" s="50"/>
      <c r="CM715" s="50"/>
      <c r="CN715" s="50"/>
      <c r="CO715" s="50"/>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c r="GE715" s="3"/>
      <c r="GF715" s="3"/>
      <c r="GG715" s="3"/>
      <c r="GH715" s="3"/>
      <c r="GI715" s="3"/>
      <c r="GJ715" s="3"/>
      <c r="GK715" s="3"/>
      <c r="GL715" s="3"/>
      <c r="GM715" s="3"/>
      <c r="GN715" s="3"/>
      <c r="GO715" s="3"/>
      <c r="GP715" s="3"/>
      <c r="GQ715" s="3"/>
      <c r="GR715" s="3"/>
      <c r="GS715" s="3"/>
      <c r="GT715" s="3"/>
      <c r="GU715" s="3"/>
      <c r="GV715" s="3"/>
      <c r="GW715" s="3"/>
      <c r="GX715" s="3"/>
      <c r="GY715" s="3"/>
      <c r="GZ715" s="3"/>
      <c r="HA715" s="3"/>
      <c r="HB715" s="3"/>
    </row>
    <row r="716" spans="1:210" ht="15.75" customHeight="1">
      <c r="A716" s="50"/>
      <c r="B716" s="50"/>
      <c r="C716" s="50"/>
      <c r="D716" s="50"/>
      <c r="E716" s="50"/>
      <c r="F716" s="50"/>
      <c r="G716" s="51"/>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c r="AR716" s="50"/>
      <c r="AS716" s="50"/>
      <c r="AT716" s="50"/>
      <c r="AU716" s="50"/>
      <c r="AV716" s="50"/>
      <c r="AW716" s="50"/>
      <c r="AX716" s="50"/>
      <c r="AY716" s="50"/>
      <c r="AZ716" s="50"/>
      <c r="BA716" s="50"/>
      <c r="BB716" s="50"/>
      <c r="BC716" s="50"/>
      <c r="BD716" s="50"/>
      <c r="BE716" s="50"/>
      <c r="BF716" s="50"/>
      <c r="BG716" s="50"/>
      <c r="BH716" s="50"/>
      <c r="BI716" s="50"/>
      <c r="BJ716" s="50"/>
      <c r="BK716" s="50"/>
      <c r="BL716" s="50"/>
      <c r="BM716" s="50"/>
      <c r="BN716" s="50"/>
      <c r="BO716" s="50"/>
      <c r="BP716" s="50"/>
      <c r="BQ716" s="50"/>
      <c r="BR716" s="50"/>
      <c r="BS716" s="50"/>
      <c r="BT716" s="50"/>
      <c r="BU716" s="50"/>
      <c r="BV716" s="50"/>
      <c r="BW716" s="50"/>
      <c r="BX716" s="50"/>
      <c r="BY716" s="50"/>
      <c r="BZ716" s="50"/>
      <c r="CA716" s="50"/>
      <c r="CB716" s="50"/>
      <c r="CC716" s="50"/>
      <c r="CD716" s="52"/>
      <c r="CE716" s="50"/>
      <c r="CF716" s="50"/>
      <c r="CG716" s="50"/>
      <c r="CH716" s="50"/>
      <c r="CI716" s="50"/>
      <c r="CJ716" s="50"/>
      <c r="CK716" s="50"/>
      <c r="CL716" s="50"/>
      <c r="CM716" s="50"/>
      <c r="CN716" s="50"/>
      <c r="CO716" s="50"/>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c r="FF716" s="3"/>
      <c r="FG716" s="3"/>
      <c r="FH716" s="3"/>
      <c r="FI716" s="3"/>
      <c r="FJ716" s="3"/>
      <c r="FK716" s="3"/>
      <c r="FL716" s="3"/>
      <c r="FM716" s="3"/>
      <c r="FN716" s="3"/>
      <c r="FO716" s="3"/>
      <c r="FP716" s="3"/>
      <c r="FQ716" s="3"/>
      <c r="FR716" s="3"/>
      <c r="FS716" s="3"/>
      <c r="FT716" s="3"/>
      <c r="FU716" s="3"/>
      <c r="FV716" s="3"/>
      <c r="FW716" s="3"/>
      <c r="FX716" s="3"/>
      <c r="FY716" s="3"/>
      <c r="FZ716" s="3"/>
      <c r="GA716" s="3"/>
      <c r="GB716" s="3"/>
      <c r="GC716" s="3"/>
      <c r="GD716" s="3"/>
      <c r="GE716" s="3"/>
      <c r="GF716" s="3"/>
      <c r="GG716" s="3"/>
      <c r="GH716" s="3"/>
      <c r="GI716" s="3"/>
      <c r="GJ716" s="3"/>
      <c r="GK716" s="3"/>
      <c r="GL716" s="3"/>
      <c r="GM716" s="3"/>
      <c r="GN716" s="3"/>
      <c r="GO716" s="3"/>
      <c r="GP716" s="3"/>
      <c r="GQ716" s="3"/>
      <c r="GR716" s="3"/>
      <c r="GS716" s="3"/>
      <c r="GT716" s="3"/>
      <c r="GU716" s="3"/>
      <c r="GV716" s="3"/>
      <c r="GW716" s="3"/>
      <c r="GX716" s="3"/>
      <c r="GY716" s="3"/>
      <c r="GZ716" s="3"/>
      <c r="HA716" s="3"/>
      <c r="HB716" s="3"/>
    </row>
    <row r="717" spans="1:210" ht="15.75" customHeight="1">
      <c r="A717" s="50"/>
      <c r="B717" s="50"/>
      <c r="C717" s="50"/>
      <c r="D717" s="50"/>
      <c r="E717" s="50"/>
      <c r="F717" s="50"/>
      <c r="G717" s="51"/>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c r="AR717" s="50"/>
      <c r="AS717" s="50"/>
      <c r="AT717" s="50"/>
      <c r="AU717" s="50"/>
      <c r="AV717" s="50"/>
      <c r="AW717" s="50"/>
      <c r="AX717" s="50"/>
      <c r="AY717" s="50"/>
      <c r="AZ717" s="50"/>
      <c r="BA717" s="50"/>
      <c r="BB717" s="50"/>
      <c r="BC717" s="50"/>
      <c r="BD717" s="50"/>
      <c r="BE717" s="50"/>
      <c r="BF717" s="50"/>
      <c r="BG717" s="50"/>
      <c r="BH717" s="50"/>
      <c r="BI717" s="50"/>
      <c r="BJ717" s="50"/>
      <c r="BK717" s="50"/>
      <c r="BL717" s="50"/>
      <c r="BM717" s="50"/>
      <c r="BN717" s="50"/>
      <c r="BO717" s="50"/>
      <c r="BP717" s="50"/>
      <c r="BQ717" s="50"/>
      <c r="BR717" s="50"/>
      <c r="BS717" s="50"/>
      <c r="BT717" s="50"/>
      <c r="BU717" s="50"/>
      <c r="BV717" s="50"/>
      <c r="BW717" s="50"/>
      <c r="BX717" s="50"/>
      <c r="BY717" s="50"/>
      <c r="BZ717" s="50"/>
      <c r="CA717" s="50"/>
      <c r="CB717" s="50"/>
      <c r="CC717" s="50"/>
      <c r="CD717" s="52"/>
      <c r="CE717" s="50"/>
      <c r="CF717" s="50"/>
      <c r="CG717" s="50"/>
      <c r="CH717" s="50"/>
      <c r="CI717" s="50"/>
      <c r="CJ717" s="50"/>
      <c r="CK717" s="50"/>
      <c r="CL717" s="50"/>
      <c r="CM717" s="50"/>
      <c r="CN717" s="50"/>
      <c r="CO717" s="50"/>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c r="FF717" s="3"/>
      <c r="FG717" s="3"/>
      <c r="FH717" s="3"/>
      <c r="FI717" s="3"/>
      <c r="FJ717" s="3"/>
      <c r="FK717" s="3"/>
      <c r="FL717" s="3"/>
      <c r="FM717" s="3"/>
      <c r="FN717" s="3"/>
      <c r="FO717" s="3"/>
      <c r="FP717" s="3"/>
      <c r="FQ717" s="3"/>
      <c r="FR717" s="3"/>
      <c r="FS717" s="3"/>
      <c r="FT717" s="3"/>
      <c r="FU717" s="3"/>
      <c r="FV717" s="3"/>
      <c r="FW717" s="3"/>
      <c r="FX717" s="3"/>
      <c r="FY717" s="3"/>
      <c r="FZ717" s="3"/>
      <c r="GA717" s="3"/>
      <c r="GB717" s="3"/>
      <c r="GC717" s="3"/>
      <c r="GD717" s="3"/>
      <c r="GE717" s="3"/>
      <c r="GF717" s="3"/>
      <c r="GG717" s="3"/>
      <c r="GH717" s="3"/>
      <c r="GI717" s="3"/>
      <c r="GJ717" s="3"/>
      <c r="GK717" s="3"/>
      <c r="GL717" s="3"/>
      <c r="GM717" s="3"/>
      <c r="GN717" s="3"/>
      <c r="GO717" s="3"/>
      <c r="GP717" s="3"/>
      <c r="GQ717" s="3"/>
      <c r="GR717" s="3"/>
      <c r="GS717" s="3"/>
      <c r="GT717" s="3"/>
      <c r="GU717" s="3"/>
      <c r="GV717" s="3"/>
      <c r="GW717" s="3"/>
      <c r="GX717" s="3"/>
      <c r="GY717" s="3"/>
      <c r="GZ717" s="3"/>
      <c r="HA717" s="3"/>
      <c r="HB717" s="3"/>
    </row>
    <row r="718" spans="1:210" ht="15.75" customHeight="1">
      <c r="A718" s="50"/>
      <c r="B718" s="50"/>
      <c r="C718" s="50"/>
      <c r="D718" s="50"/>
      <c r="E718" s="50"/>
      <c r="F718" s="50"/>
      <c r="G718" s="51"/>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c r="AR718" s="50"/>
      <c r="AS718" s="50"/>
      <c r="AT718" s="50"/>
      <c r="AU718" s="50"/>
      <c r="AV718" s="50"/>
      <c r="AW718" s="50"/>
      <c r="AX718" s="50"/>
      <c r="AY718" s="50"/>
      <c r="AZ718" s="50"/>
      <c r="BA718" s="50"/>
      <c r="BB718" s="50"/>
      <c r="BC718" s="50"/>
      <c r="BD718" s="50"/>
      <c r="BE718" s="50"/>
      <c r="BF718" s="50"/>
      <c r="BG718" s="50"/>
      <c r="BH718" s="50"/>
      <c r="BI718" s="50"/>
      <c r="BJ718" s="50"/>
      <c r="BK718" s="50"/>
      <c r="BL718" s="50"/>
      <c r="BM718" s="50"/>
      <c r="BN718" s="50"/>
      <c r="BO718" s="50"/>
      <c r="BP718" s="50"/>
      <c r="BQ718" s="50"/>
      <c r="BR718" s="50"/>
      <c r="BS718" s="50"/>
      <c r="BT718" s="50"/>
      <c r="BU718" s="50"/>
      <c r="BV718" s="50"/>
      <c r="BW718" s="50"/>
      <c r="BX718" s="50"/>
      <c r="BY718" s="50"/>
      <c r="BZ718" s="50"/>
      <c r="CA718" s="50"/>
      <c r="CB718" s="50"/>
      <c r="CC718" s="50"/>
      <c r="CD718" s="52"/>
      <c r="CE718" s="50"/>
      <c r="CF718" s="50"/>
      <c r="CG718" s="50"/>
      <c r="CH718" s="50"/>
      <c r="CI718" s="50"/>
      <c r="CJ718" s="50"/>
      <c r="CK718" s="50"/>
      <c r="CL718" s="50"/>
      <c r="CM718" s="50"/>
      <c r="CN718" s="50"/>
      <c r="CO718" s="50"/>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c r="FF718" s="3"/>
      <c r="FG718" s="3"/>
      <c r="FH718" s="3"/>
      <c r="FI718" s="3"/>
      <c r="FJ718" s="3"/>
      <c r="FK718" s="3"/>
      <c r="FL718" s="3"/>
      <c r="FM718" s="3"/>
      <c r="FN718" s="3"/>
      <c r="FO718" s="3"/>
      <c r="FP718" s="3"/>
      <c r="FQ718" s="3"/>
      <c r="FR718" s="3"/>
      <c r="FS718" s="3"/>
      <c r="FT718" s="3"/>
      <c r="FU718" s="3"/>
      <c r="FV718" s="3"/>
      <c r="FW718" s="3"/>
      <c r="FX718" s="3"/>
      <c r="FY718" s="3"/>
      <c r="FZ718" s="3"/>
      <c r="GA718" s="3"/>
      <c r="GB718" s="3"/>
      <c r="GC718" s="3"/>
      <c r="GD718" s="3"/>
      <c r="GE718" s="3"/>
      <c r="GF718" s="3"/>
      <c r="GG718" s="3"/>
      <c r="GH718" s="3"/>
      <c r="GI718" s="3"/>
      <c r="GJ718" s="3"/>
      <c r="GK718" s="3"/>
      <c r="GL718" s="3"/>
      <c r="GM718" s="3"/>
      <c r="GN718" s="3"/>
      <c r="GO718" s="3"/>
      <c r="GP718" s="3"/>
      <c r="GQ718" s="3"/>
      <c r="GR718" s="3"/>
      <c r="GS718" s="3"/>
      <c r="GT718" s="3"/>
      <c r="GU718" s="3"/>
      <c r="GV718" s="3"/>
      <c r="GW718" s="3"/>
      <c r="GX718" s="3"/>
      <c r="GY718" s="3"/>
      <c r="GZ718" s="3"/>
      <c r="HA718" s="3"/>
      <c r="HB718" s="3"/>
    </row>
    <row r="719" spans="1:210" ht="15.75" customHeight="1">
      <c r="A719" s="50"/>
      <c r="B719" s="50"/>
      <c r="C719" s="50"/>
      <c r="D719" s="50"/>
      <c r="E719" s="50"/>
      <c r="F719" s="50"/>
      <c r="G719" s="51"/>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c r="AR719" s="50"/>
      <c r="AS719" s="50"/>
      <c r="AT719" s="50"/>
      <c r="AU719" s="50"/>
      <c r="AV719" s="50"/>
      <c r="AW719" s="50"/>
      <c r="AX719" s="50"/>
      <c r="AY719" s="50"/>
      <c r="AZ719" s="50"/>
      <c r="BA719" s="50"/>
      <c r="BB719" s="50"/>
      <c r="BC719" s="50"/>
      <c r="BD719" s="50"/>
      <c r="BE719" s="50"/>
      <c r="BF719" s="50"/>
      <c r="BG719" s="50"/>
      <c r="BH719" s="50"/>
      <c r="BI719" s="50"/>
      <c r="BJ719" s="50"/>
      <c r="BK719" s="50"/>
      <c r="BL719" s="50"/>
      <c r="BM719" s="50"/>
      <c r="BN719" s="50"/>
      <c r="BO719" s="50"/>
      <c r="BP719" s="50"/>
      <c r="BQ719" s="50"/>
      <c r="BR719" s="50"/>
      <c r="BS719" s="50"/>
      <c r="BT719" s="50"/>
      <c r="BU719" s="50"/>
      <c r="BV719" s="50"/>
      <c r="BW719" s="50"/>
      <c r="BX719" s="50"/>
      <c r="BY719" s="50"/>
      <c r="BZ719" s="50"/>
      <c r="CA719" s="50"/>
      <c r="CB719" s="50"/>
      <c r="CC719" s="50"/>
      <c r="CD719" s="52"/>
      <c r="CE719" s="50"/>
      <c r="CF719" s="50"/>
      <c r="CG719" s="50"/>
      <c r="CH719" s="50"/>
      <c r="CI719" s="50"/>
      <c r="CJ719" s="50"/>
      <c r="CK719" s="50"/>
      <c r="CL719" s="50"/>
      <c r="CM719" s="50"/>
      <c r="CN719" s="50"/>
      <c r="CO719" s="50"/>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c r="FF719" s="3"/>
      <c r="FG719" s="3"/>
      <c r="FH719" s="3"/>
      <c r="FI719" s="3"/>
      <c r="FJ719" s="3"/>
      <c r="FK719" s="3"/>
      <c r="FL719" s="3"/>
      <c r="FM719" s="3"/>
      <c r="FN719" s="3"/>
      <c r="FO719" s="3"/>
      <c r="FP719" s="3"/>
      <c r="FQ719" s="3"/>
      <c r="FR719" s="3"/>
      <c r="FS719" s="3"/>
      <c r="FT719" s="3"/>
      <c r="FU719" s="3"/>
      <c r="FV719" s="3"/>
      <c r="FW719" s="3"/>
      <c r="FX719" s="3"/>
      <c r="FY719" s="3"/>
      <c r="FZ719" s="3"/>
      <c r="GA719" s="3"/>
      <c r="GB719" s="3"/>
      <c r="GC719" s="3"/>
      <c r="GD719" s="3"/>
      <c r="GE719" s="3"/>
      <c r="GF719" s="3"/>
      <c r="GG719" s="3"/>
      <c r="GH719" s="3"/>
      <c r="GI719" s="3"/>
      <c r="GJ719" s="3"/>
      <c r="GK719" s="3"/>
      <c r="GL719" s="3"/>
      <c r="GM719" s="3"/>
      <c r="GN719" s="3"/>
      <c r="GO719" s="3"/>
      <c r="GP719" s="3"/>
      <c r="GQ719" s="3"/>
      <c r="GR719" s="3"/>
      <c r="GS719" s="3"/>
      <c r="GT719" s="3"/>
      <c r="GU719" s="3"/>
      <c r="GV719" s="3"/>
      <c r="GW719" s="3"/>
      <c r="GX719" s="3"/>
      <c r="GY719" s="3"/>
      <c r="GZ719" s="3"/>
      <c r="HA719" s="3"/>
      <c r="HB719" s="3"/>
    </row>
    <row r="720" spans="1:210" ht="15.75" customHeight="1">
      <c r="A720" s="50"/>
      <c r="B720" s="50"/>
      <c r="C720" s="50"/>
      <c r="D720" s="50"/>
      <c r="E720" s="50"/>
      <c r="F720" s="50"/>
      <c r="G720" s="51"/>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c r="AR720" s="50"/>
      <c r="AS720" s="50"/>
      <c r="AT720" s="50"/>
      <c r="AU720" s="50"/>
      <c r="AV720" s="50"/>
      <c r="AW720" s="50"/>
      <c r="AX720" s="50"/>
      <c r="AY720" s="50"/>
      <c r="AZ720" s="50"/>
      <c r="BA720" s="50"/>
      <c r="BB720" s="50"/>
      <c r="BC720" s="50"/>
      <c r="BD720" s="50"/>
      <c r="BE720" s="50"/>
      <c r="BF720" s="50"/>
      <c r="BG720" s="50"/>
      <c r="BH720" s="50"/>
      <c r="BI720" s="50"/>
      <c r="BJ720" s="50"/>
      <c r="BK720" s="50"/>
      <c r="BL720" s="50"/>
      <c r="BM720" s="50"/>
      <c r="BN720" s="50"/>
      <c r="BO720" s="50"/>
      <c r="BP720" s="50"/>
      <c r="BQ720" s="50"/>
      <c r="BR720" s="50"/>
      <c r="BS720" s="50"/>
      <c r="BT720" s="50"/>
      <c r="BU720" s="50"/>
      <c r="BV720" s="50"/>
      <c r="BW720" s="50"/>
      <c r="BX720" s="50"/>
      <c r="BY720" s="50"/>
      <c r="BZ720" s="50"/>
      <c r="CA720" s="50"/>
      <c r="CB720" s="50"/>
      <c r="CC720" s="50"/>
      <c r="CD720" s="52"/>
      <c r="CE720" s="50"/>
      <c r="CF720" s="50"/>
      <c r="CG720" s="50"/>
      <c r="CH720" s="50"/>
      <c r="CI720" s="50"/>
      <c r="CJ720" s="50"/>
      <c r="CK720" s="50"/>
      <c r="CL720" s="50"/>
      <c r="CM720" s="50"/>
      <c r="CN720" s="50"/>
      <c r="CO720" s="50"/>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c r="FF720" s="3"/>
      <c r="FG720" s="3"/>
      <c r="FH720" s="3"/>
      <c r="FI720" s="3"/>
      <c r="FJ720" s="3"/>
      <c r="FK720" s="3"/>
      <c r="FL720" s="3"/>
      <c r="FM720" s="3"/>
      <c r="FN720" s="3"/>
      <c r="FO720" s="3"/>
      <c r="FP720" s="3"/>
      <c r="FQ720" s="3"/>
      <c r="FR720" s="3"/>
      <c r="FS720" s="3"/>
      <c r="FT720" s="3"/>
      <c r="FU720" s="3"/>
      <c r="FV720" s="3"/>
      <c r="FW720" s="3"/>
      <c r="FX720" s="3"/>
      <c r="FY720" s="3"/>
      <c r="FZ720" s="3"/>
      <c r="GA720" s="3"/>
      <c r="GB720" s="3"/>
      <c r="GC720" s="3"/>
      <c r="GD720" s="3"/>
      <c r="GE720" s="3"/>
      <c r="GF720" s="3"/>
      <c r="GG720" s="3"/>
      <c r="GH720" s="3"/>
      <c r="GI720" s="3"/>
      <c r="GJ720" s="3"/>
      <c r="GK720" s="3"/>
      <c r="GL720" s="3"/>
      <c r="GM720" s="3"/>
      <c r="GN720" s="3"/>
      <c r="GO720" s="3"/>
      <c r="GP720" s="3"/>
      <c r="GQ720" s="3"/>
      <c r="GR720" s="3"/>
      <c r="GS720" s="3"/>
      <c r="GT720" s="3"/>
      <c r="GU720" s="3"/>
      <c r="GV720" s="3"/>
      <c r="GW720" s="3"/>
      <c r="GX720" s="3"/>
      <c r="GY720" s="3"/>
      <c r="GZ720" s="3"/>
      <c r="HA720" s="3"/>
      <c r="HB720" s="3"/>
    </row>
    <row r="721" spans="1:210" ht="15.75" customHeight="1">
      <c r="A721" s="50"/>
      <c r="B721" s="50"/>
      <c r="C721" s="50"/>
      <c r="D721" s="50"/>
      <c r="E721" s="50"/>
      <c r="F721" s="50"/>
      <c r="G721" s="51"/>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c r="AR721" s="50"/>
      <c r="AS721" s="50"/>
      <c r="AT721" s="50"/>
      <c r="AU721" s="50"/>
      <c r="AV721" s="50"/>
      <c r="AW721" s="50"/>
      <c r="AX721" s="50"/>
      <c r="AY721" s="50"/>
      <c r="AZ721" s="50"/>
      <c r="BA721" s="50"/>
      <c r="BB721" s="50"/>
      <c r="BC721" s="50"/>
      <c r="BD721" s="50"/>
      <c r="BE721" s="50"/>
      <c r="BF721" s="50"/>
      <c r="BG721" s="50"/>
      <c r="BH721" s="50"/>
      <c r="BI721" s="50"/>
      <c r="BJ721" s="50"/>
      <c r="BK721" s="50"/>
      <c r="BL721" s="50"/>
      <c r="BM721" s="50"/>
      <c r="BN721" s="50"/>
      <c r="BO721" s="50"/>
      <c r="BP721" s="50"/>
      <c r="BQ721" s="50"/>
      <c r="BR721" s="50"/>
      <c r="BS721" s="50"/>
      <c r="BT721" s="50"/>
      <c r="BU721" s="50"/>
      <c r="BV721" s="50"/>
      <c r="BW721" s="50"/>
      <c r="BX721" s="50"/>
      <c r="BY721" s="50"/>
      <c r="BZ721" s="50"/>
      <c r="CA721" s="50"/>
      <c r="CB721" s="50"/>
      <c r="CC721" s="50"/>
      <c r="CD721" s="52"/>
      <c r="CE721" s="50"/>
      <c r="CF721" s="50"/>
      <c r="CG721" s="50"/>
      <c r="CH721" s="50"/>
      <c r="CI721" s="50"/>
      <c r="CJ721" s="50"/>
      <c r="CK721" s="50"/>
      <c r="CL721" s="50"/>
      <c r="CM721" s="50"/>
      <c r="CN721" s="50"/>
      <c r="CO721" s="50"/>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c r="FF721" s="3"/>
      <c r="FG721" s="3"/>
      <c r="FH721" s="3"/>
      <c r="FI721" s="3"/>
      <c r="FJ721" s="3"/>
      <c r="FK721" s="3"/>
      <c r="FL721" s="3"/>
      <c r="FM721" s="3"/>
      <c r="FN721" s="3"/>
      <c r="FO721" s="3"/>
      <c r="FP721" s="3"/>
      <c r="FQ721" s="3"/>
      <c r="FR721" s="3"/>
      <c r="FS721" s="3"/>
      <c r="FT721" s="3"/>
      <c r="FU721" s="3"/>
      <c r="FV721" s="3"/>
      <c r="FW721" s="3"/>
      <c r="FX721" s="3"/>
      <c r="FY721" s="3"/>
      <c r="FZ721" s="3"/>
      <c r="GA721" s="3"/>
      <c r="GB721" s="3"/>
      <c r="GC721" s="3"/>
      <c r="GD721" s="3"/>
      <c r="GE721" s="3"/>
      <c r="GF721" s="3"/>
      <c r="GG721" s="3"/>
      <c r="GH721" s="3"/>
      <c r="GI721" s="3"/>
      <c r="GJ721" s="3"/>
      <c r="GK721" s="3"/>
      <c r="GL721" s="3"/>
      <c r="GM721" s="3"/>
      <c r="GN721" s="3"/>
      <c r="GO721" s="3"/>
      <c r="GP721" s="3"/>
      <c r="GQ721" s="3"/>
      <c r="GR721" s="3"/>
      <c r="GS721" s="3"/>
      <c r="GT721" s="3"/>
      <c r="GU721" s="3"/>
      <c r="GV721" s="3"/>
      <c r="GW721" s="3"/>
      <c r="GX721" s="3"/>
      <c r="GY721" s="3"/>
      <c r="GZ721" s="3"/>
      <c r="HA721" s="3"/>
      <c r="HB721" s="3"/>
    </row>
    <row r="722" spans="1:210" ht="15.75" customHeight="1">
      <c r="A722" s="50"/>
      <c r="B722" s="50"/>
      <c r="C722" s="50"/>
      <c r="D722" s="50"/>
      <c r="E722" s="50"/>
      <c r="F722" s="50"/>
      <c r="G722" s="51"/>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c r="AR722" s="50"/>
      <c r="AS722" s="50"/>
      <c r="AT722" s="50"/>
      <c r="AU722" s="50"/>
      <c r="AV722" s="50"/>
      <c r="AW722" s="50"/>
      <c r="AX722" s="50"/>
      <c r="AY722" s="50"/>
      <c r="AZ722" s="50"/>
      <c r="BA722" s="50"/>
      <c r="BB722" s="50"/>
      <c r="BC722" s="50"/>
      <c r="BD722" s="50"/>
      <c r="BE722" s="50"/>
      <c r="BF722" s="50"/>
      <c r="BG722" s="50"/>
      <c r="BH722" s="50"/>
      <c r="BI722" s="50"/>
      <c r="BJ722" s="50"/>
      <c r="BK722" s="50"/>
      <c r="BL722" s="50"/>
      <c r="BM722" s="50"/>
      <c r="BN722" s="50"/>
      <c r="BO722" s="50"/>
      <c r="BP722" s="50"/>
      <c r="BQ722" s="50"/>
      <c r="BR722" s="50"/>
      <c r="BS722" s="50"/>
      <c r="BT722" s="50"/>
      <c r="BU722" s="50"/>
      <c r="BV722" s="50"/>
      <c r="BW722" s="50"/>
      <c r="BX722" s="50"/>
      <c r="BY722" s="50"/>
      <c r="BZ722" s="50"/>
      <c r="CA722" s="50"/>
      <c r="CB722" s="50"/>
      <c r="CC722" s="50"/>
      <c r="CD722" s="52"/>
      <c r="CE722" s="50"/>
      <c r="CF722" s="50"/>
      <c r="CG722" s="50"/>
      <c r="CH722" s="50"/>
      <c r="CI722" s="50"/>
      <c r="CJ722" s="50"/>
      <c r="CK722" s="50"/>
      <c r="CL722" s="50"/>
      <c r="CM722" s="50"/>
      <c r="CN722" s="50"/>
      <c r="CO722" s="50"/>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c r="FF722" s="3"/>
      <c r="FG722" s="3"/>
      <c r="FH722" s="3"/>
      <c r="FI722" s="3"/>
      <c r="FJ722" s="3"/>
      <c r="FK722" s="3"/>
      <c r="FL722" s="3"/>
      <c r="FM722" s="3"/>
      <c r="FN722" s="3"/>
      <c r="FO722" s="3"/>
      <c r="FP722" s="3"/>
      <c r="FQ722" s="3"/>
      <c r="FR722" s="3"/>
      <c r="FS722" s="3"/>
      <c r="FT722" s="3"/>
      <c r="FU722" s="3"/>
      <c r="FV722" s="3"/>
      <c r="FW722" s="3"/>
      <c r="FX722" s="3"/>
      <c r="FY722" s="3"/>
      <c r="FZ722" s="3"/>
      <c r="GA722" s="3"/>
      <c r="GB722" s="3"/>
      <c r="GC722" s="3"/>
      <c r="GD722" s="3"/>
      <c r="GE722" s="3"/>
      <c r="GF722" s="3"/>
      <c r="GG722" s="3"/>
      <c r="GH722" s="3"/>
      <c r="GI722" s="3"/>
      <c r="GJ722" s="3"/>
      <c r="GK722" s="3"/>
      <c r="GL722" s="3"/>
      <c r="GM722" s="3"/>
      <c r="GN722" s="3"/>
      <c r="GO722" s="3"/>
      <c r="GP722" s="3"/>
      <c r="GQ722" s="3"/>
      <c r="GR722" s="3"/>
      <c r="GS722" s="3"/>
      <c r="GT722" s="3"/>
      <c r="GU722" s="3"/>
      <c r="GV722" s="3"/>
      <c r="GW722" s="3"/>
      <c r="GX722" s="3"/>
      <c r="GY722" s="3"/>
      <c r="GZ722" s="3"/>
      <c r="HA722" s="3"/>
      <c r="HB722" s="3"/>
    </row>
    <row r="723" spans="1:210" ht="15.75" customHeight="1">
      <c r="A723" s="50"/>
      <c r="B723" s="50"/>
      <c r="C723" s="50"/>
      <c r="D723" s="50"/>
      <c r="E723" s="50"/>
      <c r="F723" s="50"/>
      <c r="G723" s="51"/>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c r="AR723" s="50"/>
      <c r="AS723" s="50"/>
      <c r="AT723" s="50"/>
      <c r="AU723" s="50"/>
      <c r="AV723" s="50"/>
      <c r="AW723" s="50"/>
      <c r="AX723" s="50"/>
      <c r="AY723" s="50"/>
      <c r="AZ723" s="50"/>
      <c r="BA723" s="50"/>
      <c r="BB723" s="50"/>
      <c r="BC723" s="50"/>
      <c r="BD723" s="50"/>
      <c r="BE723" s="50"/>
      <c r="BF723" s="50"/>
      <c r="BG723" s="50"/>
      <c r="BH723" s="50"/>
      <c r="BI723" s="50"/>
      <c r="BJ723" s="50"/>
      <c r="BK723" s="50"/>
      <c r="BL723" s="50"/>
      <c r="BM723" s="50"/>
      <c r="BN723" s="50"/>
      <c r="BO723" s="50"/>
      <c r="BP723" s="50"/>
      <c r="BQ723" s="50"/>
      <c r="BR723" s="50"/>
      <c r="BS723" s="50"/>
      <c r="BT723" s="50"/>
      <c r="BU723" s="50"/>
      <c r="BV723" s="50"/>
      <c r="BW723" s="50"/>
      <c r="BX723" s="50"/>
      <c r="BY723" s="50"/>
      <c r="BZ723" s="50"/>
      <c r="CA723" s="50"/>
      <c r="CB723" s="50"/>
      <c r="CC723" s="50"/>
      <c r="CD723" s="52"/>
      <c r="CE723" s="50"/>
      <c r="CF723" s="50"/>
      <c r="CG723" s="50"/>
      <c r="CH723" s="50"/>
      <c r="CI723" s="50"/>
      <c r="CJ723" s="50"/>
      <c r="CK723" s="50"/>
      <c r="CL723" s="50"/>
      <c r="CM723" s="50"/>
      <c r="CN723" s="50"/>
      <c r="CO723" s="50"/>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c r="FF723" s="3"/>
      <c r="FG723" s="3"/>
      <c r="FH723" s="3"/>
      <c r="FI723" s="3"/>
      <c r="FJ723" s="3"/>
      <c r="FK723" s="3"/>
      <c r="FL723" s="3"/>
      <c r="FM723" s="3"/>
      <c r="FN723" s="3"/>
      <c r="FO723" s="3"/>
      <c r="FP723" s="3"/>
      <c r="FQ723" s="3"/>
      <c r="FR723" s="3"/>
      <c r="FS723" s="3"/>
      <c r="FT723" s="3"/>
      <c r="FU723" s="3"/>
      <c r="FV723" s="3"/>
      <c r="FW723" s="3"/>
      <c r="FX723" s="3"/>
      <c r="FY723" s="3"/>
      <c r="FZ723" s="3"/>
      <c r="GA723" s="3"/>
      <c r="GB723" s="3"/>
      <c r="GC723" s="3"/>
      <c r="GD723" s="3"/>
      <c r="GE723" s="3"/>
      <c r="GF723" s="3"/>
      <c r="GG723" s="3"/>
      <c r="GH723" s="3"/>
      <c r="GI723" s="3"/>
      <c r="GJ723" s="3"/>
      <c r="GK723" s="3"/>
      <c r="GL723" s="3"/>
      <c r="GM723" s="3"/>
      <c r="GN723" s="3"/>
      <c r="GO723" s="3"/>
      <c r="GP723" s="3"/>
      <c r="GQ723" s="3"/>
      <c r="GR723" s="3"/>
      <c r="GS723" s="3"/>
      <c r="GT723" s="3"/>
      <c r="GU723" s="3"/>
      <c r="GV723" s="3"/>
      <c r="GW723" s="3"/>
      <c r="GX723" s="3"/>
      <c r="GY723" s="3"/>
      <c r="GZ723" s="3"/>
      <c r="HA723" s="3"/>
      <c r="HB723" s="3"/>
    </row>
    <row r="724" spans="1:210" ht="15.75" customHeight="1">
      <c r="A724" s="50"/>
      <c r="B724" s="50"/>
      <c r="C724" s="50"/>
      <c r="D724" s="50"/>
      <c r="E724" s="50"/>
      <c r="F724" s="50"/>
      <c r="G724" s="51"/>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c r="AR724" s="50"/>
      <c r="AS724" s="50"/>
      <c r="AT724" s="50"/>
      <c r="AU724" s="50"/>
      <c r="AV724" s="50"/>
      <c r="AW724" s="50"/>
      <c r="AX724" s="50"/>
      <c r="AY724" s="50"/>
      <c r="AZ724" s="50"/>
      <c r="BA724" s="50"/>
      <c r="BB724" s="50"/>
      <c r="BC724" s="50"/>
      <c r="BD724" s="50"/>
      <c r="BE724" s="50"/>
      <c r="BF724" s="50"/>
      <c r="BG724" s="50"/>
      <c r="BH724" s="50"/>
      <c r="BI724" s="50"/>
      <c r="BJ724" s="50"/>
      <c r="BK724" s="50"/>
      <c r="BL724" s="50"/>
      <c r="BM724" s="50"/>
      <c r="BN724" s="50"/>
      <c r="BO724" s="50"/>
      <c r="BP724" s="50"/>
      <c r="BQ724" s="50"/>
      <c r="BR724" s="50"/>
      <c r="BS724" s="50"/>
      <c r="BT724" s="50"/>
      <c r="BU724" s="50"/>
      <c r="BV724" s="50"/>
      <c r="BW724" s="50"/>
      <c r="BX724" s="50"/>
      <c r="BY724" s="50"/>
      <c r="BZ724" s="50"/>
      <c r="CA724" s="50"/>
      <c r="CB724" s="50"/>
      <c r="CC724" s="50"/>
      <c r="CD724" s="52"/>
      <c r="CE724" s="50"/>
      <c r="CF724" s="50"/>
      <c r="CG724" s="50"/>
      <c r="CH724" s="50"/>
      <c r="CI724" s="50"/>
      <c r="CJ724" s="50"/>
      <c r="CK724" s="50"/>
      <c r="CL724" s="50"/>
      <c r="CM724" s="50"/>
      <c r="CN724" s="50"/>
      <c r="CO724" s="50"/>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c r="FF724" s="3"/>
      <c r="FG724" s="3"/>
      <c r="FH724" s="3"/>
      <c r="FI724" s="3"/>
      <c r="FJ724" s="3"/>
      <c r="FK724" s="3"/>
      <c r="FL724" s="3"/>
      <c r="FM724" s="3"/>
      <c r="FN724" s="3"/>
      <c r="FO724" s="3"/>
      <c r="FP724" s="3"/>
      <c r="FQ724" s="3"/>
      <c r="FR724" s="3"/>
      <c r="FS724" s="3"/>
      <c r="FT724" s="3"/>
      <c r="FU724" s="3"/>
      <c r="FV724" s="3"/>
      <c r="FW724" s="3"/>
      <c r="FX724" s="3"/>
      <c r="FY724" s="3"/>
      <c r="FZ724" s="3"/>
      <c r="GA724" s="3"/>
      <c r="GB724" s="3"/>
      <c r="GC724" s="3"/>
      <c r="GD724" s="3"/>
      <c r="GE724" s="3"/>
      <c r="GF724" s="3"/>
      <c r="GG724" s="3"/>
      <c r="GH724" s="3"/>
      <c r="GI724" s="3"/>
      <c r="GJ724" s="3"/>
      <c r="GK724" s="3"/>
      <c r="GL724" s="3"/>
      <c r="GM724" s="3"/>
      <c r="GN724" s="3"/>
      <c r="GO724" s="3"/>
      <c r="GP724" s="3"/>
      <c r="GQ724" s="3"/>
      <c r="GR724" s="3"/>
      <c r="GS724" s="3"/>
      <c r="GT724" s="3"/>
      <c r="GU724" s="3"/>
      <c r="GV724" s="3"/>
      <c r="GW724" s="3"/>
      <c r="GX724" s="3"/>
      <c r="GY724" s="3"/>
      <c r="GZ724" s="3"/>
      <c r="HA724" s="3"/>
      <c r="HB724" s="3"/>
    </row>
    <row r="725" spans="1:210" ht="15.75" customHeight="1">
      <c r="A725" s="50"/>
      <c r="B725" s="50"/>
      <c r="C725" s="50"/>
      <c r="D725" s="50"/>
      <c r="E725" s="50"/>
      <c r="F725" s="50"/>
      <c r="G725" s="51"/>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c r="AR725" s="50"/>
      <c r="AS725" s="50"/>
      <c r="AT725" s="50"/>
      <c r="AU725" s="50"/>
      <c r="AV725" s="50"/>
      <c r="AW725" s="50"/>
      <c r="AX725" s="50"/>
      <c r="AY725" s="50"/>
      <c r="AZ725" s="50"/>
      <c r="BA725" s="50"/>
      <c r="BB725" s="50"/>
      <c r="BC725" s="50"/>
      <c r="BD725" s="50"/>
      <c r="BE725" s="50"/>
      <c r="BF725" s="50"/>
      <c r="BG725" s="50"/>
      <c r="BH725" s="50"/>
      <c r="BI725" s="50"/>
      <c r="BJ725" s="50"/>
      <c r="BK725" s="50"/>
      <c r="BL725" s="50"/>
      <c r="BM725" s="50"/>
      <c r="BN725" s="50"/>
      <c r="BO725" s="50"/>
      <c r="BP725" s="50"/>
      <c r="BQ725" s="50"/>
      <c r="BR725" s="50"/>
      <c r="BS725" s="50"/>
      <c r="BT725" s="50"/>
      <c r="BU725" s="50"/>
      <c r="BV725" s="50"/>
      <c r="BW725" s="50"/>
      <c r="BX725" s="50"/>
      <c r="BY725" s="50"/>
      <c r="BZ725" s="50"/>
      <c r="CA725" s="50"/>
      <c r="CB725" s="50"/>
      <c r="CC725" s="50"/>
      <c r="CD725" s="52"/>
      <c r="CE725" s="50"/>
      <c r="CF725" s="50"/>
      <c r="CG725" s="50"/>
      <c r="CH725" s="50"/>
      <c r="CI725" s="50"/>
      <c r="CJ725" s="50"/>
      <c r="CK725" s="50"/>
      <c r="CL725" s="50"/>
      <c r="CM725" s="50"/>
      <c r="CN725" s="50"/>
      <c r="CO725" s="50"/>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c r="FF725" s="3"/>
      <c r="FG725" s="3"/>
      <c r="FH725" s="3"/>
      <c r="FI725" s="3"/>
      <c r="FJ725" s="3"/>
      <c r="FK725" s="3"/>
      <c r="FL725" s="3"/>
      <c r="FM725" s="3"/>
      <c r="FN725" s="3"/>
      <c r="FO725" s="3"/>
      <c r="FP725" s="3"/>
      <c r="FQ725" s="3"/>
      <c r="FR725" s="3"/>
      <c r="FS725" s="3"/>
      <c r="FT725" s="3"/>
      <c r="FU725" s="3"/>
      <c r="FV725" s="3"/>
      <c r="FW725" s="3"/>
      <c r="FX725" s="3"/>
      <c r="FY725" s="3"/>
      <c r="FZ725" s="3"/>
      <c r="GA725" s="3"/>
      <c r="GB725" s="3"/>
      <c r="GC725" s="3"/>
      <c r="GD725" s="3"/>
      <c r="GE725" s="3"/>
      <c r="GF725" s="3"/>
      <c r="GG725" s="3"/>
      <c r="GH725" s="3"/>
      <c r="GI725" s="3"/>
      <c r="GJ725" s="3"/>
      <c r="GK725" s="3"/>
      <c r="GL725" s="3"/>
      <c r="GM725" s="3"/>
      <c r="GN725" s="3"/>
      <c r="GO725" s="3"/>
      <c r="GP725" s="3"/>
      <c r="GQ725" s="3"/>
      <c r="GR725" s="3"/>
      <c r="GS725" s="3"/>
      <c r="GT725" s="3"/>
      <c r="GU725" s="3"/>
      <c r="GV725" s="3"/>
      <c r="GW725" s="3"/>
      <c r="GX725" s="3"/>
      <c r="GY725" s="3"/>
      <c r="GZ725" s="3"/>
      <c r="HA725" s="3"/>
      <c r="HB725" s="3"/>
    </row>
    <row r="726" spans="1:210" ht="15.75" customHeight="1">
      <c r="A726" s="50"/>
      <c r="B726" s="50"/>
      <c r="C726" s="50"/>
      <c r="D726" s="50"/>
      <c r="E726" s="50"/>
      <c r="F726" s="50"/>
      <c r="G726" s="51"/>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c r="AR726" s="50"/>
      <c r="AS726" s="50"/>
      <c r="AT726" s="50"/>
      <c r="AU726" s="50"/>
      <c r="AV726" s="50"/>
      <c r="AW726" s="50"/>
      <c r="AX726" s="50"/>
      <c r="AY726" s="50"/>
      <c r="AZ726" s="50"/>
      <c r="BA726" s="50"/>
      <c r="BB726" s="50"/>
      <c r="BC726" s="50"/>
      <c r="BD726" s="50"/>
      <c r="BE726" s="50"/>
      <c r="BF726" s="50"/>
      <c r="BG726" s="50"/>
      <c r="BH726" s="50"/>
      <c r="BI726" s="50"/>
      <c r="BJ726" s="50"/>
      <c r="BK726" s="50"/>
      <c r="BL726" s="50"/>
      <c r="BM726" s="50"/>
      <c r="BN726" s="50"/>
      <c r="BO726" s="50"/>
      <c r="BP726" s="50"/>
      <c r="BQ726" s="50"/>
      <c r="BR726" s="50"/>
      <c r="BS726" s="50"/>
      <c r="BT726" s="50"/>
      <c r="BU726" s="50"/>
      <c r="BV726" s="50"/>
      <c r="BW726" s="50"/>
      <c r="BX726" s="50"/>
      <c r="BY726" s="50"/>
      <c r="BZ726" s="50"/>
      <c r="CA726" s="50"/>
      <c r="CB726" s="50"/>
      <c r="CC726" s="50"/>
      <c r="CD726" s="52"/>
      <c r="CE726" s="50"/>
      <c r="CF726" s="50"/>
      <c r="CG726" s="50"/>
      <c r="CH726" s="50"/>
      <c r="CI726" s="50"/>
      <c r="CJ726" s="50"/>
      <c r="CK726" s="50"/>
      <c r="CL726" s="50"/>
      <c r="CM726" s="50"/>
      <c r="CN726" s="50"/>
      <c r="CO726" s="50"/>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c r="FF726" s="3"/>
      <c r="FG726" s="3"/>
      <c r="FH726" s="3"/>
      <c r="FI726" s="3"/>
      <c r="FJ726" s="3"/>
      <c r="FK726" s="3"/>
      <c r="FL726" s="3"/>
      <c r="FM726" s="3"/>
      <c r="FN726" s="3"/>
      <c r="FO726" s="3"/>
      <c r="FP726" s="3"/>
      <c r="FQ726" s="3"/>
      <c r="FR726" s="3"/>
      <c r="FS726" s="3"/>
      <c r="FT726" s="3"/>
      <c r="FU726" s="3"/>
      <c r="FV726" s="3"/>
      <c r="FW726" s="3"/>
      <c r="FX726" s="3"/>
      <c r="FY726" s="3"/>
      <c r="FZ726" s="3"/>
      <c r="GA726" s="3"/>
      <c r="GB726" s="3"/>
      <c r="GC726" s="3"/>
      <c r="GD726" s="3"/>
      <c r="GE726" s="3"/>
      <c r="GF726" s="3"/>
      <c r="GG726" s="3"/>
      <c r="GH726" s="3"/>
      <c r="GI726" s="3"/>
      <c r="GJ726" s="3"/>
      <c r="GK726" s="3"/>
      <c r="GL726" s="3"/>
      <c r="GM726" s="3"/>
      <c r="GN726" s="3"/>
      <c r="GO726" s="3"/>
      <c r="GP726" s="3"/>
      <c r="GQ726" s="3"/>
      <c r="GR726" s="3"/>
      <c r="GS726" s="3"/>
      <c r="GT726" s="3"/>
      <c r="GU726" s="3"/>
      <c r="GV726" s="3"/>
      <c r="GW726" s="3"/>
      <c r="GX726" s="3"/>
      <c r="GY726" s="3"/>
      <c r="GZ726" s="3"/>
      <c r="HA726" s="3"/>
      <c r="HB726" s="3"/>
    </row>
    <row r="727" spans="1:210" ht="15.75" customHeight="1">
      <c r="A727" s="50"/>
      <c r="B727" s="50"/>
      <c r="C727" s="50"/>
      <c r="D727" s="50"/>
      <c r="E727" s="50"/>
      <c r="F727" s="50"/>
      <c r="G727" s="51"/>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c r="AR727" s="50"/>
      <c r="AS727" s="50"/>
      <c r="AT727" s="50"/>
      <c r="AU727" s="50"/>
      <c r="AV727" s="50"/>
      <c r="AW727" s="50"/>
      <c r="AX727" s="50"/>
      <c r="AY727" s="50"/>
      <c r="AZ727" s="50"/>
      <c r="BA727" s="50"/>
      <c r="BB727" s="50"/>
      <c r="BC727" s="50"/>
      <c r="BD727" s="50"/>
      <c r="BE727" s="50"/>
      <c r="BF727" s="50"/>
      <c r="BG727" s="50"/>
      <c r="BH727" s="50"/>
      <c r="BI727" s="50"/>
      <c r="BJ727" s="50"/>
      <c r="BK727" s="50"/>
      <c r="BL727" s="50"/>
      <c r="BM727" s="50"/>
      <c r="BN727" s="50"/>
      <c r="BO727" s="50"/>
      <c r="BP727" s="50"/>
      <c r="BQ727" s="50"/>
      <c r="BR727" s="50"/>
      <c r="BS727" s="50"/>
      <c r="BT727" s="50"/>
      <c r="BU727" s="50"/>
      <c r="BV727" s="50"/>
      <c r="BW727" s="50"/>
      <c r="BX727" s="50"/>
      <c r="BY727" s="50"/>
      <c r="BZ727" s="50"/>
      <c r="CA727" s="50"/>
      <c r="CB727" s="50"/>
      <c r="CC727" s="50"/>
      <c r="CD727" s="52"/>
      <c r="CE727" s="50"/>
      <c r="CF727" s="50"/>
      <c r="CG727" s="50"/>
      <c r="CH727" s="50"/>
      <c r="CI727" s="50"/>
      <c r="CJ727" s="50"/>
      <c r="CK727" s="50"/>
      <c r="CL727" s="50"/>
      <c r="CM727" s="50"/>
      <c r="CN727" s="50"/>
      <c r="CO727" s="50"/>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c r="FF727" s="3"/>
      <c r="FG727" s="3"/>
      <c r="FH727" s="3"/>
      <c r="FI727" s="3"/>
      <c r="FJ727" s="3"/>
      <c r="FK727" s="3"/>
      <c r="FL727" s="3"/>
      <c r="FM727" s="3"/>
      <c r="FN727" s="3"/>
      <c r="FO727" s="3"/>
      <c r="FP727" s="3"/>
      <c r="FQ727" s="3"/>
      <c r="FR727" s="3"/>
      <c r="FS727" s="3"/>
      <c r="FT727" s="3"/>
      <c r="FU727" s="3"/>
      <c r="FV727" s="3"/>
      <c r="FW727" s="3"/>
      <c r="FX727" s="3"/>
      <c r="FY727" s="3"/>
      <c r="FZ727" s="3"/>
      <c r="GA727" s="3"/>
      <c r="GB727" s="3"/>
      <c r="GC727" s="3"/>
      <c r="GD727" s="3"/>
      <c r="GE727" s="3"/>
      <c r="GF727" s="3"/>
      <c r="GG727" s="3"/>
      <c r="GH727" s="3"/>
      <c r="GI727" s="3"/>
      <c r="GJ727" s="3"/>
      <c r="GK727" s="3"/>
      <c r="GL727" s="3"/>
      <c r="GM727" s="3"/>
      <c r="GN727" s="3"/>
      <c r="GO727" s="3"/>
      <c r="GP727" s="3"/>
      <c r="GQ727" s="3"/>
      <c r="GR727" s="3"/>
      <c r="GS727" s="3"/>
      <c r="GT727" s="3"/>
      <c r="GU727" s="3"/>
      <c r="GV727" s="3"/>
      <c r="GW727" s="3"/>
      <c r="GX727" s="3"/>
      <c r="GY727" s="3"/>
      <c r="GZ727" s="3"/>
      <c r="HA727" s="3"/>
      <c r="HB727" s="3"/>
    </row>
    <row r="728" spans="1:210" ht="15.75" customHeight="1">
      <c r="A728" s="50"/>
      <c r="B728" s="50"/>
      <c r="C728" s="50"/>
      <c r="D728" s="50"/>
      <c r="E728" s="50"/>
      <c r="F728" s="50"/>
      <c r="G728" s="51"/>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c r="AR728" s="50"/>
      <c r="AS728" s="50"/>
      <c r="AT728" s="50"/>
      <c r="AU728" s="50"/>
      <c r="AV728" s="50"/>
      <c r="AW728" s="50"/>
      <c r="AX728" s="50"/>
      <c r="AY728" s="50"/>
      <c r="AZ728" s="50"/>
      <c r="BA728" s="50"/>
      <c r="BB728" s="50"/>
      <c r="BC728" s="50"/>
      <c r="BD728" s="50"/>
      <c r="BE728" s="50"/>
      <c r="BF728" s="50"/>
      <c r="BG728" s="50"/>
      <c r="BH728" s="50"/>
      <c r="BI728" s="50"/>
      <c r="BJ728" s="50"/>
      <c r="BK728" s="50"/>
      <c r="BL728" s="50"/>
      <c r="BM728" s="50"/>
      <c r="BN728" s="50"/>
      <c r="BO728" s="50"/>
      <c r="BP728" s="50"/>
      <c r="BQ728" s="50"/>
      <c r="BR728" s="50"/>
      <c r="BS728" s="50"/>
      <c r="BT728" s="50"/>
      <c r="BU728" s="50"/>
      <c r="BV728" s="50"/>
      <c r="BW728" s="50"/>
      <c r="BX728" s="50"/>
      <c r="BY728" s="50"/>
      <c r="BZ728" s="50"/>
      <c r="CA728" s="50"/>
      <c r="CB728" s="50"/>
      <c r="CC728" s="50"/>
      <c r="CD728" s="52"/>
      <c r="CE728" s="50"/>
      <c r="CF728" s="50"/>
      <c r="CG728" s="50"/>
      <c r="CH728" s="50"/>
      <c r="CI728" s="50"/>
      <c r="CJ728" s="50"/>
      <c r="CK728" s="50"/>
      <c r="CL728" s="50"/>
      <c r="CM728" s="50"/>
      <c r="CN728" s="50"/>
      <c r="CO728" s="50"/>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c r="FF728" s="3"/>
      <c r="FG728" s="3"/>
      <c r="FH728" s="3"/>
      <c r="FI728" s="3"/>
      <c r="FJ728" s="3"/>
      <c r="FK728" s="3"/>
      <c r="FL728" s="3"/>
      <c r="FM728" s="3"/>
      <c r="FN728" s="3"/>
      <c r="FO728" s="3"/>
      <c r="FP728" s="3"/>
      <c r="FQ728" s="3"/>
      <c r="FR728" s="3"/>
      <c r="FS728" s="3"/>
      <c r="FT728" s="3"/>
      <c r="FU728" s="3"/>
      <c r="FV728" s="3"/>
      <c r="FW728" s="3"/>
      <c r="FX728" s="3"/>
      <c r="FY728" s="3"/>
      <c r="FZ728" s="3"/>
      <c r="GA728" s="3"/>
      <c r="GB728" s="3"/>
      <c r="GC728" s="3"/>
      <c r="GD728" s="3"/>
      <c r="GE728" s="3"/>
      <c r="GF728" s="3"/>
      <c r="GG728" s="3"/>
      <c r="GH728" s="3"/>
      <c r="GI728" s="3"/>
      <c r="GJ728" s="3"/>
      <c r="GK728" s="3"/>
      <c r="GL728" s="3"/>
      <c r="GM728" s="3"/>
      <c r="GN728" s="3"/>
      <c r="GO728" s="3"/>
      <c r="GP728" s="3"/>
      <c r="GQ728" s="3"/>
      <c r="GR728" s="3"/>
      <c r="GS728" s="3"/>
      <c r="GT728" s="3"/>
      <c r="GU728" s="3"/>
      <c r="GV728" s="3"/>
      <c r="GW728" s="3"/>
      <c r="GX728" s="3"/>
      <c r="GY728" s="3"/>
      <c r="GZ728" s="3"/>
      <c r="HA728" s="3"/>
      <c r="HB728" s="3"/>
    </row>
    <row r="729" spans="1:210" ht="15.75" customHeight="1">
      <c r="A729" s="50"/>
      <c r="B729" s="50"/>
      <c r="C729" s="50"/>
      <c r="D729" s="50"/>
      <c r="E729" s="50"/>
      <c r="F729" s="50"/>
      <c r="G729" s="51"/>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c r="AR729" s="50"/>
      <c r="AS729" s="50"/>
      <c r="AT729" s="50"/>
      <c r="AU729" s="50"/>
      <c r="AV729" s="50"/>
      <c r="AW729" s="50"/>
      <c r="AX729" s="50"/>
      <c r="AY729" s="50"/>
      <c r="AZ729" s="50"/>
      <c r="BA729" s="50"/>
      <c r="BB729" s="50"/>
      <c r="BC729" s="50"/>
      <c r="BD729" s="50"/>
      <c r="BE729" s="50"/>
      <c r="BF729" s="50"/>
      <c r="BG729" s="50"/>
      <c r="BH729" s="50"/>
      <c r="BI729" s="50"/>
      <c r="BJ729" s="50"/>
      <c r="BK729" s="50"/>
      <c r="BL729" s="50"/>
      <c r="BM729" s="50"/>
      <c r="BN729" s="50"/>
      <c r="BO729" s="50"/>
      <c r="BP729" s="50"/>
      <c r="BQ729" s="50"/>
      <c r="BR729" s="50"/>
      <c r="BS729" s="50"/>
      <c r="BT729" s="50"/>
      <c r="BU729" s="50"/>
      <c r="BV729" s="50"/>
      <c r="BW729" s="50"/>
      <c r="BX729" s="50"/>
      <c r="BY729" s="50"/>
      <c r="BZ729" s="50"/>
      <c r="CA729" s="50"/>
      <c r="CB729" s="50"/>
      <c r="CC729" s="50"/>
      <c r="CD729" s="52"/>
      <c r="CE729" s="50"/>
      <c r="CF729" s="50"/>
      <c r="CG729" s="50"/>
      <c r="CH729" s="50"/>
      <c r="CI729" s="50"/>
      <c r="CJ729" s="50"/>
      <c r="CK729" s="50"/>
      <c r="CL729" s="50"/>
      <c r="CM729" s="50"/>
      <c r="CN729" s="50"/>
      <c r="CO729" s="50"/>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c r="FF729" s="3"/>
      <c r="FG729" s="3"/>
      <c r="FH729" s="3"/>
      <c r="FI729" s="3"/>
      <c r="FJ729" s="3"/>
      <c r="FK729" s="3"/>
      <c r="FL729" s="3"/>
      <c r="FM729" s="3"/>
      <c r="FN729" s="3"/>
      <c r="FO729" s="3"/>
      <c r="FP729" s="3"/>
      <c r="FQ729" s="3"/>
      <c r="FR729" s="3"/>
      <c r="FS729" s="3"/>
      <c r="FT729" s="3"/>
      <c r="FU729" s="3"/>
      <c r="FV729" s="3"/>
      <c r="FW729" s="3"/>
      <c r="FX729" s="3"/>
      <c r="FY729" s="3"/>
      <c r="FZ729" s="3"/>
      <c r="GA729" s="3"/>
      <c r="GB729" s="3"/>
      <c r="GC729" s="3"/>
      <c r="GD729" s="3"/>
      <c r="GE729" s="3"/>
      <c r="GF729" s="3"/>
      <c r="GG729" s="3"/>
      <c r="GH729" s="3"/>
      <c r="GI729" s="3"/>
      <c r="GJ729" s="3"/>
      <c r="GK729" s="3"/>
      <c r="GL729" s="3"/>
      <c r="GM729" s="3"/>
      <c r="GN729" s="3"/>
      <c r="GO729" s="3"/>
      <c r="GP729" s="3"/>
      <c r="GQ729" s="3"/>
      <c r="GR729" s="3"/>
      <c r="GS729" s="3"/>
      <c r="GT729" s="3"/>
      <c r="GU729" s="3"/>
      <c r="GV729" s="3"/>
      <c r="GW729" s="3"/>
      <c r="GX729" s="3"/>
      <c r="GY729" s="3"/>
      <c r="GZ729" s="3"/>
      <c r="HA729" s="3"/>
      <c r="HB729" s="3"/>
    </row>
    <row r="730" spans="1:210" ht="15.75" customHeight="1">
      <c r="A730" s="50"/>
      <c r="B730" s="50"/>
      <c r="C730" s="50"/>
      <c r="D730" s="50"/>
      <c r="E730" s="50"/>
      <c r="F730" s="50"/>
      <c r="G730" s="51"/>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c r="AR730" s="50"/>
      <c r="AS730" s="50"/>
      <c r="AT730" s="50"/>
      <c r="AU730" s="50"/>
      <c r="AV730" s="50"/>
      <c r="AW730" s="50"/>
      <c r="AX730" s="50"/>
      <c r="AY730" s="50"/>
      <c r="AZ730" s="50"/>
      <c r="BA730" s="50"/>
      <c r="BB730" s="50"/>
      <c r="BC730" s="50"/>
      <c r="BD730" s="50"/>
      <c r="BE730" s="50"/>
      <c r="BF730" s="50"/>
      <c r="BG730" s="50"/>
      <c r="BH730" s="50"/>
      <c r="BI730" s="50"/>
      <c r="BJ730" s="50"/>
      <c r="BK730" s="50"/>
      <c r="BL730" s="50"/>
      <c r="BM730" s="50"/>
      <c r="BN730" s="50"/>
      <c r="BO730" s="50"/>
      <c r="BP730" s="50"/>
      <c r="BQ730" s="50"/>
      <c r="BR730" s="50"/>
      <c r="BS730" s="50"/>
      <c r="BT730" s="50"/>
      <c r="BU730" s="50"/>
      <c r="BV730" s="50"/>
      <c r="BW730" s="50"/>
      <c r="BX730" s="50"/>
      <c r="BY730" s="50"/>
      <c r="BZ730" s="50"/>
      <c r="CA730" s="50"/>
      <c r="CB730" s="50"/>
      <c r="CC730" s="50"/>
      <c r="CD730" s="52"/>
      <c r="CE730" s="50"/>
      <c r="CF730" s="50"/>
      <c r="CG730" s="50"/>
      <c r="CH730" s="50"/>
      <c r="CI730" s="50"/>
      <c r="CJ730" s="50"/>
      <c r="CK730" s="50"/>
      <c r="CL730" s="50"/>
      <c r="CM730" s="50"/>
      <c r="CN730" s="50"/>
      <c r="CO730" s="50"/>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c r="FF730" s="3"/>
      <c r="FG730" s="3"/>
      <c r="FH730" s="3"/>
      <c r="FI730" s="3"/>
      <c r="FJ730" s="3"/>
      <c r="FK730" s="3"/>
      <c r="FL730" s="3"/>
      <c r="FM730" s="3"/>
      <c r="FN730" s="3"/>
      <c r="FO730" s="3"/>
      <c r="FP730" s="3"/>
      <c r="FQ730" s="3"/>
      <c r="FR730" s="3"/>
      <c r="FS730" s="3"/>
      <c r="FT730" s="3"/>
      <c r="FU730" s="3"/>
      <c r="FV730" s="3"/>
      <c r="FW730" s="3"/>
      <c r="FX730" s="3"/>
      <c r="FY730" s="3"/>
      <c r="FZ730" s="3"/>
      <c r="GA730" s="3"/>
      <c r="GB730" s="3"/>
      <c r="GC730" s="3"/>
      <c r="GD730" s="3"/>
      <c r="GE730" s="3"/>
      <c r="GF730" s="3"/>
      <c r="GG730" s="3"/>
      <c r="GH730" s="3"/>
      <c r="GI730" s="3"/>
      <c r="GJ730" s="3"/>
      <c r="GK730" s="3"/>
      <c r="GL730" s="3"/>
      <c r="GM730" s="3"/>
      <c r="GN730" s="3"/>
      <c r="GO730" s="3"/>
      <c r="GP730" s="3"/>
      <c r="GQ730" s="3"/>
      <c r="GR730" s="3"/>
      <c r="GS730" s="3"/>
      <c r="GT730" s="3"/>
      <c r="GU730" s="3"/>
      <c r="GV730" s="3"/>
      <c r="GW730" s="3"/>
      <c r="GX730" s="3"/>
      <c r="GY730" s="3"/>
      <c r="GZ730" s="3"/>
      <c r="HA730" s="3"/>
      <c r="HB730" s="3"/>
    </row>
    <row r="731" spans="1:210" ht="15.75" customHeight="1">
      <c r="A731" s="50"/>
      <c r="B731" s="50"/>
      <c r="C731" s="50"/>
      <c r="D731" s="50"/>
      <c r="E731" s="50"/>
      <c r="F731" s="50"/>
      <c r="G731" s="51"/>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c r="AR731" s="50"/>
      <c r="AS731" s="50"/>
      <c r="AT731" s="50"/>
      <c r="AU731" s="50"/>
      <c r="AV731" s="50"/>
      <c r="AW731" s="50"/>
      <c r="AX731" s="50"/>
      <c r="AY731" s="50"/>
      <c r="AZ731" s="50"/>
      <c r="BA731" s="50"/>
      <c r="BB731" s="50"/>
      <c r="BC731" s="50"/>
      <c r="BD731" s="50"/>
      <c r="BE731" s="50"/>
      <c r="BF731" s="50"/>
      <c r="BG731" s="50"/>
      <c r="BH731" s="50"/>
      <c r="BI731" s="50"/>
      <c r="BJ731" s="50"/>
      <c r="BK731" s="50"/>
      <c r="BL731" s="50"/>
      <c r="BM731" s="50"/>
      <c r="BN731" s="50"/>
      <c r="BO731" s="50"/>
      <c r="BP731" s="50"/>
      <c r="BQ731" s="50"/>
      <c r="BR731" s="50"/>
      <c r="BS731" s="50"/>
      <c r="BT731" s="50"/>
      <c r="BU731" s="50"/>
      <c r="BV731" s="50"/>
      <c r="BW731" s="50"/>
      <c r="BX731" s="50"/>
      <c r="BY731" s="50"/>
      <c r="BZ731" s="50"/>
      <c r="CA731" s="50"/>
      <c r="CB731" s="50"/>
      <c r="CC731" s="50"/>
      <c r="CD731" s="52"/>
      <c r="CE731" s="50"/>
      <c r="CF731" s="50"/>
      <c r="CG731" s="50"/>
      <c r="CH731" s="50"/>
      <c r="CI731" s="50"/>
      <c r="CJ731" s="50"/>
      <c r="CK731" s="50"/>
      <c r="CL731" s="50"/>
      <c r="CM731" s="50"/>
      <c r="CN731" s="50"/>
      <c r="CO731" s="50"/>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c r="FF731" s="3"/>
      <c r="FG731" s="3"/>
      <c r="FH731" s="3"/>
      <c r="FI731" s="3"/>
      <c r="FJ731" s="3"/>
      <c r="FK731" s="3"/>
      <c r="FL731" s="3"/>
      <c r="FM731" s="3"/>
      <c r="FN731" s="3"/>
      <c r="FO731" s="3"/>
      <c r="FP731" s="3"/>
      <c r="FQ731" s="3"/>
      <c r="FR731" s="3"/>
      <c r="FS731" s="3"/>
      <c r="FT731" s="3"/>
      <c r="FU731" s="3"/>
      <c r="FV731" s="3"/>
      <c r="FW731" s="3"/>
      <c r="FX731" s="3"/>
      <c r="FY731" s="3"/>
      <c r="FZ731" s="3"/>
      <c r="GA731" s="3"/>
      <c r="GB731" s="3"/>
      <c r="GC731" s="3"/>
      <c r="GD731" s="3"/>
      <c r="GE731" s="3"/>
      <c r="GF731" s="3"/>
      <c r="GG731" s="3"/>
      <c r="GH731" s="3"/>
      <c r="GI731" s="3"/>
      <c r="GJ731" s="3"/>
      <c r="GK731" s="3"/>
      <c r="GL731" s="3"/>
      <c r="GM731" s="3"/>
      <c r="GN731" s="3"/>
      <c r="GO731" s="3"/>
      <c r="GP731" s="3"/>
      <c r="GQ731" s="3"/>
      <c r="GR731" s="3"/>
      <c r="GS731" s="3"/>
      <c r="GT731" s="3"/>
      <c r="GU731" s="3"/>
      <c r="GV731" s="3"/>
      <c r="GW731" s="3"/>
      <c r="GX731" s="3"/>
      <c r="GY731" s="3"/>
      <c r="GZ731" s="3"/>
      <c r="HA731" s="3"/>
      <c r="HB731" s="3"/>
    </row>
    <row r="732" spans="1:210" ht="15.75" customHeight="1">
      <c r="A732" s="50"/>
      <c r="B732" s="50"/>
      <c r="C732" s="50"/>
      <c r="D732" s="50"/>
      <c r="E732" s="50"/>
      <c r="F732" s="50"/>
      <c r="G732" s="51"/>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c r="AR732" s="50"/>
      <c r="AS732" s="50"/>
      <c r="AT732" s="50"/>
      <c r="AU732" s="50"/>
      <c r="AV732" s="50"/>
      <c r="AW732" s="50"/>
      <c r="AX732" s="50"/>
      <c r="AY732" s="50"/>
      <c r="AZ732" s="50"/>
      <c r="BA732" s="50"/>
      <c r="BB732" s="50"/>
      <c r="BC732" s="50"/>
      <c r="BD732" s="50"/>
      <c r="BE732" s="50"/>
      <c r="BF732" s="50"/>
      <c r="BG732" s="50"/>
      <c r="BH732" s="50"/>
      <c r="BI732" s="50"/>
      <c r="BJ732" s="50"/>
      <c r="BK732" s="50"/>
      <c r="BL732" s="50"/>
      <c r="BM732" s="50"/>
      <c r="BN732" s="50"/>
      <c r="BO732" s="50"/>
      <c r="BP732" s="50"/>
      <c r="BQ732" s="50"/>
      <c r="BR732" s="50"/>
      <c r="BS732" s="50"/>
      <c r="BT732" s="50"/>
      <c r="BU732" s="50"/>
      <c r="BV732" s="50"/>
      <c r="BW732" s="50"/>
      <c r="BX732" s="50"/>
      <c r="BY732" s="50"/>
      <c r="BZ732" s="50"/>
      <c r="CA732" s="50"/>
      <c r="CB732" s="50"/>
      <c r="CC732" s="50"/>
      <c r="CD732" s="52"/>
      <c r="CE732" s="50"/>
      <c r="CF732" s="50"/>
      <c r="CG732" s="50"/>
      <c r="CH732" s="50"/>
      <c r="CI732" s="50"/>
      <c r="CJ732" s="50"/>
      <c r="CK732" s="50"/>
      <c r="CL732" s="50"/>
      <c r="CM732" s="50"/>
      <c r="CN732" s="50"/>
      <c r="CO732" s="50"/>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c r="FF732" s="3"/>
      <c r="FG732" s="3"/>
      <c r="FH732" s="3"/>
      <c r="FI732" s="3"/>
      <c r="FJ732" s="3"/>
      <c r="FK732" s="3"/>
      <c r="FL732" s="3"/>
      <c r="FM732" s="3"/>
      <c r="FN732" s="3"/>
      <c r="FO732" s="3"/>
      <c r="FP732" s="3"/>
      <c r="FQ732" s="3"/>
      <c r="FR732" s="3"/>
      <c r="FS732" s="3"/>
      <c r="FT732" s="3"/>
      <c r="FU732" s="3"/>
      <c r="FV732" s="3"/>
      <c r="FW732" s="3"/>
      <c r="FX732" s="3"/>
      <c r="FY732" s="3"/>
      <c r="FZ732" s="3"/>
      <c r="GA732" s="3"/>
      <c r="GB732" s="3"/>
      <c r="GC732" s="3"/>
      <c r="GD732" s="3"/>
      <c r="GE732" s="3"/>
      <c r="GF732" s="3"/>
      <c r="GG732" s="3"/>
      <c r="GH732" s="3"/>
      <c r="GI732" s="3"/>
      <c r="GJ732" s="3"/>
      <c r="GK732" s="3"/>
      <c r="GL732" s="3"/>
      <c r="GM732" s="3"/>
      <c r="GN732" s="3"/>
      <c r="GO732" s="3"/>
      <c r="GP732" s="3"/>
      <c r="GQ732" s="3"/>
      <c r="GR732" s="3"/>
      <c r="GS732" s="3"/>
      <c r="GT732" s="3"/>
      <c r="GU732" s="3"/>
      <c r="GV732" s="3"/>
      <c r="GW732" s="3"/>
      <c r="GX732" s="3"/>
      <c r="GY732" s="3"/>
      <c r="GZ732" s="3"/>
      <c r="HA732" s="3"/>
      <c r="HB732" s="3"/>
    </row>
    <row r="733" spans="1:210" ht="15.75" customHeight="1">
      <c r="A733" s="50"/>
      <c r="B733" s="50"/>
      <c r="C733" s="50"/>
      <c r="D733" s="50"/>
      <c r="E733" s="50"/>
      <c r="F733" s="50"/>
      <c r="G733" s="51"/>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c r="AR733" s="50"/>
      <c r="AS733" s="50"/>
      <c r="AT733" s="50"/>
      <c r="AU733" s="50"/>
      <c r="AV733" s="50"/>
      <c r="AW733" s="50"/>
      <c r="AX733" s="50"/>
      <c r="AY733" s="50"/>
      <c r="AZ733" s="50"/>
      <c r="BA733" s="50"/>
      <c r="BB733" s="50"/>
      <c r="BC733" s="50"/>
      <c r="BD733" s="50"/>
      <c r="BE733" s="50"/>
      <c r="BF733" s="50"/>
      <c r="BG733" s="50"/>
      <c r="BH733" s="50"/>
      <c r="BI733" s="50"/>
      <c r="BJ733" s="50"/>
      <c r="BK733" s="50"/>
      <c r="BL733" s="50"/>
      <c r="BM733" s="50"/>
      <c r="BN733" s="50"/>
      <c r="BO733" s="50"/>
      <c r="BP733" s="50"/>
      <c r="BQ733" s="50"/>
      <c r="BR733" s="50"/>
      <c r="BS733" s="50"/>
      <c r="BT733" s="50"/>
      <c r="BU733" s="50"/>
      <c r="BV733" s="50"/>
      <c r="BW733" s="50"/>
      <c r="BX733" s="50"/>
      <c r="BY733" s="50"/>
      <c r="BZ733" s="50"/>
      <c r="CA733" s="50"/>
      <c r="CB733" s="50"/>
      <c r="CC733" s="50"/>
      <c r="CD733" s="52"/>
      <c r="CE733" s="50"/>
      <c r="CF733" s="50"/>
      <c r="CG733" s="50"/>
      <c r="CH733" s="50"/>
      <c r="CI733" s="50"/>
      <c r="CJ733" s="50"/>
      <c r="CK733" s="50"/>
      <c r="CL733" s="50"/>
      <c r="CM733" s="50"/>
      <c r="CN733" s="50"/>
      <c r="CO733" s="50"/>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c r="FF733" s="3"/>
      <c r="FG733" s="3"/>
      <c r="FH733" s="3"/>
      <c r="FI733" s="3"/>
      <c r="FJ733" s="3"/>
      <c r="FK733" s="3"/>
      <c r="FL733" s="3"/>
      <c r="FM733" s="3"/>
      <c r="FN733" s="3"/>
      <c r="FO733" s="3"/>
      <c r="FP733" s="3"/>
      <c r="FQ733" s="3"/>
      <c r="FR733" s="3"/>
      <c r="FS733" s="3"/>
      <c r="FT733" s="3"/>
      <c r="FU733" s="3"/>
      <c r="FV733" s="3"/>
      <c r="FW733" s="3"/>
      <c r="FX733" s="3"/>
      <c r="FY733" s="3"/>
      <c r="FZ733" s="3"/>
      <c r="GA733" s="3"/>
      <c r="GB733" s="3"/>
      <c r="GC733" s="3"/>
      <c r="GD733" s="3"/>
      <c r="GE733" s="3"/>
      <c r="GF733" s="3"/>
      <c r="GG733" s="3"/>
      <c r="GH733" s="3"/>
      <c r="GI733" s="3"/>
      <c r="GJ733" s="3"/>
      <c r="GK733" s="3"/>
      <c r="GL733" s="3"/>
      <c r="GM733" s="3"/>
      <c r="GN733" s="3"/>
      <c r="GO733" s="3"/>
      <c r="GP733" s="3"/>
      <c r="GQ733" s="3"/>
      <c r="GR733" s="3"/>
      <c r="GS733" s="3"/>
      <c r="GT733" s="3"/>
      <c r="GU733" s="3"/>
      <c r="GV733" s="3"/>
      <c r="GW733" s="3"/>
      <c r="GX733" s="3"/>
      <c r="GY733" s="3"/>
      <c r="GZ733" s="3"/>
      <c r="HA733" s="3"/>
      <c r="HB733" s="3"/>
    </row>
    <row r="734" spans="1:210" ht="15.75" customHeight="1">
      <c r="A734" s="50"/>
      <c r="B734" s="50"/>
      <c r="C734" s="50"/>
      <c r="D734" s="50"/>
      <c r="E734" s="50"/>
      <c r="F734" s="50"/>
      <c r="G734" s="51"/>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c r="AR734" s="50"/>
      <c r="AS734" s="50"/>
      <c r="AT734" s="50"/>
      <c r="AU734" s="50"/>
      <c r="AV734" s="50"/>
      <c r="AW734" s="50"/>
      <c r="AX734" s="50"/>
      <c r="AY734" s="50"/>
      <c r="AZ734" s="50"/>
      <c r="BA734" s="50"/>
      <c r="BB734" s="50"/>
      <c r="BC734" s="50"/>
      <c r="BD734" s="50"/>
      <c r="BE734" s="50"/>
      <c r="BF734" s="50"/>
      <c r="BG734" s="50"/>
      <c r="BH734" s="50"/>
      <c r="BI734" s="50"/>
      <c r="BJ734" s="50"/>
      <c r="BK734" s="50"/>
      <c r="BL734" s="50"/>
      <c r="BM734" s="50"/>
      <c r="BN734" s="50"/>
      <c r="BO734" s="50"/>
      <c r="BP734" s="50"/>
      <c r="BQ734" s="50"/>
      <c r="BR734" s="50"/>
      <c r="BS734" s="50"/>
      <c r="BT734" s="50"/>
      <c r="BU734" s="50"/>
      <c r="BV734" s="50"/>
      <c r="BW734" s="50"/>
      <c r="BX734" s="50"/>
      <c r="BY734" s="50"/>
      <c r="BZ734" s="50"/>
      <c r="CA734" s="50"/>
      <c r="CB734" s="50"/>
      <c r="CC734" s="50"/>
      <c r="CD734" s="52"/>
      <c r="CE734" s="50"/>
      <c r="CF734" s="50"/>
      <c r="CG734" s="50"/>
      <c r="CH734" s="50"/>
      <c r="CI734" s="50"/>
      <c r="CJ734" s="50"/>
      <c r="CK734" s="50"/>
      <c r="CL734" s="50"/>
      <c r="CM734" s="50"/>
      <c r="CN734" s="50"/>
      <c r="CO734" s="50"/>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c r="FF734" s="3"/>
      <c r="FG734" s="3"/>
      <c r="FH734" s="3"/>
      <c r="FI734" s="3"/>
      <c r="FJ734" s="3"/>
      <c r="FK734" s="3"/>
      <c r="FL734" s="3"/>
      <c r="FM734" s="3"/>
      <c r="FN734" s="3"/>
      <c r="FO734" s="3"/>
      <c r="FP734" s="3"/>
      <c r="FQ734" s="3"/>
      <c r="FR734" s="3"/>
      <c r="FS734" s="3"/>
      <c r="FT734" s="3"/>
      <c r="FU734" s="3"/>
      <c r="FV734" s="3"/>
      <c r="FW734" s="3"/>
      <c r="FX734" s="3"/>
      <c r="FY734" s="3"/>
      <c r="FZ734" s="3"/>
      <c r="GA734" s="3"/>
      <c r="GB734" s="3"/>
      <c r="GC734" s="3"/>
      <c r="GD734" s="3"/>
      <c r="GE734" s="3"/>
      <c r="GF734" s="3"/>
      <c r="GG734" s="3"/>
      <c r="GH734" s="3"/>
      <c r="GI734" s="3"/>
      <c r="GJ734" s="3"/>
      <c r="GK734" s="3"/>
      <c r="GL734" s="3"/>
      <c r="GM734" s="3"/>
      <c r="GN734" s="3"/>
      <c r="GO734" s="3"/>
      <c r="GP734" s="3"/>
      <c r="GQ734" s="3"/>
      <c r="GR734" s="3"/>
      <c r="GS734" s="3"/>
      <c r="GT734" s="3"/>
      <c r="GU734" s="3"/>
      <c r="GV734" s="3"/>
      <c r="GW734" s="3"/>
      <c r="GX734" s="3"/>
      <c r="GY734" s="3"/>
      <c r="GZ734" s="3"/>
      <c r="HA734" s="3"/>
      <c r="HB734" s="3"/>
    </row>
    <row r="735" spans="1:210" ht="15.75" customHeight="1">
      <c r="A735" s="50"/>
      <c r="B735" s="50"/>
      <c r="C735" s="50"/>
      <c r="D735" s="50"/>
      <c r="E735" s="50"/>
      <c r="F735" s="50"/>
      <c r="G735" s="51"/>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c r="AR735" s="50"/>
      <c r="AS735" s="50"/>
      <c r="AT735" s="50"/>
      <c r="AU735" s="50"/>
      <c r="AV735" s="50"/>
      <c r="AW735" s="50"/>
      <c r="AX735" s="50"/>
      <c r="AY735" s="50"/>
      <c r="AZ735" s="50"/>
      <c r="BA735" s="50"/>
      <c r="BB735" s="50"/>
      <c r="BC735" s="50"/>
      <c r="BD735" s="50"/>
      <c r="BE735" s="50"/>
      <c r="BF735" s="50"/>
      <c r="BG735" s="50"/>
      <c r="BH735" s="50"/>
      <c r="BI735" s="50"/>
      <c r="BJ735" s="50"/>
      <c r="BK735" s="50"/>
      <c r="BL735" s="50"/>
      <c r="BM735" s="50"/>
      <c r="BN735" s="50"/>
      <c r="BO735" s="50"/>
      <c r="BP735" s="50"/>
      <c r="BQ735" s="50"/>
      <c r="BR735" s="50"/>
      <c r="BS735" s="50"/>
      <c r="BT735" s="50"/>
      <c r="BU735" s="50"/>
      <c r="BV735" s="50"/>
      <c r="BW735" s="50"/>
      <c r="BX735" s="50"/>
      <c r="BY735" s="50"/>
      <c r="BZ735" s="50"/>
      <c r="CA735" s="50"/>
      <c r="CB735" s="50"/>
      <c r="CC735" s="50"/>
      <c r="CD735" s="52"/>
      <c r="CE735" s="50"/>
      <c r="CF735" s="50"/>
      <c r="CG735" s="50"/>
      <c r="CH735" s="50"/>
      <c r="CI735" s="50"/>
      <c r="CJ735" s="50"/>
      <c r="CK735" s="50"/>
      <c r="CL735" s="50"/>
      <c r="CM735" s="50"/>
      <c r="CN735" s="50"/>
      <c r="CO735" s="50"/>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c r="FF735" s="3"/>
      <c r="FG735" s="3"/>
      <c r="FH735" s="3"/>
      <c r="FI735" s="3"/>
      <c r="FJ735" s="3"/>
      <c r="FK735" s="3"/>
      <c r="FL735" s="3"/>
      <c r="FM735" s="3"/>
      <c r="FN735" s="3"/>
      <c r="FO735" s="3"/>
      <c r="FP735" s="3"/>
      <c r="FQ735" s="3"/>
      <c r="FR735" s="3"/>
      <c r="FS735" s="3"/>
      <c r="FT735" s="3"/>
      <c r="FU735" s="3"/>
      <c r="FV735" s="3"/>
      <c r="FW735" s="3"/>
      <c r="FX735" s="3"/>
      <c r="FY735" s="3"/>
      <c r="FZ735" s="3"/>
      <c r="GA735" s="3"/>
      <c r="GB735" s="3"/>
      <c r="GC735" s="3"/>
      <c r="GD735" s="3"/>
      <c r="GE735" s="3"/>
      <c r="GF735" s="3"/>
      <c r="GG735" s="3"/>
      <c r="GH735" s="3"/>
      <c r="GI735" s="3"/>
      <c r="GJ735" s="3"/>
      <c r="GK735" s="3"/>
      <c r="GL735" s="3"/>
      <c r="GM735" s="3"/>
      <c r="GN735" s="3"/>
      <c r="GO735" s="3"/>
      <c r="GP735" s="3"/>
      <c r="GQ735" s="3"/>
      <c r="GR735" s="3"/>
      <c r="GS735" s="3"/>
      <c r="GT735" s="3"/>
      <c r="GU735" s="3"/>
      <c r="GV735" s="3"/>
      <c r="GW735" s="3"/>
      <c r="GX735" s="3"/>
      <c r="GY735" s="3"/>
      <c r="GZ735" s="3"/>
      <c r="HA735" s="3"/>
      <c r="HB735" s="3"/>
    </row>
    <row r="736" spans="1:210" ht="15.75" customHeight="1">
      <c r="A736" s="50"/>
      <c r="B736" s="50"/>
      <c r="C736" s="50"/>
      <c r="D736" s="50"/>
      <c r="E736" s="50"/>
      <c r="F736" s="50"/>
      <c r="G736" s="51"/>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c r="AR736" s="50"/>
      <c r="AS736" s="50"/>
      <c r="AT736" s="50"/>
      <c r="AU736" s="50"/>
      <c r="AV736" s="50"/>
      <c r="AW736" s="50"/>
      <c r="AX736" s="50"/>
      <c r="AY736" s="50"/>
      <c r="AZ736" s="50"/>
      <c r="BA736" s="50"/>
      <c r="BB736" s="50"/>
      <c r="BC736" s="50"/>
      <c r="BD736" s="50"/>
      <c r="BE736" s="50"/>
      <c r="BF736" s="50"/>
      <c r="BG736" s="50"/>
      <c r="BH736" s="50"/>
      <c r="BI736" s="50"/>
      <c r="BJ736" s="50"/>
      <c r="BK736" s="50"/>
      <c r="BL736" s="50"/>
      <c r="BM736" s="50"/>
      <c r="BN736" s="50"/>
      <c r="BO736" s="50"/>
      <c r="BP736" s="50"/>
      <c r="BQ736" s="50"/>
      <c r="BR736" s="50"/>
      <c r="BS736" s="50"/>
      <c r="BT736" s="50"/>
      <c r="BU736" s="50"/>
      <c r="BV736" s="50"/>
      <c r="BW736" s="50"/>
      <c r="BX736" s="50"/>
      <c r="BY736" s="50"/>
      <c r="BZ736" s="50"/>
      <c r="CA736" s="50"/>
      <c r="CB736" s="50"/>
      <c r="CC736" s="50"/>
      <c r="CD736" s="52"/>
      <c r="CE736" s="50"/>
      <c r="CF736" s="50"/>
      <c r="CG736" s="50"/>
      <c r="CH736" s="50"/>
      <c r="CI736" s="50"/>
      <c r="CJ736" s="50"/>
      <c r="CK736" s="50"/>
      <c r="CL736" s="50"/>
      <c r="CM736" s="50"/>
      <c r="CN736" s="50"/>
      <c r="CO736" s="50"/>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c r="FF736" s="3"/>
      <c r="FG736" s="3"/>
      <c r="FH736" s="3"/>
      <c r="FI736" s="3"/>
      <c r="FJ736" s="3"/>
      <c r="FK736" s="3"/>
      <c r="FL736" s="3"/>
      <c r="FM736" s="3"/>
      <c r="FN736" s="3"/>
      <c r="FO736" s="3"/>
      <c r="FP736" s="3"/>
      <c r="FQ736" s="3"/>
      <c r="FR736" s="3"/>
      <c r="FS736" s="3"/>
      <c r="FT736" s="3"/>
      <c r="FU736" s="3"/>
      <c r="FV736" s="3"/>
      <c r="FW736" s="3"/>
      <c r="FX736" s="3"/>
      <c r="FY736" s="3"/>
      <c r="FZ736" s="3"/>
      <c r="GA736" s="3"/>
      <c r="GB736" s="3"/>
      <c r="GC736" s="3"/>
      <c r="GD736" s="3"/>
      <c r="GE736" s="3"/>
      <c r="GF736" s="3"/>
      <c r="GG736" s="3"/>
      <c r="GH736" s="3"/>
      <c r="GI736" s="3"/>
      <c r="GJ736" s="3"/>
      <c r="GK736" s="3"/>
      <c r="GL736" s="3"/>
      <c r="GM736" s="3"/>
      <c r="GN736" s="3"/>
      <c r="GO736" s="3"/>
      <c r="GP736" s="3"/>
      <c r="GQ736" s="3"/>
      <c r="GR736" s="3"/>
      <c r="GS736" s="3"/>
      <c r="GT736" s="3"/>
      <c r="GU736" s="3"/>
      <c r="GV736" s="3"/>
      <c r="GW736" s="3"/>
      <c r="GX736" s="3"/>
      <c r="GY736" s="3"/>
      <c r="GZ736" s="3"/>
      <c r="HA736" s="3"/>
      <c r="HB736" s="3"/>
    </row>
    <row r="737" spans="1:210" ht="15.75" customHeight="1">
      <c r="A737" s="50"/>
      <c r="B737" s="50"/>
      <c r="C737" s="50"/>
      <c r="D737" s="50"/>
      <c r="E737" s="50"/>
      <c r="F737" s="50"/>
      <c r="G737" s="51"/>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c r="AR737" s="50"/>
      <c r="AS737" s="50"/>
      <c r="AT737" s="50"/>
      <c r="AU737" s="50"/>
      <c r="AV737" s="50"/>
      <c r="AW737" s="50"/>
      <c r="AX737" s="50"/>
      <c r="AY737" s="50"/>
      <c r="AZ737" s="50"/>
      <c r="BA737" s="50"/>
      <c r="BB737" s="50"/>
      <c r="BC737" s="50"/>
      <c r="BD737" s="50"/>
      <c r="BE737" s="50"/>
      <c r="BF737" s="50"/>
      <c r="BG737" s="50"/>
      <c r="BH737" s="50"/>
      <c r="BI737" s="50"/>
      <c r="BJ737" s="50"/>
      <c r="BK737" s="50"/>
      <c r="BL737" s="50"/>
      <c r="BM737" s="50"/>
      <c r="BN737" s="50"/>
      <c r="BO737" s="50"/>
      <c r="BP737" s="50"/>
      <c r="BQ737" s="50"/>
      <c r="BR737" s="50"/>
      <c r="BS737" s="50"/>
      <c r="BT737" s="50"/>
      <c r="BU737" s="50"/>
      <c r="BV737" s="50"/>
      <c r="BW737" s="50"/>
      <c r="BX737" s="50"/>
      <c r="BY737" s="50"/>
      <c r="BZ737" s="50"/>
      <c r="CA737" s="50"/>
      <c r="CB737" s="50"/>
      <c r="CC737" s="50"/>
      <c r="CD737" s="52"/>
      <c r="CE737" s="50"/>
      <c r="CF737" s="50"/>
      <c r="CG737" s="50"/>
      <c r="CH737" s="50"/>
      <c r="CI737" s="50"/>
      <c r="CJ737" s="50"/>
      <c r="CK737" s="50"/>
      <c r="CL737" s="50"/>
      <c r="CM737" s="50"/>
      <c r="CN737" s="50"/>
      <c r="CO737" s="50"/>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c r="FF737" s="3"/>
      <c r="FG737" s="3"/>
      <c r="FH737" s="3"/>
      <c r="FI737" s="3"/>
      <c r="FJ737" s="3"/>
      <c r="FK737" s="3"/>
      <c r="FL737" s="3"/>
      <c r="FM737" s="3"/>
      <c r="FN737" s="3"/>
      <c r="FO737" s="3"/>
      <c r="FP737" s="3"/>
      <c r="FQ737" s="3"/>
      <c r="FR737" s="3"/>
      <c r="FS737" s="3"/>
      <c r="FT737" s="3"/>
      <c r="FU737" s="3"/>
      <c r="FV737" s="3"/>
      <c r="FW737" s="3"/>
      <c r="FX737" s="3"/>
      <c r="FY737" s="3"/>
      <c r="FZ737" s="3"/>
      <c r="GA737" s="3"/>
      <c r="GB737" s="3"/>
      <c r="GC737" s="3"/>
      <c r="GD737" s="3"/>
      <c r="GE737" s="3"/>
      <c r="GF737" s="3"/>
      <c r="GG737" s="3"/>
      <c r="GH737" s="3"/>
      <c r="GI737" s="3"/>
      <c r="GJ737" s="3"/>
      <c r="GK737" s="3"/>
      <c r="GL737" s="3"/>
      <c r="GM737" s="3"/>
      <c r="GN737" s="3"/>
      <c r="GO737" s="3"/>
      <c r="GP737" s="3"/>
      <c r="GQ737" s="3"/>
      <c r="GR737" s="3"/>
      <c r="GS737" s="3"/>
      <c r="GT737" s="3"/>
      <c r="GU737" s="3"/>
      <c r="GV737" s="3"/>
      <c r="GW737" s="3"/>
      <c r="GX737" s="3"/>
      <c r="GY737" s="3"/>
      <c r="GZ737" s="3"/>
      <c r="HA737" s="3"/>
      <c r="HB737" s="3"/>
    </row>
    <row r="738" spans="1:210" ht="15.75" customHeight="1">
      <c r="A738" s="50"/>
      <c r="B738" s="50"/>
      <c r="C738" s="50"/>
      <c r="D738" s="50"/>
      <c r="E738" s="50"/>
      <c r="F738" s="50"/>
      <c r="G738" s="51"/>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c r="AR738" s="50"/>
      <c r="AS738" s="50"/>
      <c r="AT738" s="50"/>
      <c r="AU738" s="50"/>
      <c r="AV738" s="50"/>
      <c r="AW738" s="50"/>
      <c r="AX738" s="50"/>
      <c r="AY738" s="50"/>
      <c r="AZ738" s="50"/>
      <c r="BA738" s="50"/>
      <c r="BB738" s="50"/>
      <c r="BC738" s="50"/>
      <c r="BD738" s="50"/>
      <c r="BE738" s="50"/>
      <c r="BF738" s="50"/>
      <c r="BG738" s="50"/>
      <c r="BH738" s="50"/>
      <c r="BI738" s="50"/>
      <c r="BJ738" s="50"/>
      <c r="BK738" s="50"/>
      <c r="BL738" s="50"/>
      <c r="BM738" s="50"/>
      <c r="BN738" s="50"/>
      <c r="BO738" s="50"/>
      <c r="BP738" s="50"/>
      <c r="BQ738" s="50"/>
      <c r="BR738" s="50"/>
      <c r="BS738" s="50"/>
      <c r="BT738" s="50"/>
      <c r="BU738" s="50"/>
      <c r="BV738" s="50"/>
      <c r="BW738" s="50"/>
      <c r="BX738" s="50"/>
      <c r="BY738" s="50"/>
      <c r="BZ738" s="50"/>
      <c r="CA738" s="50"/>
      <c r="CB738" s="50"/>
      <c r="CC738" s="50"/>
      <c r="CD738" s="52"/>
      <c r="CE738" s="50"/>
      <c r="CF738" s="50"/>
      <c r="CG738" s="50"/>
      <c r="CH738" s="50"/>
      <c r="CI738" s="50"/>
      <c r="CJ738" s="50"/>
      <c r="CK738" s="50"/>
      <c r="CL738" s="50"/>
      <c r="CM738" s="50"/>
      <c r="CN738" s="50"/>
      <c r="CO738" s="50"/>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c r="FF738" s="3"/>
      <c r="FG738" s="3"/>
      <c r="FH738" s="3"/>
      <c r="FI738" s="3"/>
      <c r="FJ738" s="3"/>
      <c r="FK738" s="3"/>
      <c r="FL738" s="3"/>
      <c r="FM738" s="3"/>
      <c r="FN738" s="3"/>
      <c r="FO738" s="3"/>
      <c r="FP738" s="3"/>
      <c r="FQ738" s="3"/>
      <c r="FR738" s="3"/>
      <c r="FS738" s="3"/>
      <c r="FT738" s="3"/>
      <c r="FU738" s="3"/>
      <c r="FV738" s="3"/>
      <c r="FW738" s="3"/>
      <c r="FX738" s="3"/>
      <c r="FY738" s="3"/>
      <c r="FZ738" s="3"/>
      <c r="GA738" s="3"/>
      <c r="GB738" s="3"/>
      <c r="GC738" s="3"/>
      <c r="GD738" s="3"/>
      <c r="GE738" s="3"/>
      <c r="GF738" s="3"/>
      <c r="GG738" s="3"/>
      <c r="GH738" s="3"/>
      <c r="GI738" s="3"/>
      <c r="GJ738" s="3"/>
      <c r="GK738" s="3"/>
      <c r="GL738" s="3"/>
      <c r="GM738" s="3"/>
      <c r="GN738" s="3"/>
      <c r="GO738" s="3"/>
      <c r="GP738" s="3"/>
      <c r="GQ738" s="3"/>
      <c r="GR738" s="3"/>
      <c r="GS738" s="3"/>
      <c r="GT738" s="3"/>
      <c r="GU738" s="3"/>
      <c r="GV738" s="3"/>
      <c r="GW738" s="3"/>
      <c r="GX738" s="3"/>
      <c r="GY738" s="3"/>
      <c r="GZ738" s="3"/>
      <c r="HA738" s="3"/>
      <c r="HB738" s="3"/>
    </row>
    <row r="739" spans="1:210" ht="15.75" customHeight="1">
      <c r="A739" s="50"/>
      <c r="B739" s="50"/>
      <c r="C739" s="50"/>
      <c r="D739" s="50"/>
      <c r="E739" s="50"/>
      <c r="F739" s="50"/>
      <c r="G739" s="51"/>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c r="AR739" s="50"/>
      <c r="AS739" s="50"/>
      <c r="AT739" s="50"/>
      <c r="AU739" s="50"/>
      <c r="AV739" s="50"/>
      <c r="AW739" s="50"/>
      <c r="AX739" s="50"/>
      <c r="AY739" s="50"/>
      <c r="AZ739" s="50"/>
      <c r="BA739" s="50"/>
      <c r="BB739" s="50"/>
      <c r="BC739" s="50"/>
      <c r="BD739" s="50"/>
      <c r="BE739" s="50"/>
      <c r="BF739" s="50"/>
      <c r="BG739" s="50"/>
      <c r="BH739" s="50"/>
      <c r="BI739" s="50"/>
      <c r="BJ739" s="50"/>
      <c r="BK739" s="50"/>
      <c r="BL739" s="50"/>
      <c r="BM739" s="50"/>
      <c r="BN739" s="50"/>
      <c r="BO739" s="50"/>
      <c r="BP739" s="50"/>
      <c r="BQ739" s="50"/>
      <c r="BR739" s="50"/>
      <c r="BS739" s="50"/>
      <c r="BT739" s="50"/>
      <c r="BU739" s="50"/>
      <c r="BV739" s="50"/>
      <c r="BW739" s="50"/>
      <c r="BX739" s="50"/>
      <c r="BY739" s="50"/>
      <c r="BZ739" s="50"/>
      <c r="CA739" s="50"/>
      <c r="CB739" s="50"/>
      <c r="CC739" s="50"/>
      <c r="CD739" s="52"/>
      <c r="CE739" s="50"/>
      <c r="CF739" s="50"/>
      <c r="CG739" s="50"/>
      <c r="CH739" s="50"/>
      <c r="CI739" s="50"/>
      <c r="CJ739" s="50"/>
      <c r="CK739" s="50"/>
      <c r="CL739" s="50"/>
      <c r="CM739" s="50"/>
      <c r="CN739" s="50"/>
      <c r="CO739" s="50"/>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c r="FF739" s="3"/>
      <c r="FG739" s="3"/>
      <c r="FH739" s="3"/>
      <c r="FI739" s="3"/>
      <c r="FJ739" s="3"/>
      <c r="FK739" s="3"/>
      <c r="FL739" s="3"/>
      <c r="FM739" s="3"/>
      <c r="FN739" s="3"/>
      <c r="FO739" s="3"/>
      <c r="FP739" s="3"/>
      <c r="FQ739" s="3"/>
      <c r="FR739" s="3"/>
      <c r="FS739" s="3"/>
      <c r="FT739" s="3"/>
      <c r="FU739" s="3"/>
      <c r="FV739" s="3"/>
      <c r="FW739" s="3"/>
      <c r="FX739" s="3"/>
      <c r="FY739" s="3"/>
      <c r="FZ739" s="3"/>
      <c r="GA739" s="3"/>
      <c r="GB739" s="3"/>
      <c r="GC739" s="3"/>
      <c r="GD739" s="3"/>
      <c r="GE739" s="3"/>
      <c r="GF739" s="3"/>
      <c r="GG739" s="3"/>
      <c r="GH739" s="3"/>
      <c r="GI739" s="3"/>
      <c r="GJ739" s="3"/>
      <c r="GK739" s="3"/>
      <c r="GL739" s="3"/>
      <c r="GM739" s="3"/>
      <c r="GN739" s="3"/>
      <c r="GO739" s="3"/>
      <c r="GP739" s="3"/>
      <c r="GQ739" s="3"/>
      <c r="GR739" s="3"/>
      <c r="GS739" s="3"/>
      <c r="GT739" s="3"/>
      <c r="GU739" s="3"/>
      <c r="GV739" s="3"/>
      <c r="GW739" s="3"/>
      <c r="GX739" s="3"/>
      <c r="GY739" s="3"/>
      <c r="GZ739" s="3"/>
      <c r="HA739" s="3"/>
      <c r="HB739" s="3"/>
    </row>
    <row r="740" spans="1:210" ht="15.75" customHeight="1">
      <c r="A740" s="50"/>
      <c r="B740" s="50"/>
      <c r="C740" s="50"/>
      <c r="D740" s="50"/>
      <c r="E740" s="50"/>
      <c r="F740" s="50"/>
      <c r="G740" s="51"/>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c r="AR740" s="50"/>
      <c r="AS740" s="50"/>
      <c r="AT740" s="50"/>
      <c r="AU740" s="50"/>
      <c r="AV740" s="50"/>
      <c r="AW740" s="50"/>
      <c r="AX740" s="50"/>
      <c r="AY740" s="50"/>
      <c r="AZ740" s="50"/>
      <c r="BA740" s="50"/>
      <c r="BB740" s="50"/>
      <c r="BC740" s="50"/>
      <c r="BD740" s="50"/>
      <c r="BE740" s="50"/>
      <c r="BF740" s="50"/>
      <c r="BG740" s="50"/>
      <c r="BH740" s="50"/>
      <c r="BI740" s="50"/>
      <c r="BJ740" s="50"/>
      <c r="BK740" s="50"/>
      <c r="BL740" s="50"/>
      <c r="BM740" s="50"/>
      <c r="BN740" s="50"/>
      <c r="BO740" s="50"/>
      <c r="BP740" s="50"/>
      <c r="BQ740" s="50"/>
      <c r="BR740" s="50"/>
      <c r="BS740" s="50"/>
      <c r="BT740" s="50"/>
      <c r="BU740" s="50"/>
      <c r="BV740" s="50"/>
      <c r="BW740" s="50"/>
      <c r="BX740" s="50"/>
      <c r="BY740" s="50"/>
      <c r="BZ740" s="50"/>
      <c r="CA740" s="50"/>
      <c r="CB740" s="50"/>
      <c r="CC740" s="50"/>
      <c r="CD740" s="52"/>
      <c r="CE740" s="50"/>
      <c r="CF740" s="50"/>
      <c r="CG740" s="50"/>
      <c r="CH740" s="50"/>
      <c r="CI740" s="50"/>
      <c r="CJ740" s="50"/>
      <c r="CK740" s="50"/>
      <c r="CL740" s="50"/>
      <c r="CM740" s="50"/>
      <c r="CN740" s="50"/>
      <c r="CO740" s="50"/>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c r="FF740" s="3"/>
      <c r="FG740" s="3"/>
      <c r="FH740" s="3"/>
      <c r="FI740" s="3"/>
      <c r="FJ740" s="3"/>
      <c r="FK740" s="3"/>
      <c r="FL740" s="3"/>
      <c r="FM740" s="3"/>
      <c r="FN740" s="3"/>
      <c r="FO740" s="3"/>
      <c r="FP740" s="3"/>
      <c r="FQ740" s="3"/>
      <c r="FR740" s="3"/>
      <c r="FS740" s="3"/>
      <c r="FT740" s="3"/>
      <c r="FU740" s="3"/>
      <c r="FV740" s="3"/>
      <c r="FW740" s="3"/>
      <c r="FX740" s="3"/>
      <c r="FY740" s="3"/>
      <c r="FZ740" s="3"/>
      <c r="GA740" s="3"/>
      <c r="GB740" s="3"/>
      <c r="GC740" s="3"/>
      <c r="GD740" s="3"/>
      <c r="GE740" s="3"/>
      <c r="GF740" s="3"/>
      <c r="GG740" s="3"/>
      <c r="GH740" s="3"/>
      <c r="GI740" s="3"/>
      <c r="GJ740" s="3"/>
      <c r="GK740" s="3"/>
      <c r="GL740" s="3"/>
      <c r="GM740" s="3"/>
      <c r="GN740" s="3"/>
      <c r="GO740" s="3"/>
      <c r="GP740" s="3"/>
      <c r="GQ740" s="3"/>
      <c r="GR740" s="3"/>
      <c r="GS740" s="3"/>
      <c r="GT740" s="3"/>
      <c r="GU740" s="3"/>
      <c r="GV740" s="3"/>
      <c r="GW740" s="3"/>
      <c r="GX740" s="3"/>
      <c r="GY740" s="3"/>
      <c r="GZ740" s="3"/>
      <c r="HA740" s="3"/>
      <c r="HB740" s="3"/>
    </row>
    <row r="741" spans="1:210" ht="15.75" customHeight="1">
      <c r="A741" s="50"/>
      <c r="B741" s="50"/>
      <c r="C741" s="50"/>
      <c r="D741" s="50"/>
      <c r="E741" s="50"/>
      <c r="F741" s="50"/>
      <c r="G741" s="51"/>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c r="AR741" s="50"/>
      <c r="AS741" s="50"/>
      <c r="AT741" s="50"/>
      <c r="AU741" s="50"/>
      <c r="AV741" s="50"/>
      <c r="AW741" s="50"/>
      <c r="AX741" s="50"/>
      <c r="AY741" s="50"/>
      <c r="AZ741" s="50"/>
      <c r="BA741" s="50"/>
      <c r="BB741" s="50"/>
      <c r="BC741" s="50"/>
      <c r="BD741" s="50"/>
      <c r="BE741" s="50"/>
      <c r="BF741" s="50"/>
      <c r="BG741" s="50"/>
      <c r="BH741" s="50"/>
      <c r="BI741" s="50"/>
      <c r="BJ741" s="50"/>
      <c r="BK741" s="50"/>
      <c r="BL741" s="50"/>
      <c r="BM741" s="50"/>
      <c r="BN741" s="50"/>
      <c r="BO741" s="50"/>
      <c r="BP741" s="50"/>
      <c r="BQ741" s="50"/>
      <c r="BR741" s="50"/>
      <c r="BS741" s="50"/>
      <c r="BT741" s="50"/>
      <c r="BU741" s="50"/>
      <c r="BV741" s="50"/>
      <c r="BW741" s="50"/>
      <c r="BX741" s="50"/>
      <c r="BY741" s="50"/>
      <c r="BZ741" s="50"/>
      <c r="CA741" s="50"/>
      <c r="CB741" s="50"/>
      <c r="CC741" s="50"/>
      <c r="CD741" s="52"/>
      <c r="CE741" s="50"/>
      <c r="CF741" s="50"/>
      <c r="CG741" s="50"/>
      <c r="CH741" s="50"/>
      <c r="CI741" s="50"/>
      <c r="CJ741" s="50"/>
      <c r="CK741" s="50"/>
      <c r="CL741" s="50"/>
      <c r="CM741" s="50"/>
      <c r="CN741" s="50"/>
      <c r="CO741" s="50"/>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c r="FF741" s="3"/>
      <c r="FG741" s="3"/>
      <c r="FH741" s="3"/>
      <c r="FI741" s="3"/>
      <c r="FJ741" s="3"/>
      <c r="FK741" s="3"/>
      <c r="FL741" s="3"/>
      <c r="FM741" s="3"/>
      <c r="FN741" s="3"/>
      <c r="FO741" s="3"/>
      <c r="FP741" s="3"/>
      <c r="FQ741" s="3"/>
      <c r="FR741" s="3"/>
      <c r="FS741" s="3"/>
      <c r="FT741" s="3"/>
      <c r="FU741" s="3"/>
      <c r="FV741" s="3"/>
      <c r="FW741" s="3"/>
      <c r="FX741" s="3"/>
      <c r="FY741" s="3"/>
      <c r="FZ741" s="3"/>
      <c r="GA741" s="3"/>
      <c r="GB741" s="3"/>
      <c r="GC741" s="3"/>
      <c r="GD741" s="3"/>
      <c r="GE741" s="3"/>
      <c r="GF741" s="3"/>
      <c r="GG741" s="3"/>
      <c r="GH741" s="3"/>
      <c r="GI741" s="3"/>
      <c r="GJ741" s="3"/>
      <c r="GK741" s="3"/>
      <c r="GL741" s="3"/>
      <c r="GM741" s="3"/>
      <c r="GN741" s="3"/>
      <c r="GO741" s="3"/>
      <c r="GP741" s="3"/>
      <c r="GQ741" s="3"/>
      <c r="GR741" s="3"/>
      <c r="GS741" s="3"/>
      <c r="GT741" s="3"/>
      <c r="GU741" s="3"/>
      <c r="GV741" s="3"/>
      <c r="GW741" s="3"/>
      <c r="GX741" s="3"/>
      <c r="GY741" s="3"/>
      <c r="GZ741" s="3"/>
      <c r="HA741" s="3"/>
      <c r="HB741" s="3"/>
    </row>
    <row r="742" spans="1:210" ht="15.75" customHeight="1">
      <c r="A742" s="50"/>
      <c r="B742" s="50"/>
      <c r="C742" s="50"/>
      <c r="D742" s="50"/>
      <c r="E742" s="50"/>
      <c r="F742" s="50"/>
      <c r="G742" s="51"/>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c r="AR742" s="50"/>
      <c r="AS742" s="50"/>
      <c r="AT742" s="50"/>
      <c r="AU742" s="50"/>
      <c r="AV742" s="50"/>
      <c r="AW742" s="50"/>
      <c r="AX742" s="50"/>
      <c r="AY742" s="50"/>
      <c r="AZ742" s="50"/>
      <c r="BA742" s="50"/>
      <c r="BB742" s="50"/>
      <c r="BC742" s="50"/>
      <c r="BD742" s="50"/>
      <c r="BE742" s="50"/>
      <c r="BF742" s="50"/>
      <c r="BG742" s="50"/>
      <c r="BH742" s="50"/>
      <c r="BI742" s="50"/>
      <c r="BJ742" s="50"/>
      <c r="BK742" s="50"/>
      <c r="BL742" s="50"/>
      <c r="BM742" s="50"/>
      <c r="BN742" s="50"/>
      <c r="BO742" s="50"/>
      <c r="BP742" s="50"/>
      <c r="BQ742" s="50"/>
      <c r="BR742" s="50"/>
      <c r="BS742" s="50"/>
      <c r="BT742" s="50"/>
      <c r="BU742" s="50"/>
      <c r="BV742" s="50"/>
      <c r="BW742" s="50"/>
      <c r="BX742" s="50"/>
      <c r="BY742" s="50"/>
      <c r="BZ742" s="50"/>
      <c r="CA742" s="50"/>
      <c r="CB742" s="50"/>
      <c r="CC742" s="50"/>
      <c r="CD742" s="52"/>
      <c r="CE742" s="50"/>
      <c r="CF742" s="50"/>
      <c r="CG742" s="50"/>
      <c r="CH742" s="50"/>
      <c r="CI742" s="50"/>
      <c r="CJ742" s="50"/>
      <c r="CK742" s="50"/>
      <c r="CL742" s="50"/>
      <c r="CM742" s="50"/>
      <c r="CN742" s="50"/>
      <c r="CO742" s="50"/>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c r="FF742" s="3"/>
      <c r="FG742" s="3"/>
      <c r="FH742" s="3"/>
      <c r="FI742" s="3"/>
      <c r="FJ742" s="3"/>
      <c r="FK742" s="3"/>
      <c r="FL742" s="3"/>
      <c r="FM742" s="3"/>
      <c r="FN742" s="3"/>
      <c r="FO742" s="3"/>
      <c r="FP742" s="3"/>
      <c r="FQ742" s="3"/>
      <c r="FR742" s="3"/>
      <c r="FS742" s="3"/>
      <c r="FT742" s="3"/>
      <c r="FU742" s="3"/>
      <c r="FV742" s="3"/>
      <c r="FW742" s="3"/>
      <c r="FX742" s="3"/>
      <c r="FY742" s="3"/>
      <c r="FZ742" s="3"/>
      <c r="GA742" s="3"/>
      <c r="GB742" s="3"/>
      <c r="GC742" s="3"/>
      <c r="GD742" s="3"/>
      <c r="GE742" s="3"/>
      <c r="GF742" s="3"/>
      <c r="GG742" s="3"/>
      <c r="GH742" s="3"/>
      <c r="GI742" s="3"/>
      <c r="GJ742" s="3"/>
      <c r="GK742" s="3"/>
      <c r="GL742" s="3"/>
      <c r="GM742" s="3"/>
      <c r="GN742" s="3"/>
      <c r="GO742" s="3"/>
      <c r="GP742" s="3"/>
      <c r="GQ742" s="3"/>
      <c r="GR742" s="3"/>
      <c r="GS742" s="3"/>
      <c r="GT742" s="3"/>
      <c r="GU742" s="3"/>
      <c r="GV742" s="3"/>
      <c r="GW742" s="3"/>
      <c r="GX742" s="3"/>
      <c r="GY742" s="3"/>
      <c r="GZ742" s="3"/>
      <c r="HA742" s="3"/>
      <c r="HB742" s="3"/>
    </row>
    <row r="743" spans="1:210" ht="15.75" customHeight="1">
      <c r="A743" s="50"/>
      <c r="B743" s="50"/>
      <c r="C743" s="50"/>
      <c r="D743" s="50"/>
      <c r="E743" s="50"/>
      <c r="F743" s="50"/>
      <c r="G743" s="51"/>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c r="AR743" s="50"/>
      <c r="AS743" s="50"/>
      <c r="AT743" s="50"/>
      <c r="AU743" s="50"/>
      <c r="AV743" s="50"/>
      <c r="AW743" s="50"/>
      <c r="AX743" s="50"/>
      <c r="AY743" s="50"/>
      <c r="AZ743" s="50"/>
      <c r="BA743" s="50"/>
      <c r="BB743" s="50"/>
      <c r="BC743" s="50"/>
      <c r="BD743" s="50"/>
      <c r="BE743" s="50"/>
      <c r="BF743" s="50"/>
      <c r="BG743" s="50"/>
      <c r="BH743" s="50"/>
      <c r="BI743" s="50"/>
      <c r="BJ743" s="50"/>
      <c r="BK743" s="50"/>
      <c r="BL743" s="50"/>
      <c r="BM743" s="50"/>
      <c r="BN743" s="50"/>
      <c r="BO743" s="50"/>
      <c r="BP743" s="50"/>
      <c r="BQ743" s="50"/>
      <c r="BR743" s="50"/>
      <c r="BS743" s="50"/>
      <c r="BT743" s="50"/>
      <c r="BU743" s="50"/>
      <c r="BV743" s="50"/>
      <c r="BW743" s="50"/>
      <c r="BX743" s="50"/>
      <c r="BY743" s="50"/>
      <c r="BZ743" s="50"/>
      <c r="CA743" s="50"/>
      <c r="CB743" s="50"/>
      <c r="CC743" s="50"/>
      <c r="CD743" s="52"/>
      <c r="CE743" s="50"/>
      <c r="CF743" s="50"/>
      <c r="CG743" s="50"/>
      <c r="CH743" s="50"/>
      <c r="CI743" s="50"/>
      <c r="CJ743" s="50"/>
      <c r="CK743" s="50"/>
      <c r="CL743" s="50"/>
      <c r="CM743" s="50"/>
      <c r="CN743" s="50"/>
      <c r="CO743" s="50"/>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c r="FF743" s="3"/>
      <c r="FG743" s="3"/>
      <c r="FH743" s="3"/>
      <c r="FI743" s="3"/>
      <c r="FJ743" s="3"/>
      <c r="FK743" s="3"/>
      <c r="FL743" s="3"/>
      <c r="FM743" s="3"/>
      <c r="FN743" s="3"/>
      <c r="FO743" s="3"/>
      <c r="FP743" s="3"/>
      <c r="FQ743" s="3"/>
      <c r="FR743" s="3"/>
      <c r="FS743" s="3"/>
      <c r="FT743" s="3"/>
      <c r="FU743" s="3"/>
      <c r="FV743" s="3"/>
      <c r="FW743" s="3"/>
      <c r="FX743" s="3"/>
      <c r="FY743" s="3"/>
      <c r="FZ743" s="3"/>
      <c r="GA743" s="3"/>
      <c r="GB743" s="3"/>
      <c r="GC743" s="3"/>
      <c r="GD743" s="3"/>
      <c r="GE743" s="3"/>
      <c r="GF743" s="3"/>
      <c r="GG743" s="3"/>
      <c r="GH743" s="3"/>
      <c r="GI743" s="3"/>
      <c r="GJ743" s="3"/>
      <c r="GK743" s="3"/>
      <c r="GL743" s="3"/>
      <c r="GM743" s="3"/>
      <c r="GN743" s="3"/>
      <c r="GO743" s="3"/>
      <c r="GP743" s="3"/>
      <c r="GQ743" s="3"/>
      <c r="GR743" s="3"/>
      <c r="GS743" s="3"/>
      <c r="GT743" s="3"/>
      <c r="GU743" s="3"/>
      <c r="GV743" s="3"/>
      <c r="GW743" s="3"/>
      <c r="GX743" s="3"/>
      <c r="GY743" s="3"/>
      <c r="GZ743" s="3"/>
      <c r="HA743" s="3"/>
      <c r="HB743" s="3"/>
    </row>
    <row r="744" spans="1:210" ht="15.75" customHeight="1">
      <c r="A744" s="50"/>
      <c r="B744" s="50"/>
      <c r="C744" s="50"/>
      <c r="D744" s="50"/>
      <c r="E744" s="50"/>
      <c r="F744" s="50"/>
      <c r="G744" s="51"/>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c r="AR744" s="50"/>
      <c r="AS744" s="50"/>
      <c r="AT744" s="50"/>
      <c r="AU744" s="50"/>
      <c r="AV744" s="50"/>
      <c r="AW744" s="50"/>
      <c r="AX744" s="50"/>
      <c r="AY744" s="50"/>
      <c r="AZ744" s="50"/>
      <c r="BA744" s="50"/>
      <c r="BB744" s="50"/>
      <c r="BC744" s="50"/>
      <c r="BD744" s="50"/>
      <c r="BE744" s="50"/>
      <c r="BF744" s="50"/>
      <c r="BG744" s="50"/>
      <c r="BH744" s="50"/>
      <c r="BI744" s="50"/>
      <c r="BJ744" s="50"/>
      <c r="BK744" s="50"/>
      <c r="BL744" s="50"/>
      <c r="BM744" s="50"/>
      <c r="BN744" s="50"/>
      <c r="BO744" s="50"/>
      <c r="BP744" s="50"/>
      <c r="BQ744" s="50"/>
      <c r="BR744" s="50"/>
      <c r="BS744" s="50"/>
      <c r="BT744" s="50"/>
      <c r="BU744" s="50"/>
      <c r="BV744" s="50"/>
      <c r="BW744" s="50"/>
      <c r="BX744" s="50"/>
      <c r="BY744" s="50"/>
      <c r="BZ744" s="50"/>
      <c r="CA744" s="50"/>
      <c r="CB744" s="50"/>
      <c r="CC744" s="50"/>
      <c r="CD744" s="52"/>
      <c r="CE744" s="50"/>
      <c r="CF744" s="50"/>
      <c r="CG744" s="50"/>
      <c r="CH744" s="50"/>
      <c r="CI744" s="50"/>
      <c r="CJ744" s="50"/>
      <c r="CK744" s="50"/>
      <c r="CL744" s="50"/>
      <c r="CM744" s="50"/>
      <c r="CN744" s="50"/>
      <c r="CO744" s="50"/>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c r="FF744" s="3"/>
      <c r="FG744" s="3"/>
      <c r="FH744" s="3"/>
      <c r="FI744" s="3"/>
      <c r="FJ744" s="3"/>
      <c r="FK744" s="3"/>
      <c r="FL744" s="3"/>
      <c r="FM744" s="3"/>
      <c r="FN744" s="3"/>
      <c r="FO744" s="3"/>
      <c r="FP744" s="3"/>
      <c r="FQ744" s="3"/>
      <c r="FR744" s="3"/>
      <c r="FS744" s="3"/>
      <c r="FT744" s="3"/>
      <c r="FU744" s="3"/>
      <c r="FV744" s="3"/>
      <c r="FW744" s="3"/>
      <c r="FX744" s="3"/>
      <c r="FY744" s="3"/>
      <c r="FZ744" s="3"/>
      <c r="GA744" s="3"/>
      <c r="GB744" s="3"/>
      <c r="GC744" s="3"/>
      <c r="GD744" s="3"/>
      <c r="GE744" s="3"/>
      <c r="GF744" s="3"/>
      <c r="GG744" s="3"/>
      <c r="GH744" s="3"/>
      <c r="GI744" s="3"/>
      <c r="GJ744" s="3"/>
      <c r="GK744" s="3"/>
      <c r="GL744" s="3"/>
      <c r="GM744" s="3"/>
      <c r="GN744" s="3"/>
      <c r="GO744" s="3"/>
      <c r="GP744" s="3"/>
      <c r="GQ744" s="3"/>
      <c r="GR744" s="3"/>
      <c r="GS744" s="3"/>
      <c r="GT744" s="3"/>
      <c r="GU744" s="3"/>
      <c r="GV744" s="3"/>
      <c r="GW744" s="3"/>
      <c r="GX744" s="3"/>
      <c r="GY744" s="3"/>
      <c r="GZ744" s="3"/>
      <c r="HA744" s="3"/>
      <c r="HB744" s="3"/>
    </row>
    <row r="745" spans="1:210" ht="15.75" customHeight="1">
      <c r="A745" s="50"/>
      <c r="B745" s="50"/>
      <c r="C745" s="50"/>
      <c r="D745" s="50"/>
      <c r="E745" s="50"/>
      <c r="F745" s="50"/>
      <c r="G745" s="51"/>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c r="AR745" s="50"/>
      <c r="AS745" s="50"/>
      <c r="AT745" s="50"/>
      <c r="AU745" s="50"/>
      <c r="AV745" s="50"/>
      <c r="AW745" s="50"/>
      <c r="AX745" s="50"/>
      <c r="AY745" s="50"/>
      <c r="AZ745" s="50"/>
      <c r="BA745" s="50"/>
      <c r="BB745" s="50"/>
      <c r="BC745" s="50"/>
      <c r="BD745" s="50"/>
      <c r="BE745" s="50"/>
      <c r="BF745" s="50"/>
      <c r="BG745" s="50"/>
      <c r="BH745" s="50"/>
      <c r="BI745" s="50"/>
      <c r="BJ745" s="50"/>
      <c r="BK745" s="50"/>
      <c r="BL745" s="50"/>
      <c r="BM745" s="50"/>
      <c r="BN745" s="50"/>
      <c r="BO745" s="50"/>
      <c r="BP745" s="50"/>
      <c r="BQ745" s="50"/>
      <c r="BR745" s="50"/>
      <c r="BS745" s="50"/>
      <c r="BT745" s="50"/>
      <c r="BU745" s="50"/>
      <c r="BV745" s="50"/>
      <c r="BW745" s="50"/>
      <c r="BX745" s="50"/>
      <c r="BY745" s="50"/>
      <c r="BZ745" s="50"/>
      <c r="CA745" s="50"/>
      <c r="CB745" s="50"/>
      <c r="CC745" s="50"/>
      <c r="CD745" s="52"/>
      <c r="CE745" s="50"/>
      <c r="CF745" s="50"/>
      <c r="CG745" s="50"/>
      <c r="CH745" s="50"/>
      <c r="CI745" s="50"/>
      <c r="CJ745" s="50"/>
      <c r="CK745" s="50"/>
      <c r="CL745" s="50"/>
      <c r="CM745" s="50"/>
      <c r="CN745" s="50"/>
      <c r="CO745" s="50"/>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c r="FF745" s="3"/>
      <c r="FG745" s="3"/>
      <c r="FH745" s="3"/>
      <c r="FI745" s="3"/>
      <c r="FJ745" s="3"/>
      <c r="FK745" s="3"/>
      <c r="FL745" s="3"/>
      <c r="FM745" s="3"/>
      <c r="FN745" s="3"/>
      <c r="FO745" s="3"/>
      <c r="FP745" s="3"/>
      <c r="FQ745" s="3"/>
      <c r="FR745" s="3"/>
      <c r="FS745" s="3"/>
      <c r="FT745" s="3"/>
      <c r="FU745" s="3"/>
      <c r="FV745" s="3"/>
      <c r="FW745" s="3"/>
      <c r="FX745" s="3"/>
      <c r="FY745" s="3"/>
      <c r="FZ745" s="3"/>
      <c r="GA745" s="3"/>
      <c r="GB745" s="3"/>
      <c r="GC745" s="3"/>
      <c r="GD745" s="3"/>
      <c r="GE745" s="3"/>
      <c r="GF745" s="3"/>
      <c r="GG745" s="3"/>
      <c r="GH745" s="3"/>
      <c r="GI745" s="3"/>
      <c r="GJ745" s="3"/>
      <c r="GK745" s="3"/>
      <c r="GL745" s="3"/>
      <c r="GM745" s="3"/>
      <c r="GN745" s="3"/>
      <c r="GO745" s="3"/>
      <c r="GP745" s="3"/>
      <c r="GQ745" s="3"/>
      <c r="GR745" s="3"/>
      <c r="GS745" s="3"/>
      <c r="GT745" s="3"/>
      <c r="GU745" s="3"/>
      <c r="GV745" s="3"/>
      <c r="GW745" s="3"/>
      <c r="GX745" s="3"/>
      <c r="GY745" s="3"/>
      <c r="GZ745" s="3"/>
      <c r="HA745" s="3"/>
      <c r="HB745" s="3"/>
    </row>
    <row r="746" spans="1:210" ht="15.75" customHeight="1">
      <c r="A746" s="50"/>
      <c r="B746" s="50"/>
      <c r="C746" s="50"/>
      <c r="D746" s="50"/>
      <c r="E746" s="50"/>
      <c r="F746" s="50"/>
      <c r="G746" s="51"/>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c r="AR746" s="50"/>
      <c r="AS746" s="50"/>
      <c r="AT746" s="50"/>
      <c r="AU746" s="50"/>
      <c r="AV746" s="50"/>
      <c r="AW746" s="50"/>
      <c r="AX746" s="50"/>
      <c r="AY746" s="50"/>
      <c r="AZ746" s="50"/>
      <c r="BA746" s="50"/>
      <c r="BB746" s="50"/>
      <c r="BC746" s="50"/>
      <c r="BD746" s="50"/>
      <c r="BE746" s="50"/>
      <c r="BF746" s="50"/>
      <c r="BG746" s="50"/>
      <c r="BH746" s="50"/>
      <c r="BI746" s="50"/>
      <c r="BJ746" s="50"/>
      <c r="BK746" s="50"/>
      <c r="BL746" s="50"/>
      <c r="BM746" s="50"/>
      <c r="BN746" s="50"/>
      <c r="BO746" s="50"/>
      <c r="BP746" s="50"/>
      <c r="BQ746" s="50"/>
      <c r="BR746" s="50"/>
      <c r="BS746" s="50"/>
      <c r="BT746" s="50"/>
      <c r="BU746" s="50"/>
      <c r="BV746" s="50"/>
      <c r="BW746" s="50"/>
      <c r="BX746" s="50"/>
      <c r="BY746" s="50"/>
      <c r="BZ746" s="50"/>
      <c r="CA746" s="50"/>
      <c r="CB746" s="50"/>
      <c r="CC746" s="50"/>
      <c r="CD746" s="52"/>
      <c r="CE746" s="50"/>
      <c r="CF746" s="50"/>
      <c r="CG746" s="50"/>
      <c r="CH746" s="50"/>
      <c r="CI746" s="50"/>
      <c r="CJ746" s="50"/>
      <c r="CK746" s="50"/>
      <c r="CL746" s="50"/>
      <c r="CM746" s="50"/>
      <c r="CN746" s="50"/>
      <c r="CO746" s="50"/>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c r="FF746" s="3"/>
      <c r="FG746" s="3"/>
      <c r="FH746" s="3"/>
      <c r="FI746" s="3"/>
      <c r="FJ746" s="3"/>
      <c r="FK746" s="3"/>
      <c r="FL746" s="3"/>
      <c r="FM746" s="3"/>
      <c r="FN746" s="3"/>
      <c r="FO746" s="3"/>
      <c r="FP746" s="3"/>
      <c r="FQ746" s="3"/>
      <c r="FR746" s="3"/>
      <c r="FS746" s="3"/>
      <c r="FT746" s="3"/>
      <c r="FU746" s="3"/>
      <c r="FV746" s="3"/>
      <c r="FW746" s="3"/>
      <c r="FX746" s="3"/>
      <c r="FY746" s="3"/>
      <c r="FZ746" s="3"/>
      <c r="GA746" s="3"/>
      <c r="GB746" s="3"/>
      <c r="GC746" s="3"/>
      <c r="GD746" s="3"/>
      <c r="GE746" s="3"/>
      <c r="GF746" s="3"/>
      <c r="GG746" s="3"/>
      <c r="GH746" s="3"/>
      <c r="GI746" s="3"/>
      <c r="GJ746" s="3"/>
      <c r="GK746" s="3"/>
      <c r="GL746" s="3"/>
      <c r="GM746" s="3"/>
      <c r="GN746" s="3"/>
      <c r="GO746" s="3"/>
      <c r="GP746" s="3"/>
      <c r="GQ746" s="3"/>
      <c r="GR746" s="3"/>
      <c r="GS746" s="3"/>
      <c r="GT746" s="3"/>
      <c r="GU746" s="3"/>
      <c r="GV746" s="3"/>
      <c r="GW746" s="3"/>
      <c r="GX746" s="3"/>
      <c r="GY746" s="3"/>
      <c r="GZ746" s="3"/>
      <c r="HA746" s="3"/>
      <c r="HB746" s="3"/>
    </row>
    <row r="747" spans="1:210" ht="15.75" customHeight="1">
      <c r="A747" s="50"/>
      <c r="B747" s="50"/>
      <c r="C747" s="50"/>
      <c r="D747" s="50"/>
      <c r="E747" s="50"/>
      <c r="F747" s="50"/>
      <c r="G747" s="51"/>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c r="AR747" s="50"/>
      <c r="AS747" s="50"/>
      <c r="AT747" s="50"/>
      <c r="AU747" s="50"/>
      <c r="AV747" s="50"/>
      <c r="AW747" s="50"/>
      <c r="AX747" s="50"/>
      <c r="AY747" s="50"/>
      <c r="AZ747" s="50"/>
      <c r="BA747" s="50"/>
      <c r="BB747" s="50"/>
      <c r="BC747" s="50"/>
      <c r="BD747" s="50"/>
      <c r="BE747" s="50"/>
      <c r="BF747" s="50"/>
      <c r="BG747" s="50"/>
      <c r="BH747" s="50"/>
      <c r="BI747" s="50"/>
      <c r="BJ747" s="50"/>
      <c r="BK747" s="50"/>
      <c r="BL747" s="50"/>
      <c r="BM747" s="50"/>
      <c r="BN747" s="50"/>
      <c r="BO747" s="50"/>
      <c r="BP747" s="50"/>
      <c r="BQ747" s="50"/>
      <c r="BR747" s="50"/>
      <c r="BS747" s="50"/>
      <c r="BT747" s="50"/>
      <c r="BU747" s="50"/>
      <c r="BV747" s="50"/>
      <c r="BW747" s="50"/>
      <c r="BX747" s="50"/>
      <c r="BY747" s="50"/>
      <c r="BZ747" s="50"/>
      <c r="CA747" s="50"/>
      <c r="CB747" s="50"/>
      <c r="CC747" s="50"/>
      <c r="CD747" s="52"/>
      <c r="CE747" s="50"/>
      <c r="CF747" s="50"/>
      <c r="CG747" s="50"/>
      <c r="CH747" s="50"/>
      <c r="CI747" s="50"/>
      <c r="CJ747" s="50"/>
      <c r="CK747" s="50"/>
      <c r="CL747" s="50"/>
      <c r="CM747" s="50"/>
      <c r="CN747" s="50"/>
      <c r="CO747" s="50"/>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c r="FF747" s="3"/>
      <c r="FG747" s="3"/>
      <c r="FH747" s="3"/>
      <c r="FI747" s="3"/>
      <c r="FJ747" s="3"/>
      <c r="FK747" s="3"/>
      <c r="FL747" s="3"/>
      <c r="FM747" s="3"/>
      <c r="FN747" s="3"/>
      <c r="FO747" s="3"/>
      <c r="FP747" s="3"/>
      <c r="FQ747" s="3"/>
      <c r="FR747" s="3"/>
      <c r="FS747" s="3"/>
      <c r="FT747" s="3"/>
      <c r="FU747" s="3"/>
      <c r="FV747" s="3"/>
      <c r="FW747" s="3"/>
      <c r="FX747" s="3"/>
      <c r="FY747" s="3"/>
      <c r="FZ747" s="3"/>
      <c r="GA747" s="3"/>
      <c r="GB747" s="3"/>
      <c r="GC747" s="3"/>
      <c r="GD747" s="3"/>
      <c r="GE747" s="3"/>
      <c r="GF747" s="3"/>
      <c r="GG747" s="3"/>
      <c r="GH747" s="3"/>
      <c r="GI747" s="3"/>
      <c r="GJ747" s="3"/>
      <c r="GK747" s="3"/>
      <c r="GL747" s="3"/>
      <c r="GM747" s="3"/>
      <c r="GN747" s="3"/>
      <c r="GO747" s="3"/>
      <c r="GP747" s="3"/>
      <c r="GQ747" s="3"/>
      <c r="GR747" s="3"/>
      <c r="GS747" s="3"/>
      <c r="GT747" s="3"/>
      <c r="GU747" s="3"/>
      <c r="GV747" s="3"/>
      <c r="GW747" s="3"/>
      <c r="GX747" s="3"/>
      <c r="GY747" s="3"/>
      <c r="GZ747" s="3"/>
      <c r="HA747" s="3"/>
      <c r="HB747" s="3"/>
    </row>
    <row r="748" spans="1:210" ht="15.75" customHeight="1">
      <c r="A748" s="50"/>
      <c r="B748" s="50"/>
      <c r="C748" s="50"/>
      <c r="D748" s="50"/>
      <c r="E748" s="50"/>
      <c r="F748" s="50"/>
      <c r="G748" s="51"/>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c r="AR748" s="50"/>
      <c r="AS748" s="50"/>
      <c r="AT748" s="50"/>
      <c r="AU748" s="50"/>
      <c r="AV748" s="50"/>
      <c r="AW748" s="50"/>
      <c r="AX748" s="50"/>
      <c r="AY748" s="50"/>
      <c r="AZ748" s="50"/>
      <c r="BA748" s="50"/>
      <c r="BB748" s="50"/>
      <c r="BC748" s="50"/>
      <c r="BD748" s="50"/>
      <c r="BE748" s="50"/>
      <c r="BF748" s="50"/>
      <c r="BG748" s="50"/>
      <c r="BH748" s="50"/>
      <c r="BI748" s="50"/>
      <c r="BJ748" s="50"/>
      <c r="BK748" s="50"/>
      <c r="BL748" s="50"/>
      <c r="BM748" s="50"/>
      <c r="BN748" s="50"/>
      <c r="BO748" s="50"/>
      <c r="BP748" s="50"/>
      <c r="BQ748" s="50"/>
      <c r="BR748" s="50"/>
      <c r="BS748" s="50"/>
      <c r="BT748" s="50"/>
      <c r="BU748" s="50"/>
      <c r="BV748" s="50"/>
      <c r="BW748" s="50"/>
      <c r="BX748" s="50"/>
      <c r="BY748" s="50"/>
      <c r="BZ748" s="50"/>
      <c r="CA748" s="50"/>
      <c r="CB748" s="50"/>
      <c r="CC748" s="50"/>
      <c r="CD748" s="52"/>
      <c r="CE748" s="50"/>
      <c r="CF748" s="50"/>
      <c r="CG748" s="50"/>
      <c r="CH748" s="50"/>
      <c r="CI748" s="50"/>
      <c r="CJ748" s="50"/>
      <c r="CK748" s="50"/>
      <c r="CL748" s="50"/>
      <c r="CM748" s="50"/>
      <c r="CN748" s="50"/>
      <c r="CO748" s="50"/>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c r="FF748" s="3"/>
      <c r="FG748" s="3"/>
      <c r="FH748" s="3"/>
      <c r="FI748" s="3"/>
      <c r="FJ748" s="3"/>
      <c r="FK748" s="3"/>
      <c r="FL748" s="3"/>
      <c r="FM748" s="3"/>
      <c r="FN748" s="3"/>
      <c r="FO748" s="3"/>
      <c r="FP748" s="3"/>
      <c r="FQ748" s="3"/>
      <c r="FR748" s="3"/>
      <c r="FS748" s="3"/>
      <c r="FT748" s="3"/>
      <c r="FU748" s="3"/>
      <c r="FV748" s="3"/>
      <c r="FW748" s="3"/>
      <c r="FX748" s="3"/>
      <c r="FY748" s="3"/>
      <c r="FZ748" s="3"/>
      <c r="GA748" s="3"/>
      <c r="GB748" s="3"/>
      <c r="GC748" s="3"/>
      <c r="GD748" s="3"/>
      <c r="GE748" s="3"/>
      <c r="GF748" s="3"/>
      <c r="GG748" s="3"/>
      <c r="GH748" s="3"/>
      <c r="GI748" s="3"/>
      <c r="GJ748" s="3"/>
      <c r="GK748" s="3"/>
      <c r="GL748" s="3"/>
      <c r="GM748" s="3"/>
      <c r="GN748" s="3"/>
      <c r="GO748" s="3"/>
      <c r="GP748" s="3"/>
      <c r="GQ748" s="3"/>
      <c r="GR748" s="3"/>
      <c r="GS748" s="3"/>
      <c r="GT748" s="3"/>
      <c r="GU748" s="3"/>
      <c r="GV748" s="3"/>
      <c r="GW748" s="3"/>
      <c r="GX748" s="3"/>
      <c r="GY748" s="3"/>
      <c r="GZ748" s="3"/>
      <c r="HA748" s="3"/>
      <c r="HB748" s="3"/>
    </row>
    <row r="749" spans="1:210" ht="15.75" customHeight="1">
      <c r="A749" s="50"/>
      <c r="B749" s="50"/>
      <c r="C749" s="50"/>
      <c r="D749" s="50"/>
      <c r="E749" s="50"/>
      <c r="F749" s="50"/>
      <c r="G749" s="51"/>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c r="AR749" s="50"/>
      <c r="AS749" s="50"/>
      <c r="AT749" s="50"/>
      <c r="AU749" s="50"/>
      <c r="AV749" s="50"/>
      <c r="AW749" s="50"/>
      <c r="AX749" s="50"/>
      <c r="AY749" s="50"/>
      <c r="AZ749" s="50"/>
      <c r="BA749" s="50"/>
      <c r="BB749" s="50"/>
      <c r="BC749" s="50"/>
      <c r="BD749" s="50"/>
      <c r="BE749" s="50"/>
      <c r="BF749" s="50"/>
      <c r="BG749" s="50"/>
      <c r="BH749" s="50"/>
      <c r="BI749" s="50"/>
      <c r="BJ749" s="50"/>
      <c r="BK749" s="50"/>
      <c r="BL749" s="50"/>
      <c r="BM749" s="50"/>
      <c r="BN749" s="50"/>
      <c r="BO749" s="50"/>
      <c r="BP749" s="50"/>
      <c r="BQ749" s="50"/>
      <c r="BR749" s="50"/>
      <c r="BS749" s="50"/>
      <c r="BT749" s="50"/>
      <c r="BU749" s="50"/>
      <c r="BV749" s="50"/>
      <c r="BW749" s="50"/>
      <c r="BX749" s="50"/>
      <c r="BY749" s="50"/>
      <c r="BZ749" s="50"/>
      <c r="CA749" s="50"/>
      <c r="CB749" s="50"/>
      <c r="CC749" s="50"/>
      <c r="CD749" s="52"/>
      <c r="CE749" s="50"/>
      <c r="CF749" s="50"/>
      <c r="CG749" s="50"/>
      <c r="CH749" s="50"/>
      <c r="CI749" s="50"/>
      <c r="CJ749" s="50"/>
      <c r="CK749" s="50"/>
      <c r="CL749" s="50"/>
      <c r="CM749" s="50"/>
      <c r="CN749" s="50"/>
      <c r="CO749" s="50"/>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c r="FF749" s="3"/>
      <c r="FG749" s="3"/>
      <c r="FH749" s="3"/>
      <c r="FI749" s="3"/>
      <c r="FJ749" s="3"/>
      <c r="FK749" s="3"/>
      <c r="FL749" s="3"/>
      <c r="FM749" s="3"/>
      <c r="FN749" s="3"/>
      <c r="FO749" s="3"/>
      <c r="FP749" s="3"/>
      <c r="FQ749" s="3"/>
      <c r="FR749" s="3"/>
      <c r="FS749" s="3"/>
      <c r="FT749" s="3"/>
      <c r="FU749" s="3"/>
      <c r="FV749" s="3"/>
      <c r="FW749" s="3"/>
      <c r="FX749" s="3"/>
      <c r="FY749" s="3"/>
      <c r="FZ749" s="3"/>
      <c r="GA749" s="3"/>
      <c r="GB749" s="3"/>
      <c r="GC749" s="3"/>
      <c r="GD749" s="3"/>
      <c r="GE749" s="3"/>
      <c r="GF749" s="3"/>
      <c r="GG749" s="3"/>
      <c r="GH749" s="3"/>
      <c r="GI749" s="3"/>
      <c r="GJ749" s="3"/>
      <c r="GK749" s="3"/>
      <c r="GL749" s="3"/>
      <c r="GM749" s="3"/>
      <c r="GN749" s="3"/>
      <c r="GO749" s="3"/>
      <c r="GP749" s="3"/>
      <c r="GQ749" s="3"/>
      <c r="GR749" s="3"/>
      <c r="GS749" s="3"/>
      <c r="GT749" s="3"/>
      <c r="GU749" s="3"/>
      <c r="GV749" s="3"/>
      <c r="GW749" s="3"/>
      <c r="GX749" s="3"/>
      <c r="GY749" s="3"/>
      <c r="GZ749" s="3"/>
      <c r="HA749" s="3"/>
      <c r="HB749" s="3"/>
    </row>
    <row r="750" spans="1:210" ht="15.75" customHeight="1">
      <c r="A750" s="50"/>
      <c r="B750" s="50"/>
      <c r="C750" s="50"/>
      <c r="D750" s="50"/>
      <c r="E750" s="50"/>
      <c r="F750" s="50"/>
      <c r="G750" s="51"/>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c r="AR750" s="50"/>
      <c r="AS750" s="50"/>
      <c r="AT750" s="50"/>
      <c r="AU750" s="50"/>
      <c r="AV750" s="50"/>
      <c r="AW750" s="50"/>
      <c r="AX750" s="50"/>
      <c r="AY750" s="50"/>
      <c r="AZ750" s="50"/>
      <c r="BA750" s="50"/>
      <c r="BB750" s="50"/>
      <c r="BC750" s="50"/>
      <c r="BD750" s="50"/>
      <c r="BE750" s="50"/>
      <c r="BF750" s="50"/>
      <c r="BG750" s="50"/>
      <c r="BH750" s="50"/>
      <c r="BI750" s="50"/>
      <c r="BJ750" s="50"/>
      <c r="BK750" s="50"/>
      <c r="BL750" s="50"/>
      <c r="BM750" s="50"/>
      <c r="BN750" s="50"/>
      <c r="BO750" s="50"/>
      <c r="BP750" s="50"/>
      <c r="BQ750" s="50"/>
      <c r="BR750" s="50"/>
      <c r="BS750" s="50"/>
      <c r="BT750" s="50"/>
      <c r="BU750" s="50"/>
      <c r="BV750" s="50"/>
      <c r="BW750" s="50"/>
      <c r="BX750" s="50"/>
      <c r="BY750" s="50"/>
      <c r="BZ750" s="50"/>
      <c r="CA750" s="50"/>
      <c r="CB750" s="50"/>
      <c r="CC750" s="50"/>
      <c r="CD750" s="52"/>
      <c r="CE750" s="50"/>
      <c r="CF750" s="50"/>
      <c r="CG750" s="50"/>
      <c r="CH750" s="50"/>
      <c r="CI750" s="50"/>
      <c r="CJ750" s="50"/>
      <c r="CK750" s="50"/>
      <c r="CL750" s="50"/>
      <c r="CM750" s="50"/>
      <c r="CN750" s="50"/>
      <c r="CO750" s="50"/>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c r="FF750" s="3"/>
      <c r="FG750" s="3"/>
      <c r="FH750" s="3"/>
      <c r="FI750" s="3"/>
      <c r="FJ750" s="3"/>
      <c r="FK750" s="3"/>
      <c r="FL750" s="3"/>
      <c r="FM750" s="3"/>
      <c r="FN750" s="3"/>
      <c r="FO750" s="3"/>
      <c r="FP750" s="3"/>
      <c r="FQ750" s="3"/>
      <c r="FR750" s="3"/>
      <c r="FS750" s="3"/>
      <c r="FT750" s="3"/>
      <c r="FU750" s="3"/>
      <c r="FV750" s="3"/>
      <c r="FW750" s="3"/>
      <c r="FX750" s="3"/>
      <c r="FY750" s="3"/>
      <c r="FZ750" s="3"/>
      <c r="GA750" s="3"/>
      <c r="GB750" s="3"/>
      <c r="GC750" s="3"/>
      <c r="GD750" s="3"/>
      <c r="GE750" s="3"/>
      <c r="GF750" s="3"/>
      <c r="GG750" s="3"/>
      <c r="GH750" s="3"/>
      <c r="GI750" s="3"/>
      <c r="GJ750" s="3"/>
      <c r="GK750" s="3"/>
      <c r="GL750" s="3"/>
      <c r="GM750" s="3"/>
      <c r="GN750" s="3"/>
      <c r="GO750" s="3"/>
      <c r="GP750" s="3"/>
      <c r="GQ750" s="3"/>
      <c r="GR750" s="3"/>
      <c r="GS750" s="3"/>
      <c r="GT750" s="3"/>
      <c r="GU750" s="3"/>
      <c r="GV750" s="3"/>
      <c r="GW750" s="3"/>
      <c r="GX750" s="3"/>
      <c r="GY750" s="3"/>
      <c r="GZ750" s="3"/>
      <c r="HA750" s="3"/>
      <c r="HB750" s="3"/>
    </row>
    <row r="751" spans="1:210" ht="15.75" customHeight="1">
      <c r="A751" s="50"/>
      <c r="B751" s="50"/>
      <c r="C751" s="50"/>
      <c r="D751" s="50"/>
      <c r="E751" s="50"/>
      <c r="F751" s="50"/>
      <c r="G751" s="51"/>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c r="AR751" s="50"/>
      <c r="AS751" s="50"/>
      <c r="AT751" s="50"/>
      <c r="AU751" s="50"/>
      <c r="AV751" s="50"/>
      <c r="AW751" s="50"/>
      <c r="AX751" s="50"/>
      <c r="AY751" s="50"/>
      <c r="AZ751" s="50"/>
      <c r="BA751" s="50"/>
      <c r="BB751" s="50"/>
      <c r="BC751" s="50"/>
      <c r="BD751" s="50"/>
      <c r="BE751" s="50"/>
      <c r="BF751" s="50"/>
      <c r="BG751" s="50"/>
      <c r="BH751" s="50"/>
      <c r="BI751" s="50"/>
      <c r="BJ751" s="50"/>
      <c r="BK751" s="50"/>
      <c r="BL751" s="50"/>
      <c r="BM751" s="50"/>
      <c r="BN751" s="50"/>
      <c r="BO751" s="50"/>
      <c r="BP751" s="50"/>
      <c r="BQ751" s="50"/>
      <c r="BR751" s="50"/>
      <c r="BS751" s="50"/>
      <c r="BT751" s="50"/>
      <c r="BU751" s="50"/>
      <c r="BV751" s="50"/>
      <c r="BW751" s="50"/>
      <c r="BX751" s="50"/>
      <c r="BY751" s="50"/>
      <c r="BZ751" s="50"/>
      <c r="CA751" s="50"/>
      <c r="CB751" s="50"/>
      <c r="CC751" s="50"/>
      <c r="CD751" s="52"/>
      <c r="CE751" s="50"/>
      <c r="CF751" s="50"/>
      <c r="CG751" s="50"/>
      <c r="CH751" s="50"/>
      <c r="CI751" s="50"/>
      <c r="CJ751" s="50"/>
      <c r="CK751" s="50"/>
      <c r="CL751" s="50"/>
      <c r="CM751" s="50"/>
      <c r="CN751" s="50"/>
      <c r="CO751" s="50"/>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c r="FF751" s="3"/>
      <c r="FG751" s="3"/>
      <c r="FH751" s="3"/>
      <c r="FI751" s="3"/>
      <c r="FJ751" s="3"/>
      <c r="FK751" s="3"/>
      <c r="FL751" s="3"/>
      <c r="FM751" s="3"/>
      <c r="FN751" s="3"/>
      <c r="FO751" s="3"/>
      <c r="FP751" s="3"/>
      <c r="FQ751" s="3"/>
      <c r="FR751" s="3"/>
      <c r="FS751" s="3"/>
      <c r="FT751" s="3"/>
      <c r="FU751" s="3"/>
      <c r="FV751" s="3"/>
      <c r="FW751" s="3"/>
      <c r="FX751" s="3"/>
      <c r="FY751" s="3"/>
      <c r="FZ751" s="3"/>
      <c r="GA751" s="3"/>
      <c r="GB751" s="3"/>
      <c r="GC751" s="3"/>
      <c r="GD751" s="3"/>
      <c r="GE751" s="3"/>
      <c r="GF751" s="3"/>
      <c r="GG751" s="3"/>
      <c r="GH751" s="3"/>
      <c r="GI751" s="3"/>
      <c r="GJ751" s="3"/>
      <c r="GK751" s="3"/>
      <c r="GL751" s="3"/>
      <c r="GM751" s="3"/>
      <c r="GN751" s="3"/>
      <c r="GO751" s="3"/>
      <c r="GP751" s="3"/>
      <c r="GQ751" s="3"/>
      <c r="GR751" s="3"/>
      <c r="GS751" s="3"/>
      <c r="GT751" s="3"/>
      <c r="GU751" s="3"/>
      <c r="GV751" s="3"/>
      <c r="GW751" s="3"/>
      <c r="GX751" s="3"/>
      <c r="GY751" s="3"/>
      <c r="GZ751" s="3"/>
      <c r="HA751" s="3"/>
      <c r="HB751" s="3"/>
    </row>
    <row r="752" spans="1:210" ht="15.75" customHeight="1">
      <c r="A752" s="50"/>
      <c r="B752" s="50"/>
      <c r="C752" s="50"/>
      <c r="D752" s="50"/>
      <c r="E752" s="50"/>
      <c r="F752" s="50"/>
      <c r="G752" s="51"/>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c r="AR752" s="50"/>
      <c r="AS752" s="50"/>
      <c r="AT752" s="50"/>
      <c r="AU752" s="50"/>
      <c r="AV752" s="50"/>
      <c r="AW752" s="50"/>
      <c r="AX752" s="50"/>
      <c r="AY752" s="50"/>
      <c r="AZ752" s="50"/>
      <c r="BA752" s="50"/>
      <c r="BB752" s="50"/>
      <c r="BC752" s="50"/>
      <c r="BD752" s="50"/>
      <c r="BE752" s="50"/>
      <c r="BF752" s="50"/>
      <c r="BG752" s="50"/>
      <c r="BH752" s="50"/>
      <c r="BI752" s="50"/>
      <c r="BJ752" s="50"/>
      <c r="BK752" s="50"/>
      <c r="BL752" s="50"/>
      <c r="BM752" s="50"/>
      <c r="BN752" s="50"/>
      <c r="BO752" s="50"/>
      <c r="BP752" s="50"/>
      <c r="BQ752" s="50"/>
      <c r="BR752" s="50"/>
      <c r="BS752" s="50"/>
      <c r="BT752" s="50"/>
      <c r="BU752" s="50"/>
      <c r="BV752" s="50"/>
      <c r="BW752" s="50"/>
      <c r="BX752" s="50"/>
      <c r="BY752" s="50"/>
      <c r="BZ752" s="50"/>
      <c r="CA752" s="50"/>
      <c r="CB752" s="50"/>
      <c r="CC752" s="50"/>
      <c r="CD752" s="52"/>
      <c r="CE752" s="50"/>
      <c r="CF752" s="50"/>
      <c r="CG752" s="50"/>
      <c r="CH752" s="50"/>
      <c r="CI752" s="50"/>
      <c r="CJ752" s="50"/>
      <c r="CK752" s="50"/>
      <c r="CL752" s="50"/>
      <c r="CM752" s="50"/>
      <c r="CN752" s="50"/>
      <c r="CO752" s="50"/>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c r="FF752" s="3"/>
      <c r="FG752" s="3"/>
      <c r="FH752" s="3"/>
      <c r="FI752" s="3"/>
      <c r="FJ752" s="3"/>
      <c r="FK752" s="3"/>
      <c r="FL752" s="3"/>
      <c r="FM752" s="3"/>
      <c r="FN752" s="3"/>
      <c r="FO752" s="3"/>
      <c r="FP752" s="3"/>
      <c r="FQ752" s="3"/>
      <c r="FR752" s="3"/>
      <c r="FS752" s="3"/>
      <c r="FT752" s="3"/>
      <c r="FU752" s="3"/>
      <c r="FV752" s="3"/>
      <c r="FW752" s="3"/>
      <c r="FX752" s="3"/>
      <c r="FY752" s="3"/>
      <c r="FZ752" s="3"/>
      <c r="GA752" s="3"/>
      <c r="GB752" s="3"/>
      <c r="GC752" s="3"/>
      <c r="GD752" s="3"/>
      <c r="GE752" s="3"/>
      <c r="GF752" s="3"/>
      <c r="GG752" s="3"/>
      <c r="GH752" s="3"/>
      <c r="GI752" s="3"/>
      <c r="GJ752" s="3"/>
      <c r="GK752" s="3"/>
      <c r="GL752" s="3"/>
      <c r="GM752" s="3"/>
      <c r="GN752" s="3"/>
      <c r="GO752" s="3"/>
      <c r="GP752" s="3"/>
      <c r="GQ752" s="3"/>
      <c r="GR752" s="3"/>
      <c r="GS752" s="3"/>
      <c r="GT752" s="3"/>
      <c r="GU752" s="3"/>
      <c r="GV752" s="3"/>
      <c r="GW752" s="3"/>
      <c r="GX752" s="3"/>
      <c r="GY752" s="3"/>
      <c r="GZ752" s="3"/>
      <c r="HA752" s="3"/>
      <c r="HB752" s="3"/>
    </row>
    <row r="753" spans="1:210" ht="15.75" customHeight="1">
      <c r="A753" s="50"/>
      <c r="B753" s="50"/>
      <c r="C753" s="50"/>
      <c r="D753" s="50"/>
      <c r="E753" s="50"/>
      <c r="F753" s="50"/>
      <c r="G753" s="51"/>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c r="AS753" s="50"/>
      <c r="AT753" s="50"/>
      <c r="AU753" s="50"/>
      <c r="AV753" s="50"/>
      <c r="AW753" s="50"/>
      <c r="AX753" s="50"/>
      <c r="AY753" s="50"/>
      <c r="AZ753" s="50"/>
      <c r="BA753" s="50"/>
      <c r="BB753" s="50"/>
      <c r="BC753" s="50"/>
      <c r="BD753" s="50"/>
      <c r="BE753" s="50"/>
      <c r="BF753" s="50"/>
      <c r="BG753" s="50"/>
      <c r="BH753" s="50"/>
      <c r="BI753" s="50"/>
      <c r="BJ753" s="50"/>
      <c r="BK753" s="50"/>
      <c r="BL753" s="50"/>
      <c r="BM753" s="50"/>
      <c r="BN753" s="50"/>
      <c r="BO753" s="50"/>
      <c r="BP753" s="50"/>
      <c r="BQ753" s="50"/>
      <c r="BR753" s="50"/>
      <c r="BS753" s="50"/>
      <c r="BT753" s="50"/>
      <c r="BU753" s="50"/>
      <c r="BV753" s="50"/>
      <c r="BW753" s="50"/>
      <c r="BX753" s="50"/>
      <c r="BY753" s="50"/>
      <c r="BZ753" s="50"/>
      <c r="CA753" s="50"/>
      <c r="CB753" s="50"/>
      <c r="CC753" s="50"/>
      <c r="CD753" s="52"/>
      <c r="CE753" s="50"/>
      <c r="CF753" s="50"/>
      <c r="CG753" s="50"/>
      <c r="CH753" s="50"/>
      <c r="CI753" s="50"/>
      <c r="CJ753" s="50"/>
      <c r="CK753" s="50"/>
      <c r="CL753" s="50"/>
      <c r="CM753" s="50"/>
      <c r="CN753" s="50"/>
      <c r="CO753" s="50"/>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c r="FF753" s="3"/>
      <c r="FG753" s="3"/>
      <c r="FH753" s="3"/>
      <c r="FI753" s="3"/>
      <c r="FJ753" s="3"/>
      <c r="FK753" s="3"/>
      <c r="FL753" s="3"/>
      <c r="FM753" s="3"/>
      <c r="FN753" s="3"/>
      <c r="FO753" s="3"/>
      <c r="FP753" s="3"/>
      <c r="FQ753" s="3"/>
      <c r="FR753" s="3"/>
      <c r="FS753" s="3"/>
      <c r="FT753" s="3"/>
      <c r="FU753" s="3"/>
      <c r="FV753" s="3"/>
      <c r="FW753" s="3"/>
      <c r="FX753" s="3"/>
      <c r="FY753" s="3"/>
      <c r="FZ753" s="3"/>
      <c r="GA753" s="3"/>
      <c r="GB753" s="3"/>
      <c r="GC753" s="3"/>
      <c r="GD753" s="3"/>
      <c r="GE753" s="3"/>
      <c r="GF753" s="3"/>
      <c r="GG753" s="3"/>
      <c r="GH753" s="3"/>
      <c r="GI753" s="3"/>
      <c r="GJ753" s="3"/>
      <c r="GK753" s="3"/>
      <c r="GL753" s="3"/>
      <c r="GM753" s="3"/>
      <c r="GN753" s="3"/>
      <c r="GO753" s="3"/>
      <c r="GP753" s="3"/>
      <c r="GQ753" s="3"/>
      <c r="GR753" s="3"/>
      <c r="GS753" s="3"/>
      <c r="GT753" s="3"/>
      <c r="GU753" s="3"/>
      <c r="GV753" s="3"/>
      <c r="GW753" s="3"/>
      <c r="GX753" s="3"/>
      <c r="GY753" s="3"/>
      <c r="GZ753" s="3"/>
      <c r="HA753" s="3"/>
      <c r="HB753" s="3"/>
    </row>
    <row r="754" spans="1:210" ht="15.75" customHeight="1">
      <c r="A754" s="50"/>
      <c r="B754" s="50"/>
      <c r="C754" s="50"/>
      <c r="D754" s="50"/>
      <c r="E754" s="50"/>
      <c r="F754" s="50"/>
      <c r="G754" s="51"/>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c r="AS754" s="50"/>
      <c r="AT754" s="50"/>
      <c r="AU754" s="50"/>
      <c r="AV754" s="50"/>
      <c r="AW754" s="50"/>
      <c r="AX754" s="50"/>
      <c r="AY754" s="50"/>
      <c r="AZ754" s="50"/>
      <c r="BA754" s="50"/>
      <c r="BB754" s="50"/>
      <c r="BC754" s="50"/>
      <c r="BD754" s="50"/>
      <c r="BE754" s="50"/>
      <c r="BF754" s="50"/>
      <c r="BG754" s="50"/>
      <c r="BH754" s="50"/>
      <c r="BI754" s="50"/>
      <c r="BJ754" s="50"/>
      <c r="BK754" s="50"/>
      <c r="BL754" s="50"/>
      <c r="BM754" s="50"/>
      <c r="BN754" s="50"/>
      <c r="BO754" s="50"/>
      <c r="BP754" s="50"/>
      <c r="BQ754" s="50"/>
      <c r="BR754" s="50"/>
      <c r="BS754" s="50"/>
      <c r="BT754" s="50"/>
      <c r="BU754" s="50"/>
      <c r="BV754" s="50"/>
      <c r="BW754" s="50"/>
      <c r="BX754" s="50"/>
      <c r="BY754" s="50"/>
      <c r="BZ754" s="50"/>
      <c r="CA754" s="50"/>
      <c r="CB754" s="50"/>
      <c r="CC754" s="50"/>
      <c r="CD754" s="52"/>
      <c r="CE754" s="50"/>
      <c r="CF754" s="50"/>
      <c r="CG754" s="50"/>
      <c r="CH754" s="50"/>
      <c r="CI754" s="50"/>
      <c r="CJ754" s="50"/>
      <c r="CK754" s="50"/>
      <c r="CL754" s="50"/>
      <c r="CM754" s="50"/>
      <c r="CN754" s="50"/>
      <c r="CO754" s="50"/>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c r="FF754" s="3"/>
      <c r="FG754" s="3"/>
      <c r="FH754" s="3"/>
      <c r="FI754" s="3"/>
      <c r="FJ754" s="3"/>
      <c r="FK754" s="3"/>
      <c r="FL754" s="3"/>
      <c r="FM754" s="3"/>
      <c r="FN754" s="3"/>
      <c r="FO754" s="3"/>
      <c r="FP754" s="3"/>
      <c r="FQ754" s="3"/>
      <c r="FR754" s="3"/>
      <c r="FS754" s="3"/>
      <c r="FT754" s="3"/>
      <c r="FU754" s="3"/>
      <c r="FV754" s="3"/>
      <c r="FW754" s="3"/>
      <c r="FX754" s="3"/>
      <c r="FY754" s="3"/>
      <c r="FZ754" s="3"/>
      <c r="GA754" s="3"/>
      <c r="GB754" s="3"/>
      <c r="GC754" s="3"/>
      <c r="GD754" s="3"/>
      <c r="GE754" s="3"/>
      <c r="GF754" s="3"/>
      <c r="GG754" s="3"/>
      <c r="GH754" s="3"/>
      <c r="GI754" s="3"/>
      <c r="GJ754" s="3"/>
      <c r="GK754" s="3"/>
      <c r="GL754" s="3"/>
      <c r="GM754" s="3"/>
      <c r="GN754" s="3"/>
      <c r="GO754" s="3"/>
      <c r="GP754" s="3"/>
      <c r="GQ754" s="3"/>
      <c r="GR754" s="3"/>
      <c r="GS754" s="3"/>
      <c r="GT754" s="3"/>
      <c r="GU754" s="3"/>
      <c r="GV754" s="3"/>
      <c r="GW754" s="3"/>
      <c r="GX754" s="3"/>
      <c r="GY754" s="3"/>
      <c r="GZ754" s="3"/>
      <c r="HA754" s="3"/>
      <c r="HB754" s="3"/>
    </row>
    <row r="755" spans="1:210" ht="15.75" customHeight="1">
      <c r="A755" s="50"/>
      <c r="B755" s="50"/>
      <c r="C755" s="50"/>
      <c r="D755" s="50"/>
      <c r="E755" s="50"/>
      <c r="F755" s="50"/>
      <c r="G755" s="51"/>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c r="AS755" s="50"/>
      <c r="AT755" s="50"/>
      <c r="AU755" s="50"/>
      <c r="AV755" s="50"/>
      <c r="AW755" s="50"/>
      <c r="AX755" s="50"/>
      <c r="AY755" s="50"/>
      <c r="AZ755" s="50"/>
      <c r="BA755" s="50"/>
      <c r="BB755" s="50"/>
      <c r="BC755" s="50"/>
      <c r="BD755" s="50"/>
      <c r="BE755" s="50"/>
      <c r="BF755" s="50"/>
      <c r="BG755" s="50"/>
      <c r="BH755" s="50"/>
      <c r="BI755" s="50"/>
      <c r="BJ755" s="50"/>
      <c r="BK755" s="50"/>
      <c r="BL755" s="50"/>
      <c r="BM755" s="50"/>
      <c r="BN755" s="50"/>
      <c r="BO755" s="50"/>
      <c r="BP755" s="50"/>
      <c r="BQ755" s="50"/>
      <c r="BR755" s="50"/>
      <c r="BS755" s="50"/>
      <c r="BT755" s="50"/>
      <c r="BU755" s="50"/>
      <c r="BV755" s="50"/>
      <c r="BW755" s="50"/>
      <c r="BX755" s="50"/>
      <c r="BY755" s="50"/>
      <c r="BZ755" s="50"/>
      <c r="CA755" s="50"/>
      <c r="CB755" s="50"/>
      <c r="CC755" s="50"/>
      <c r="CD755" s="52"/>
      <c r="CE755" s="50"/>
      <c r="CF755" s="50"/>
      <c r="CG755" s="50"/>
      <c r="CH755" s="50"/>
      <c r="CI755" s="50"/>
      <c r="CJ755" s="50"/>
      <c r="CK755" s="50"/>
      <c r="CL755" s="50"/>
      <c r="CM755" s="50"/>
      <c r="CN755" s="50"/>
      <c r="CO755" s="50"/>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c r="FF755" s="3"/>
      <c r="FG755" s="3"/>
      <c r="FH755" s="3"/>
      <c r="FI755" s="3"/>
      <c r="FJ755" s="3"/>
      <c r="FK755" s="3"/>
      <c r="FL755" s="3"/>
      <c r="FM755" s="3"/>
      <c r="FN755" s="3"/>
      <c r="FO755" s="3"/>
      <c r="FP755" s="3"/>
      <c r="FQ755" s="3"/>
      <c r="FR755" s="3"/>
      <c r="FS755" s="3"/>
      <c r="FT755" s="3"/>
      <c r="FU755" s="3"/>
      <c r="FV755" s="3"/>
      <c r="FW755" s="3"/>
      <c r="FX755" s="3"/>
      <c r="FY755" s="3"/>
      <c r="FZ755" s="3"/>
      <c r="GA755" s="3"/>
      <c r="GB755" s="3"/>
      <c r="GC755" s="3"/>
      <c r="GD755" s="3"/>
      <c r="GE755" s="3"/>
      <c r="GF755" s="3"/>
      <c r="GG755" s="3"/>
      <c r="GH755" s="3"/>
      <c r="GI755" s="3"/>
      <c r="GJ755" s="3"/>
      <c r="GK755" s="3"/>
      <c r="GL755" s="3"/>
      <c r="GM755" s="3"/>
      <c r="GN755" s="3"/>
      <c r="GO755" s="3"/>
      <c r="GP755" s="3"/>
      <c r="GQ755" s="3"/>
      <c r="GR755" s="3"/>
      <c r="GS755" s="3"/>
      <c r="GT755" s="3"/>
      <c r="GU755" s="3"/>
      <c r="GV755" s="3"/>
      <c r="GW755" s="3"/>
      <c r="GX755" s="3"/>
      <c r="GY755" s="3"/>
      <c r="GZ755" s="3"/>
      <c r="HA755" s="3"/>
      <c r="HB755" s="3"/>
    </row>
    <row r="756" spans="1:210" ht="15.75" customHeight="1">
      <c r="A756" s="50"/>
      <c r="B756" s="50"/>
      <c r="C756" s="50"/>
      <c r="D756" s="50"/>
      <c r="E756" s="50"/>
      <c r="F756" s="50"/>
      <c r="G756" s="51"/>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c r="AS756" s="50"/>
      <c r="AT756" s="50"/>
      <c r="AU756" s="50"/>
      <c r="AV756" s="50"/>
      <c r="AW756" s="50"/>
      <c r="AX756" s="50"/>
      <c r="AY756" s="50"/>
      <c r="AZ756" s="50"/>
      <c r="BA756" s="50"/>
      <c r="BB756" s="50"/>
      <c r="BC756" s="50"/>
      <c r="BD756" s="50"/>
      <c r="BE756" s="50"/>
      <c r="BF756" s="50"/>
      <c r="BG756" s="50"/>
      <c r="BH756" s="50"/>
      <c r="BI756" s="50"/>
      <c r="BJ756" s="50"/>
      <c r="BK756" s="50"/>
      <c r="BL756" s="50"/>
      <c r="BM756" s="50"/>
      <c r="BN756" s="50"/>
      <c r="BO756" s="50"/>
      <c r="BP756" s="50"/>
      <c r="BQ756" s="50"/>
      <c r="BR756" s="50"/>
      <c r="BS756" s="50"/>
      <c r="BT756" s="50"/>
      <c r="BU756" s="50"/>
      <c r="BV756" s="50"/>
      <c r="BW756" s="50"/>
      <c r="BX756" s="50"/>
      <c r="BY756" s="50"/>
      <c r="BZ756" s="50"/>
      <c r="CA756" s="50"/>
      <c r="CB756" s="50"/>
      <c r="CC756" s="50"/>
      <c r="CD756" s="52"/>
      <c r="CE756" s="50"/>
      <c r="CF756" s="50"/>
      <c r="CG756" s="50"/>
      <c r="CH756" s="50"/>
      <c r="CI756" s="50"/>
      <c r="CJ756" s="50"/>
      <c r="CK756" s="50"/>
      <c r="CL756" s="50"/>
      <c r="CM756" s="50"/>
      <c r="CN756" s="50"/>
      <c r="CO756" s="50"/>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c r="FF756" s="3"/>
      <c r="FG756" s="3"/>
      <c r="FH756" s="3"/>
      <c r="FI756" s="3"/>
      <c r="FJ756" s="3"/>
      <c r="FK756" s="3"/>
      <c r="FL756" s="3"/>
      <c r="FM756" s="3"/>
      <c r="FN756" s="3"/>
      <c r="FO756" s="3"/>
      <c r="FP756" s="3"/>
      <c r="FQ756" s="3"/>
      <c r="FR756" s="3"/>
      <c r="FS756" s="3"/>
      <c r="FT756" s="3"/>
      <c r="FU756" s="3"/>
      <c r="FV756" s="3"/>
      <c r="FW756" s="3"/>
      <c r="FX756" s="3"/>
      <c r="FY756" s="3"/>
      <c r="FZ756" s="3"/>
      <c r="GA756" s="3"/>
      <c r="GB756" s="3"/>
      <c r="GC756" s="3"/>
      <c r="GD756" s="3"/>
      <c r="GE756" s="3"/>
      <c r="GF756" s="3"/>
      <c r="GG756" s="3"/>
      <c r="GH756" s="3"/>
      <c r="GI756" s="3"/>
      <c r="GJ756" s="3"/>
      <c r="GK756" s="3"/>
      <c r="GL756" s="3"/>
      <c r="GM756" s="3"/>
      <c r="GN756" s="3"/>
      <c r="GO756" s="3"/>
      <c r="GP756" s="3"/>
      <c r="GQ756" s="3"/>
      <c r="GR756" s="3"/>
      <c r="GS756" s="3"/>
      <c r="GT756" s="3"/>
      <c r="GU756" s="3"/>
      <c r="GV756" s="3"/>
      <c r="GW756" s="3"/>
      <c r="GX756" s="3"/>
      <c r="GY756" s="3"/>
      <c r="GZ756" s="3"/>
      <c r="HA756" s="3"/>
      <c r="HB756" s="3"/>
    </row>
    <row r="757" spans="1:210" ht="15.75" customHeight="1">
      <c r="A757" s="50"/>
      <c r="B757" s="50"/>
      <c r="C757" s="50"/>
      <c r="D757" s="50"/>
      <c r="E757" s="50"/>
      <c r="F757" s="50"/>
      <c r="G757" s="51"/>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c r="AS757" s="50"/>
      <c r="AT757" s="50"/>
      <c r="AU757" s="50"/>
      <c r="AV757" s="50"/>
      <c r="AW757" s="50"/>
      <c r="AX757" s="50"/>
      <c r="AY757" s="50"/>
      <c r="AZ757" s="50"/>
      <c r="BA757" s="50"/>
      <c r="BB757" s="50"/>
      <c r="BC757" s="50"/>
      <c r="BD757" s="50"/>
      <c r="BE757" s="50"/>
      <c r="BF757" s="50"/>
      <c r="BG757" s="50"/>
      <c r="BH757" s="50"/>
      <c r="BI757" s="50"/>
      <c r="BJ757" s="50"/>
      <c r="BK757" s="50"/>
      <c r="BL757" s="50"/>
      <c r="BM757" s="50"/>
      <c r="BN757" s="50"/>
      <c r="BO757" s="50"/>
      <c r="BP757" s="50"/>
      <c r="BQ757" s="50"/>
      <c r="BR757" s="50"/>
      <c r="BS757" s="50"/>
      <c r="BT757" s="50"/>
      <c r="BU757" s="50"/>
      <c r="BV757" s="50"/>
      <c r="BW757" s="50"/>
      <c r="BX757" s="50"/>
      <c r="BY757" s="50"/>
      <c r="BZ757" s="50"/>
      <c r="CA757" s="50"/>
      <c r="CB757" s="50"/>
      <c r="CC757" s="50"/>
      <c r="CD757" s="52"/>
      <c r="CE757" s="50"/>
      <c r="CF757" s="50"/>
      <c r="CG757" s="50"/>
      <c r="CH757" s="50"/>
      <c r="CI757" s="50"/>
      <c r="CJ757" s="50"/>
      <c r="CK757" s="50"/>
      <c r="CL757" s="50"/>
      <c r="CM757" s="50"/>
      <c r="CN757" s="50"/>
      <c r="CO757" s="50"/>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c r="FF757" s="3"/>
      <c r="FG757" s="3"/>
      <c r="FH757" s="3"/>
      <c r="FI757" s="3"/>
      <c r="FJ757" s="3"/>
      <c r="FK757" s="3"/>
      <c r="FL757" s="3"/>
      <c r="FM757" s="3"/>
      <c r="FN757" s="3"/>
      <c r="FO757" s="3"/>
      <c r="FP757" s="3"/>
      <c r="FQ757" s="3"/>
      <c r="FR757" s="3"/>
      <c r="FS757" s="3"/>
      <c r="FT757" s="3"/>
      <c r="FU757" s="3"/>
      <c r="FV757" s="3"/>
      <c r="FW757" s="3"/>
      <c r="FX757" s="3"/>
      <c r="FY757" s="3"/>
      <c r="FZ757" s="3"/>
      <c r="GA757" s="3"/>
      <c r="GB757" s="3"/>
      <c r="GC757" s="3"/>
      <c r="GD757" s="3"/>
      <c r="GE757" s="3"/>
      <c r="GF757" s="3"/>
      <c r="GG757" s="3"/>
      <c r="GH757" s="3"/>
      <c r="GI757" s="3"/>
      <c r="GJ757" s="3"/>
      <c r="GK757" s="3"/>
      <c r="GL757" s="3"/>
      <c r="GM757" s="3"/>
      <c r="GN757" s="3"/>
      <c r="GO757" s="3"/>
      <c r="GP757" s="3"/>
      <c r="GQ757" s="3"/>
      <c r="GR757" s="3"/>
      <c r="GS757" s="3"/>
      <c r="GT757" s="3"/>
      <c r="GU757" s="3"/>
      <c r="GV757" s="3"/>
      <c r="GW757" s="3"/>
      <c r="GX757" s="3"/>
      <c r="GY757" s="3"/>
      <c r="GZ757" s="3"/>
      <c r="HA757" s="3"/>
      <c r="HB757" s="3"/>
    </row>
    <row r="758" spans="1:210" ht="15.75" customHeight="1">
      <c r="A758" s="50"/>
      <c r="B758" s="50"/>
      <c r="C758" s="50"/>
      <c r="D758" s="50"/>
      <c r="E758" s="50"/>
      <c r="F758" s="50"/>
      <c r="G758" s="51"/>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c r="AS758" s="50"/>
      <c r="AT758" s="50"/>
      <c r="AU758" s="50"/>
      <c r="AV758" s="50"/>
      <c r="AW758" s="50"/>
      <c r="AX758" s="50"/>
      <c r="AY758" s="50"/>
      <c r="AZ758" s="50"/>
      <c r="BA758" s="50"/>
      <c r="BB758" s="50"/>
      <c r="BC758" s="50"/>
      <c r="BD758" s="50"/>
      <c r="BE758" s="50"/>
      <c r="BF758" s="50"/>
      <c r="BG758" s="50"/>
      <c r="BH758" s="50"/>
      <c r="BI758" s="50"/>
      <c r="BJ758" s="50"/>
      <c r="BK758" s="50"/>
      <c r="BL758" s="50"/>
      <c r="BM758" s="50"/>
      <c r="BN758" s="50"/>
      <c r="BO758" s="50"/>
      <c r="BP758" s="50"/>
      <c r="BQ758" s="50"/>
      <c r="BR758" s="50"/>
      <c r="BS758" s="50"/>
      <c r="BT758" s="50"/>
      <c r="BU758" s="50"/>
      <c r="BV758" s="50"/>
      <c r="BW758" s="50"/>
      <c r="BX758" s="50"/>
      <c r="BY758" s="50"/>
      <c r="BZ758" s="50"/>
      <c r="CA758" s="50"/>
      <c r="CB758" s="50"/>
      <c r="CC758" s="50"/>
      <c r="CD758" s="52"/>
      <c r="CE758" s="50"/>
      <c r="CF758" s="50"/>
      <c r="CG758" s="50"/>
      <c r="CH758" s="50"/>
      <c r="CI758" s="50"/>
      <c r="CJ758" s="50"/>
      <c r="CK758" s="50"/>
      <c r="CL758" s="50"/>
      <c r="CM758" s="50"/>
      <c r="CN758" s="50"/>
      <c r="CO758" s="50"/>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c r="FF758" s="3"/>
      <c r="FG758" s="3"/>
      <c r="FH758" s="3"/>
      <c r="FI758" s="3"/>
      <c r="FJ758" s="3"/>
      <c r="FK758" s="3"/>
      <c r="FL758" s="3"/>
      <c r="FM758" s="3"/>
      <c r="FN758" s="3"/>
      <c r="FO758" s="3"/>
      <c r="FP758" s="3"/>
      <c r="FQ758" s="3"/>
      <c r="FR758" s="3"/>
      <c r="FS758" s="3"/>
      <c r="FT758" s="3"/>
      <c r="FU758" s="3"/>
      <c r="FV758" s="3"/>
      <c r="FW758" s="3"/>
      <c r="FX758" s="3"/>
      <c r="FY758" s="3"/>
      <c r="FZ758" s="3"/>
      <c r="GA758" s="3"/>
      <c r="GB758" s="3"/>
      <c r="GC758" s="3"/>
      <c r="GD758" s="3"/>
      <c r="GE758" s="3"/>
      <c r="GF758" s="3"/>
      <c r="GG758" s="3"/>
      <c r="GH758" s="3"/>
      <c r="GI758" s="3"/>
      <c r="GJ758" s="3"/>
      <c r="GK758" s="3"/>
      <c r="GL758" s="3"/>
      <c r="GM758" s="3"/>
      <c r="GN758" s="3"/>
      <c r="GO758" s="3"/>
      <c r="GP758" s="3"/>
      <c r="GQ758" s="3"/>
      <c r="GR758" s="3"/>
      <c r="GS758" s="3"/>
      <c r="GT758" s="3"/>
      <c r="GU758" s="3"/>
      <c r="GV758" s="3"/>
      <c r="GW758" s="3"/>
      <c r="GX758" s="3"/>
      <c r="GY758" s="3"/>
      <c r="GZ758" s="3"/>
      <c r="HA758" s="3"/>
      <c r="HB758" s="3"/>
    </row>
    <row r="759" spans="1:210" ht="15.75" customHeight="1">
      <c r="A759" s="50"/>
      <c r="B759" s="50"/>
      <c r="C759" s="50"/>
      <c r="D759" s="50"/>
      <c r="E759" s="50"/>
      <c r="F759" s="50"/>
      <c r="G759" s="51"/>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c r="AS759" s="50"/>
      <c r="AT759" s="50"/>
      <c r="AU759" s="50"/>
      <c r="AV759" s="50"/>
      <c r="AW759" s="50"/>
      <c r="AX759" s="50"/>
      <c r="AY759" s="50"/>
      <c r="AZ759" s="50"/>
      <c r="BA759" s="50"/>
      <c r="BB759" s="50"/>
      <c r="BC759" s="50"/>
      <c r="BD759" s="50"/>
      <c r="BE759" s="50"/>
      <c r="BF759" s="50"/>
      <c r="BG759" s="50"/>
      <c r="BH759" s="50"/>
      <c r="BI759" s="50"/>
      <c r="BJ759" s="50"/>
      <c r="BK759" s="50"/>
      <c r="BL759" s="50"/>
      <c r="BM759" s="50"/>
      <c r="BN759" s="50"/>
      <c r="BO759" s="50"/>
      <c r="BP759" s="50"/>
      <c r="BQ759" s="50"/>
      <c r="BR759" s="50"/>
      <c r="BS759" s="50"/>
      <c r="BT759" s="50"/>
      <c r="BU759" s="50"/>
      <c r="BV759" s="50"/>
      <c r="BW759" s="50"/>
      <c r="BX759" s="50"/>
      <c r="BY759" s="50"/>
      <c r="BZ759" s="50"/>
      <c r="CA759" s="50"/>
      <c r="CB759" s="50"/>
      <c r="CC759" s="50"/>
      <c r="CD759" s="52"/>
      <c r="CE759" s="50"/>
      <c r="CF759" s="50"/>
      <c r="CG759" s="50"/>
      <c r="CH759" s="50"/>
      <c r="CI759" s="50"/>
      <c r="CJ759" s="50"/>
      <c r="CK759" s="50"/>
      <c r="CL759" s="50"/>
      <c r="CM759" s="50"/>
      <c r="CN759" s="50"/>
      <c r="CO759" s="50"/>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c r="FF759" s="3"/>
      <c r="FG759" s="3"/>
      <c r="FH759" s="3"/>
      <c r="FI759" s="3"/>
      <c r="FJ759" s="3"/>
      <c r="FK759" s="3"/>
      <c r="FL759" s="3"/>
      <c r="FM759" s="3"/>
      <c r="FN759" s="3"/>
      <c r="FO759" s="3"/>
      <c r="FP759" s="3"/>
      <c r="FQ759" s="3"/>
      <c r="FR759" s="3"/>
      <c r="FS759" s="3"/>
      <c r="FT759" s="3"/>
      <c r="FU759" s="3"/>
      <c r="FV759" s="3"/>
      <c r="FW759" s="3"/>
      <c r="FX759" s="3"/>
      <c r="FY759" s="3"/>
      <c r="FZ759" s="3"/>
      <c r="GA759" s="3"/>
      <c r="GB759" s="3"/>
      <c r="GC759" s="3"/>
      <c r="GD759" s="3"/>
      <c r="GE759" s="3"/>
      <c r="GF759" s="3"/>
      <c r="GG759" s="3"/>
      <c r="GH759" s="3"/>
      <c r="GI759" s="3"/>
      <c r="GJ759" s="3"/>
      <c r="GK759" s="3"/>
      <c r="GL759" s="3"/>
      <c r="GM759" s="3"/>
      <c r="GN759" s="3"/>
      <c r="GO759" s="3"/>
      <c r="GP759" s="3"/>
      <c r="GQ759" s="3"/>
      <c r="GR759" s="3"/>
      <c r="GS759" s="3"/>
      <c r="GT759" s="3"/>
      <c r="GU759" s="3"/>
      <c r="GV759" s="3"/>
      <c r="GW759" s="3"/>
      <c r="GX759" s="3"/>
      <c r="GY759" s="3"/>
      <c r="GZ759" s="3"/>
      <c r="HA759" s="3"/>
      <c r="HB759" s="3"/>
    </row>
    <row r="760" spans="1:210" ht="15.75" customHeight="1">
      <c r="A760" s="50"/>
      <c r="B760" s="50"/>
      <c r="C760" s="50"/>
      <c r="D760" s="50"/>
      <c r="E760" s="50"/>
      <c r="F760" s="50"/>
      <c r="G760" s="51"/>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c r="AS760" s="50"/>
      <c r="AT760" s="50"/>
      <c r="AU760" s="50"/>
      <c r="AV760" s="50"/>
      <c r="AW760" s="50"/>
      <c r="AX760" s="50"/>
      <c r="AY760" s="50"/>
      <c r="AZ760" s="50"/>
      <c r="BA760" s="50"/>
      <c r="BB760" s="50"/>
      <c r="BC760" s="50"/>
      <c r="BD760" s="50"/>
      <c r="BE760" s="50"/>
      <c r="BF760" s="50"/>
      <c r="BG760" s="50"/>
      <c r="BH760" s="50"/>
      <c r="BI760" s="50"/>
      <c r="BJ760" s="50"/>
      <c r="BK760" s="50"/>
      <c r="BL760" s="50"/>
      <c r="BM760" s="50"/>
      <c r="BN760" s="50"/>
      <c r="BO760" s="50"/>
      <c r="BP760" s="50"/>
      <c r="BQ760" s="50"/>
      <c r="BR760" s="50"/>
      <c r="BS760" s="50"/>
      <c r="BT760" s="50"/>
      <c r="BU760" s="50"/>
      <c r="BV760" s="50"/>
      <c r="BW760" s="50"/>
      <c r="BX760" s="50"/>
      <c r="BY760" s="50"/>
      <c r="BZ760" s="50"/>
      <c r="CA760" s="50"/>
      <c r="CB760" s="50"/>
      <c r="CC760" s="50"/>
      <c r="CD760" s="52"/>
      <c r="CE760" s="50"/>
      <c r="CF760" s="50"/>
      <c r="CG760" s="50"/>
      <c r="CH760" s="50"/>
      <c r="CI760" s="50"/>
      <c r="CJ760" s="50"/>
      <c r="CK760" s="50"/>
      <c r="CL760" s="50"/>
      <c r="CM760" s="50"/>
      <c r="CN760" s="50"/>
      <c r="CO760" s="50"/>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c r="FF760" s="3"/>
      <c r="FG760" s="3"/>
      <c r="FH760" s="3"/>
      <c r="FI760" s="3"/>
      <c r="FJ760" s="3"/>
      <c r="FK760" s="3"/>
      <c r="FL760" s="3"/>
      <c r="FM760" s="3"/>
      <c r="FN760" s="3"/>
      <c r="FO760" s="3"/>
      <c r="FP760" s="3"/>
      <c r="FQ760" s="3"/>
      <c r="FR760" s="3"/>
      <c r="FS760" s="3"/>
      <c r="FT760" s="3"/>
      <c r="FU760" s="3"/>
      <c r="FV760" s="3"/>
      <c r="FW760" s="3"/>
      <c r="FX760" s="3"/>
      <c r="FY760" s="3"/>
      <c r="FZ760" s="3"/>
      <c r="GA760" s="3"/>
      <c r="GB760" s="3"/>
      <c r="GC760" s="3"/>
      <c r="GD760" s="3"/>
      <c r="GE760" s="3"/>
      <c r="GF760" s="3"/>
      <c r="GG760" s="3"/>
      <c r="GH760" s="3"/>
      <c r="GI760" s="3"/>
      <c r="GJ760" s="3"/>
      <c r="GK760" s="3"/>
      <c r="GL760" s="3"/>
      <c r="GM760" s="3"/>
      <c r="GN760" s="3"/>
      <c r="GO760" s="3"/>
      <c r="GP760" s="3"/>
      <c r="GQ760" s="3"/>
      <c r="GR760" s="3"/>
      <c r="GS760" s="3"/>
      <c r="GT760" s="3"/>
      <c r="GU760" s="3"/>
      <c r="GV760" s="3"/>
      <c r="GW760" s="3"/>
      <c r="GX760" s="3"/>
      <c r="GY760" s="3"/>
      <c r="GZ760" s="3"/>
      <c r="HA760" s="3"/>
      <c r="HB760" s="3"/>
    </row>
    <row r="761" spans="1:210" ht="15.75" customHeight="1">
      <c r="A761" s="50"/>
      <c r="B761" s="50"/>
      <c r="C761" s="50"/>
      <c r="D761" s="50"/>
      <c r="E761" s="50"/>
      <c r="F761" s="50"/>
      <c r="G761" s="51"/>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c r="AS761" s="50"/>
      <c r="AT761" s="50"/>
      <c r="AU761" s="50"/>
      <c r="AV761" s="50"/>
      <c r="AW761" s="50"/>
      <c r="AX761" s="50"/>
      <c r="AY761" s="50"/>
      <c r="AZ761" s="50"/>
      <c r="BA761" s="50"/>
      <c r="BB761" s="50"/>
      <c r="BC761" s="50"/>
      <c r="BD761" s="50"/>
      <c r="BE761" s="50"/>
      <c r="BF761" s="50"/>
      <c r="BG761" s="50"/>
      <c r="BH761" s="50"/>
      <c r="BI761" s="50"/>
      <c r="BJ761" s="50"/>
      <c r="BK761" s="50"/>
      <c r="BL761" s="50"/>
      <c r="BM761" s="50"/>
      <c r="BN761" s="50"/>
      <c r="BO761" s="50"/>
      <c r="BP761" s="50"/>
      <c r="BQ761" s="50"/>
      <c r="BR761" s="50"/>
      <c r="BS761" s="50"/>
      <c r="BT761" s="50"/>
      <c r="BU761" s="50"/>
      <c r="BV761" s="50"/>
      <c r="BW761" s="50"/>
      <c r="BX761" s="50"/>
      <c r="BY761" s="50"/>
      <c r="BZ761" s="50"/>
      <c r="CA761" s="50"/>
      <c r="CB761" s="50"/>
      <c r="CC761" s="50"/>
      <c r="CD761" s="52"/>
      <c r="CE761" s="50"/>
      <c r="CF761" s="50"/>
      <c r="CG761" s="50"/>
      <c r="CH761" s="50"/>
      <c r="CI761" s="50"/>
      <c r="CJ761" s="50"/>
      <c r="CK761" s="50"/>
      <c r="CL761" s="50"/>
      <c r="CM761" s="50"/>
      <c r="CN761" s="50"/>
      <c r="CO761" s="50"/>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c r="FF761" s="3"/>
      <c r="FG761" s="3"/>
      <c r="FH761" s="3"/>
      <c r="FI761" s="3"/>
      <c r="FJ761" s="3"/>
      <c r="FK761" s="3"/>
      <c r="FL761" s="3"/>
      <c r="FM761" s="3"/>
      <c r="FN761" s="3"/>
      <c r="FO761" s="3"/>
      <c r="FP761" s="3"/>
      <c r="FQ761" s="3"/>
      <c r="FR761" s="3"/>
      <c r="FS761" s="3"/>
      <c r="FT761" s="3"/>
      <c r="FU761" s="3"/>
      <c r="FV761" s="3"/>
      <c r="FW761" s="3"/>
      <c r="FX761" s="3"/>
      <c r="FY761" s="3"/>
      <c r="FZ761" s="3"/>
      <c r="GA761" s="3"/>
      <c r="GB761" s="3"/>
      <c r="GC761" s="3"/>
      <c r="GD761" s="3"/>
      <c r="GE761" s="3"/>
      <c r="GF761" s="3"/>
      <c r="GG761" s="3"/>
      <c r="GH761" s="3"/>
      <c r="GI761" s="3"/>
      <c r="GJ761" s="3"/>
      <c r="GK761" s="3"/>
      <c r="GL761" s="3"/>
      <c r="GM761" s="3"/>
      <c r="GN761" s="3"/>
      <c r="GO761" s="3"/>
      <c r="GP761" s="3"/>
      <c r="GQ761" s="3"/>
      <c r="GR761" s="3"/>
      <c r="GS761" s="3"/>
      <c r="GT761" s="3"/>
      <c r="GU761" s="3"/>
      <c r="GV761" s="3"/>
      <c r="GW761" s="3"/>
      <c r="GX761" s="3"/>
      <c r="GY761" s="3"/>
      <c r="GZ761" s="3"/>
      <c r="HA761" s="3"/>
      <c r="HB761" s="3"/>
    </row>
    <row r="762" spans="1:210" ht="15.75" customHeight="1">
      <c r="A762" s="50"/>
      <c r="B762" s="50"/>
      <c r="C762" s="50"/>
      <c r="D762" s="50"/>
      <c r="E762" s="50"/>
      <c r="F762" s="50"/>
      <c r="G762" s="51"/>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c r="AR762" s="50"/>
      <c r="AS762" s="50"/>
      <c r="AT762" s="50"/>
      <c r="AU762" s="50"/>
      <c r="AV762" s="50"/>
      <c r="AW762" s="50"/>
      <c r="AX762" s="50"/>
      <c r="AY762" s="50"/>
      <c r="AZ762" s="50"/>
      <c r="BA762" s="50"/>
      <c r="BB762" s="50"/>
      <c r="BC762" s="50"/>
      <c r="BD762" s="50"/>
      <c r="BE762" s="50"/>
      <c r="BF762" s="50"/>
      <c r="BG762" s="50"/>
      <c r="BH762" s="50"/>
      <c r="BI762" s="50"/>
      <c r="BJ762" s="50"/>
      <c r="BK762" s="50"/>
      <c r="BL762" s="50"/>
      <c r="BM762" s="50"/>
      <c r="BN762" s="50"/>
      <c r="BO762" s="50"/>
      <c r="BP762" s="50"/>
      <c r="BQ762" s="50"/>
      <c r="BR762" s="50"/>
      <c r="BS762" s="50"/>
      <c r="BT762" s="50"/>
      <c r="BU762" s="50"/>
      <c r="BV762" s="50"/>
      <c r="BW762" s="50"/>
      <c r="BX762" s="50"/>
      <c r="BY762" s="50"/>
      <c r="BZ762" s="50"/>
      <c r="CA762" s="50"/>
      <c r="CB762" s="50"/>
      <c r="CC762" s="50"/>
      <c r="CD762" s="52"/>
      <c r="CE762" s="50"/>
      <c r="CF762" s="50"/>
      <c r="CG762" s="50"/>
      <c r="CH762" s="50"/>
      <c r="CI762" s="50"/>
      <c r="CJ762" s="50"/>
      <c r="CK762" s="50"/>
      <c r="CL762" s="50"/>
      <c r="CM762" s="50"/>
      <c r="CN762" s="50"/>
      <c r="CO762" s="50"/>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c r="FF762" s="3"/>
      <c r="FG762" s="3"/>
      <c r="FH762" s="3"/>
      <c r="FI762" s="3"/>
      <c r="FJ762" s="3"/>
      <c r="FK762" s="3"/>
      <c r="FL762" s="3"/>
      <c r="FM762" s="3"/>
      <c r="FN762" s="3"/>
      <c r="FO762" s="3"/>
      <c r="FP762" s="3"/>
      <c r="FQ762" s="3"/>
      <c r="FR762" s="3"/>
      <c r="FS762" s="3"/>
      <c r="FT762" s="3"/>
      <c r="FU762" s="3"/>
      <c r="FV762" s="3"/>
      <c r="FW762" s="3"/>
      <c r="FX762" s="3"/>
      <c r="FY762" s="3"/>
      <c r="FZ762" s="3"/>
      <c r="GA762" s="3"/>
      <c r="GB762" s="3"/>
      <c r="GC762" s="3"/>
      <c r="GD762" s="3"/>
      <c r="GE762" s="3"/>
      <c r="GF762" s="3"/>
      <c r="GG762" s="3"/>
      <c r="GH762" s="3"/>
      <c r="GI762" s="3"/>
      <c r="GJ762" s="3"/>
      <c r="GK762" s="3"/>
      <c r="GL762" s="3"/>
      <c r="GM762" s="3"/>
      <c r="GN762" s="3"/>
      <c r="GO762" s="3"/>
      <c r="GP762" s="3"/>
      <c r="GQ762" s="3"/>
      <c r="GR762" s="3"/>
      <c r="GS762" s="3"/>
      <c r="GT762" s="3"/>
      <c r="GU762" s="3"/>
      <c r="GV762" s="3"/>
      <c r="GW762" s="3"/>
      <c r="GX762" s="3"/>
      <c r="GY762" s="3"/>
      <c r="GZ762" s="3"/>
      <c r="HA762" s="3"/>
      <c r="HB762" s="3"/>
    </row>
    <row r="763" spans="1:210" ht="15.75" customHeight="1">
      <c r="A763" s="50"/>
      <c r="B763" s="50"/>
      <c r="C763" s="50"/>
      <c r="D763" s="50"/>
      <c r="E763" s="50"/>
      <c r="F763" s="50"/>
      <c r="G763" s="51"/>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c r="AR763" s="50"/>
      <c r="AS763" s="50"/>
      <c r="AT763" s="50"/>
      <c r="AU763" s="50"/>
      <c r="AV763" s="50"/>
      <c r="AW763" s="50"/>
      <c r="AX763" s="50"/>
      <c r="AY763" s="50"/>
      <c r="AZ763" s="50"/>
      <c r="BA763" s="50"/>
      <c r="BB763" s="50"/>
      <c r="BC763" s="50"/>
      <c r="BD763" s="50"/>
      <c r="BE763" s="50"/>
      <c r="BF763" s="50"/>
      <c r="BG763" s="50"/>
      <c r="BH763" s="50"/>
      <c r="BI763" s="50"/>
      <c r="BJ763" s="50"/>
      <c r="BK763" s="50"/>
      <c r="BL763" s="50"/>
      <c r="BM763" s="50"/>
      <c r="BN763" s="50"/>
      <c r="BO763" s="50"/>
      <c r="BP763" s="50"/>
      <c r="BQ763" s="50"/>
      <c r="BR763" s="50"/>
      <c r="BS763" s="50"/>
      <c r="BT763" s="50"/>
      <c r="BU763" s="50"/>
      <c r="BV763" s="50"/>
      <c r="BW763" s="50"/>
      <c r="BX763" s="50"/>
      <c r="BY763" s="50"/>
      <c r="BZ763" s="50"/>
      <c r="CA763" s="50"/>
      <c r="CB763" s="50"/>
      <c r="CC763" s="50"/>
      <c r="CD763" s="52"/>
      <c r="CE763" s="50"/>
      <c r="CF763" s="50"/>
      <c r="CG763" s="50"/>
      <c r="CH763" s="50"/>
      <c r="CI763" s="50"/>
      <c r="CJ763" s="50"/>
      <c r="CK763" s="50"/>
      <c r="CL763" s="50"/>
      <c r="CM763" s="50"/>
      <c r="CN763" s="50"/>
      <c r="CO763" s="50"/>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c r="FF763" s="3"/>
      <c r="FG763" s="3"/>
      <c r="FH763" s="3"/>
      <c r="FI763" s="3"/>
      <c r="FJ763" s="3"/>
      <c r="FK763" s="3"/>
      <c r="FL763" s="3"/>
      <c r="FM763" s="3"/>
      <c r="FN763" s="3"/>
      <c r="FO763" s="3"/>
      <c r="FP763" s="3"/>
      <c r="FQ763" s="3"/>
      <c r="FR763" s="3"/>
      <c r="FS763" s="3"/>
      <c r="FT763" s="3"/>
      <c r="FU763" s="3"/>
      <c r="FV763" s="3"/>
      <c r="FW763" s="3"/>
      <c r="FX763" s="3"/>
      <c r="FY763" s="3"/>
      <c r="FZ763" s="3"/>
      <c r="GA763" s="3"/>
      <c r="GB763" s="3"/>
      <c r="GC763" s="3"/>
      <c r="GD763" s="3"/>
      <c r="GE763" s="3"/>
      <c r="GF763" s="3"/>
      <c r="GG763" s="3"/>
      <c r="GH763" s="3"/>
      <c r="GI763" s="3"/>
      <c r="GJ763" s="3"/>
      <c r="GK763" s="3"/>
      <c r="GL763" s="3"/>
      <c r="GM763" s="3"/>
      <c r="GN763" s="3"/>
      <c r="GO763" s="3"/>
      <c r="GP763" s="3"/>
      <c r="GQ763" s="3"/>
      <c r="GR763" s="3"/>
      <c r="GS763" s="3"/>
      <c r="GT763" s="3"/>
      <c r="GU763" s="3"/>
      <c r="GV763" s="3"/>
      <c r="GW763" s="3"/>
      <c r="GX763" s="3"/>
      <c r="GY763" s="3"/>
      <c r="GZ763" s="3"/>
      <c r="HA763" s="3"/>
      <c r="HB763" s="3"/>
    </row>
    <row r="764" spans="1:210" ht="15.75" customHeight="1">
      <c r="A764" s="50"/>
      <c r="B764" s="50"/>
      <c r="C764" s="50"/>
      <c r="D764" s="50"/>
      <c r="E764" s="50"/>
      <c r="F764" s="50"/>
      <c r="G764" s="51"/>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c r="AR764" s="50"/>
      <c r="AS764" s="50"/>
      <c r="AT764" s="50"/>
      <c r="AU764" s="50"/>
      <c r="AV764" s="50"/>
      <c r="AW764" s="50"/>
      <c r="AX764" s="50"/>
      <c r="AY764" s="50"/>
      <c r="AZ764" s="50"/>
      <c r="BA764" s="50"/>
      <c r="BB764" s="50"/>
      <c r="BC764" s="50"/>
      <c r="BD764" s="50"/>
      <c r="BE764" s="50"/>
      <c r="BF764" s="50"/>
      <c r="BG764" s="50"/>
      <c r="BH764" s="50"/>
      <c r="BI764" s="50"/>
      <c r="BJ764" s="50"/>
      <c r="BK764" s="50"/>
      <c r="BL764" s="50"/>
      <c r="BM764" s="50"/>
      <c r="BN764" s="50"/>
      <c r="BO764" s="50"/>
      <c r="BP764" s="50"/>
      <c r="BQ764" s="50"/>
      <c r="BR764" s="50"/>
      <c r="BS764" s="50"/>
      <c r="BT764" s="50"/>
      <c r="BU764" s="50"/>
      <c r="BV764" s="50"/>
      <c r="BW764" s="50"/>
      <c r="BX764" s="50"/>
      <c r="BY764" s="50"/>
      <c r="BZ764" s="50"/>
      <c r="CA764" s="50"/>
      <c r="CB764" s="50"/>
      <c r="CC764" s="50"/>
      <c r="CD764" s="52"/>
      <c r="CE764" s="50"/>
      <c r="CF764" s="50"/>
      <c r="CG764" s="50"/>
      <c r="CH764" s="50"/>
      <c r="CI764" s="50"/>
      <c r="CJ764" s="50"/>
      <c r="CK764" s="50"/>
      <c r="CL764" s="50"/>
      <c r="CM764" s="50"/>
      <c r="CN764" s="50"/>
      <c r="CO764" s="50"/>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c r="FF764" s="3"/>
      <c r="FG764" s="3"/>
      <c r="FH764" s="3"/>
      <c r="FI764" s="3"/>
      <c r="FJ764" s="3"/>
      <c r="FK764" s="3"/>
      <c r="FL764" s="3"/>
      <c r="FM764" s="3"/>
      <c r="FN764" s="3"/>
      <c r="FO764" s="3"/>
      <c r="FP764" s="3"/>
      <c r="FQ764" s="3"/>
      <c r="FR764" s="3"/>
      <c r="FS764" s="3"/>
      <c r="FT764" s="3"/>
      <c r="FU764" s="3"/>
      <c r="FV764" s="3"/>
      <c r="FW764" s="3"/>
      <c r="FX764" s="3"/>
      <c r="FY764" s="3"/>
      <c r="FZ764" s="3"/>
      <c r="GA764" s="3"/>
      <c r="GB764" s="3"/>
      <c r="GC764" s="3"/>
      <c r="GD764" s="3"/>
      <c r="GE764" s="3"/>
      <c r="GF764" s="3"/>
      <c r="GG764" s="3"/>
      <c r="GH764" s="3"/>
      <c r="GI764" s="3"/>
      <c r="GJ764" s="3"/>
      <c r="GK764" s="3"/>
      <c r="GL764" s="3"/>
      <c r="GM764" s="3"/>
      <c r="GN764" s="3"/>
      <c r="GO764" s="3"/>
      <c r="GP764" s="3"/>
      <c r="GQ764" s="3"/>
      <c r="GR764" s="3"/>
      <c r="GS764" s="3"/>
      <c r="GT764" s="3"/>
      <c r="GU764" s="3"/>
      <c r="GV764" s="3"/>
      <c r="GW764" s="3"/>
      <c r="GX764" s="3"/>
      <c r="GY764" s="3"/>
      <c r="GZ764" s="3"/>
      <c r="HA764" s="3"/>
      <c r="HB764" s="3"/>
    </row>
    <row r="765" spans="1:210" ht="15.75" customHeight="1">
      <c r="A765" s="50"/>
      <c r="B765" s="50"/>
      <c r="C765" s="50"/>
      <c r="D765" s="50"/>
      <c r="E765" s="50"/>
      <c r="F765" s="50"/>
      <c r="G765" s="51"/>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c r="AR765" s="50"/>
      <c r="AS765" s="50"/>
      <c r="AT765" s="50"/>
      <c r="AU765" s="50"/>
      <c r="AV765" s="50"/>
      <c r="AW765" s="50"/>
      <c r="AX765" s="50"/>
      <c r="AY765" s="50"/>
      <c r="AZ765" s="50"/>
      <c r="BA765" s="50"/>
      <c r="BB765" s="50"/>
      <c r="BC765" s="50"/>
      <c r="BD765" s="50"/>
      <c r="BE765" s="50"/>
      <c r="BF765" s="50"/>
      <c r="BG765" s="50"/>
      <c r="BH765" s="50"/>
      <c r="BI765" s="50"/>
      <c r="BJ765" s="50"/>
      <c r="BK765" s="50"/>
      <c r="BL765" s="50"/>
      <c r="BM765" s="50"/>
      <c r="BN765" s="50"/>
      <c r="BO765" s="50"/>
      <c r="BP765" s="50"/>
      <c r="BQ765" s="50"/>
      <c r="BR765" s="50"/>
      <c r="BS765" s="50"/>
      <c r="BT765" s="50"/>
      <c r="BU765" s="50"/>
      <c r="BV765" s="50"/>
      <c r="BW765" s="50"/>
      <c r="BX765" s="50"/>
      <c r="BY765" s="50"/>
      <c r="BZ765" s="50"/>
      <c r="CA765" s="50"/>
      <c r="CB765" s="50"/>
      <c r="CC765" s="50"/>
      <c r="CD765" s="52"/>
      <c r="CE765" s="50"/>
      <c r="CF765" s="50"/>
      <c r="CG765" s="50"/>
      <c r="CH765" s="50"/>
      <c r="CI765" s="50"/>
      <c r="CJ765" s="50"/>
      <c r="CK765" s="50"/>
      <c r="CL765" s="50"/>
      <c r="CM765" s="50"/>
      <c r="CN765" s="50"/>
      <c r="CO765" s="50"/>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c r="FF765" s="3"/>
      <c r="FG765" s="3"/>
      <c r="FH765" s="3"/>
      <c r="FI765" s="3"/>
      <c r="FJ765" s="3"/>
      <c r="FK765" s="3"/>
      <c r="FL765" s="3"/>
      <c r="FM765" s="3"/>
      <c r="FN765" s="3"/>
      <c r="FO765" s="3"/>
      <c r="FP765" s="3"/>
      <c r="FQ765" s="3"/>
      <c r="FR765" s="3"/>
      <c r="FS765" s="3"/>
      <c r="FT765" s="3"/>
      <c r="FU765" s="3"/>
      <c r="FV765" s="3"/>
      <c r="FW765" s="3"/>
      <c r="FX765" s="3"/>
      <c r="FY765" s="3"/>
      <c r="FZ765" s="3"/>
      <c r="GA765" s="3"/>
      <c r="GB765" s="3"/>
      <c r="GC765" s="3"/>
      <c r="GD765" s="3"/>
      <c r="GE765" s="3"/>
      <c r="GF765" s="3"/>
      <c r="GG765" s="3"/>
      <c r="GH765" s="3"/>
      <c r="GI765" s="3"/>
      <c r="GJ765" s="3"/>
      <c r="GK765" s="3"/>
      <c r="GL765" s="3"/>
      <c r="GM765" s="3"/>
      <c r="GN765" s="3"/>
      <c r="GO765" s="3"/>
      <c r="GP765" s="3"/>
      <c r="GQ765" s="3"/>
      <c r="GR765" s="3"/>
      <c r="GS765" s="3"/>
      <c r="GT765" s="3"/>
      <c r="GU765" s="3"/>
      <c r="GV765" s="3"/>
      <c r="GW765" s="3"/>
      <c r="GX765" s="3"/>
      <c r="GY765" s="3"/>
      <c r="GZ765" s="3"/>
      <c r="HA765" s="3"/>
      <c r="HB765" s="3"/>
    </row>
    <row r="766" spans="1:210" ht="15.75" customHeight="1">
      <c r="A766" s="50"/>
      <c r="B766" s="50"/>
      <c r="C766" s="50"/>
      <c r="D766" s="50"/>
      <c r="E766" s="50"/>
      <c r="F766" s="50"/>
      <c r="G766" s="51"/>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c r="AR766" s="50"/>
      <c r="AS766" s="50"/>
      <c r="AT766" s="50"/>
      <c r="AU766" s="50"/>
      <c r="AV766" s="50"/>
      <c r="AW766" s="50"/>
      <c r="AX766" s="50"/>
      <c r="AY766" s="50"/>
      <c r="AZ766" s="50"/>
      <c r="BA766" s="50"/>
      <c r="BB766" s="50"/>
      <c r="BC766" s="50"/>
      <c r="BD766" s="50"/>
      <c r="BE766" s="50"/>
      <c r="BF766" s="50"/>
      <c r="BG766" s="50"/>
      <c r="BH766" s="50"/>
      <c r="BI766" s="50"/>
      <c r="BJ766" s="50"/>
      <c r="BK766" s="50"/>
      <c r="BL766" s="50"/>
      <c r="BM766" s="50"/>
      <c r="BN766" s="50"/>
      <c r="BO766" s="50"/>
      <c r="BP766" s="50"/>
      <c r="BQ766" s="50"/>
      <c r="BR766" s="50"/>
      <c r="BS766" s="50"/>
      <c r="BT766" s="50"/>
      <c r="BU766" s="50"/>
      <c r="BV766" s="50"/>
      <c r="BW766" s="50"/>
      <c r="BX766" s="50"/>
      <c r="BY766" s="50"/>
      <c r="BZ766" s="50"/>
      <c r="CA766" s="50"/>
      <c r="CB766" s="50"/>
      <c r="CC766" s="50"/>
      <c r="CD766" s="52"/>
      <c r="CE766" s="50"/>
      <c r="CF766" s="50"/>
      <c r="CG766" s="50"/>
      <c r="CH766" s="50"/>
      <c r="CI766" s="50"/>
      <c r="CJ766" s="50"/>
      <c r="CK766" s="50"/>
      <c r="CL766" s="50"/>
      <c r="CM766" s="50"/>
      <c r="CN766" s="50"/>
      <c r="CO766" s="50"/>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c r="FF766" s="3"/>
      <c r="FG766" s="3"/>
      <c r="FH766" s="3"/>
      <c r="FI766" s="3"/>
      <c r="FJ766" s="3"/>
      <c r="FK766" s="3"/>
      <c r="FL766" s="3"/>
      <c r="FM766" s="3"/>
      <c r="FN766" s="3"/>
      <c r="FO766" s="3"/>
      <c r="FP766" s="3"/>
      <c r="FQ766" s="3"/>
      <c r="FR766" s="3"/>
      <c r="FS766" s="3"/>
      <c r="FT766" s="3"/>
      <c r="FU766" s="3"/>
      <c r="FV766" s="3"/>
      <c r="FW766" s="3"/>
      <c r="FX766" s="3"/>
      <c r="FY766" s="3"/>
      <c r="FZ766" s="3"/>
      <c r="GA766" s="3"/>
      <c r="GB766" s="3"/>
      <c r="GC766" s="3"/>
      <c r="GD766" s="3"/>
      <c r="GE766" s="3"/>
      <c r="GF766" s="3"/>
      <c r="GG766" s="3"/>
      <c r="GH766" s="3"/>
      <c r="GI766" s="3"/>
      <c r="GJ766" s="3"/>
      <c r="GK766" s="3"/>
      <c r="GL766" s="3"/>
      <c r="GM766" s="3"/>
      <c r="GN766" s="3"/>
      <c r="GO766" s="3"/>
      <c r="GP766" s="3"/>
      <c r="GQ766" s="3"/>
      <c r="GR766" s="3"/>
      <c r="GS766" s="3"/>
      <c r="GT766" s="3"/>
      <c r="GU766" s="3"/>
      <c r="GV766" s="3"/>
      <c r="GW766" s="3"/>
      <c r="GX766" s="3"/>
      <c r="GY766" s="3"/>
      <c r="GZ766" s="3"/>
      <c r="HA766" s="3"/>
      <c r="HB766" s="3"/>
    </row>
    <row r="767" spans="1:210" ht="15.75" customHeight="1">
      <c r="A767" s="50"/>
      <c r="B767" s="50"/>
      <c r="C767" s="50"/>
      <c r="D767" s="50"/>
      <c r="E767" s="50"/>
      <c r="F767" s="50"/>
      <c r="G767" s="51"/>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c r="AR767" s="50"/>
      <c r="AS767" s="50"/>
      <c r="AT767" s="50"/>
      <c r="AU767" s="50"/>
      <c r="AV767" s="50"/>
      <c r="AW767" s="50"/>
      <c r="AX767" s="50"/>
      <c r="AY767" s="50"/>
      <c r="AZ767" s="50"/>
      <c r="BA767" s="50"/>
      <c r="BB767" s="50"/>
      <c r="BC767" s="50"/>
      <c r="BD767" s="50"/>
      <c r="BE767" s="50"/>
      <c r="BF767" s="50"/>
      <c r="BG767" s="50"/>
      <c r="BH767" s="50"/>
      <c r="BI767" s="50"/>
      <c r="BJ767" s="50"/>
      <c r="BK767" s="50"/>
      <c r="BL767" s="50"/>
      <c r="BM767" s="50"/>
      <c r="BN767" s="50"/>
      <c r="BO767" s="50"/>
      <c r="BP767" s="50"/>
      <c r="BQ767" s="50"/>
      <c r="BR767" s="50"/>
      <c r="BS767" s="50"/>
      <c r="BT767" s="50"/>
      <c r="BU767" s="50"/>
      <c r="BV767" s="50"/>
      <c r="BW767" s="50"/>
      <c r="BX767" s="50"/>
      <c r="BY767" s="50"/>
      <c r="BZ767" s="50"/>
      <c r="CA767" s="50"/>
      <c r="CB767" s="50"/>
      <c r="CC767" s="50"/>
      <c r="CD767" s="52"/>
      <c r="CE767" s="50"/>
      <c r="CF767" s="50"/>
      <c r="CG767" s="50"/>
      <c r="CH767" s="50"/>
      <c r="CI767" s="50"/>
      <c r="CJ767" s="50"/>
      <c r="CK767" s="50"/>
      <c r="CL767" s="50"/>
      <c r="CM767" s="50"/>
      <c r="CN767" s="50"/>
      <c r="CO767" s="50"/>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c r="FF767" s="3"/>
      <c r="FG767" s="3"/>
      <c r="FH767" s="3"/>
      <c r="FI767" s="3"/>
      <c r="FJ767" s="3"/>
      <c r="FK767" s="3"/>
      <c r="FL767" s="3"/>
      <c r="FM767" s="3"/>
      <c r="FN767" s="3"/>
      <c r="FO767" s="3"/>
      <c r="FP767" s="3"/>
      <c r="FQ767" s="3"/>
      <c r="FR767" s="3"/>
      <c r="FS767" s="3"/>
      <c r="FT767" s="3"/>
      <c r="FU767" s="3"/>
      <c r="FV767" s="3"/>
      <c r="FW767" s="3"/>
      <c r="FX767" s="3"/>
      <c r="FY767" s="3"/>
      <c r="FZ767" s="3"/>
      <c r="GA767" s="3"/>
      <c r="GB767" s="3"/>
      <c r="GC767" s="3"/>
      <c r="GD767" s="3"/>
      <c r="GE767" s="3"/>
      <c r="GF767" s="3"/>
      <c r="GG767" s="3"/>
      <c r="GH767" s="3"/>
      <c r="GI767" s="3"/>
      <c r="GJ767" s="3"/>
      <c r="GK767" s="3"/>
      <c r="GL767" s="3"/>
      <c r="GM767" s="3"/>
      <c r="GN767" s="3"/>
      <c r="GO767" s="3"/>
      <c r="GP767" s="3"/>
      <c r="GQ767" s="3"/>
      <c r="GR767" s="3"/>
      <c r="GS767" s="3"/>
      <c r="GT767" s="3"/>
      <c r="GU767" s="3"/>
      <c r="GV767" s="3"/>
      <c r="GW767" s="3"/>
      <c r="GX767" s="3"/>
      <c r="GY767" s="3"/>
      <c r="GZ767" s="3"/>
      <c r="HA767" s="3"/>
      <c r="HB767" s="3"/>
    </row>
    <row r="768" spans="1:210" ht="15.75" customHeight="1">
      <c r="A768" s="50"/>
      <c r="B768" s="50"/>
      <c r="C768" s="50"/>
      <c r="D768" s="50"/>
      <c r="E768" s="50"/>
      <c r="F768" s="50"/>
      <c r="G768" s="51"/>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c r="AR768" s="50"/>
      <c r="AS768" s="50"/>
      <c r="AT768" s="50"/>
      <c r="AU768" s="50"/>
      <c r="AV768" s="50"/>
      <c r="AW768" s="50"/>
      <c r="AX768" s="50"/>
      <c r="AY768" s="50"/>
      <c r="AZ768" s="50"/>
      <c r="BA768" s="50"/>
      <c r="BB768" s="50"/>
      <c r="BC768" s="50"/>
      <c r="BD768" s="50"/>
      <c r="BE768" s="50"/>
      <c r="BF768" s="50"/>
      <c r="BG768" s="50"/>
      <c r="BH768" s="50"/>
      <c r="BI768" s="50"/>
      <c r="BJ768" s="50"/>
      <c r="BK768" s="50"/>
      <c r="BL768" s="50"/>
      <c r="BM768" s="50"/>
      <c r="BN768" s="50"/>
      <c r="BO768" s="50"/>
      <c r="BP768" s="50"/>
      <c r="BQ768" s="50"/>
      <c r="BR768" s="50"/>
      <c r="BS768" s="50"/>
      <c r="BT768" s="50"/>
      <c r="BU768" s="50"/>
      <c r="BV768" s="50"/>
      <c r="BW768" s="50"/>
      <c r="BX768" s="50"/>
      <c r="BY768" s="50"/>
      <c r="BZ768" s="50"/>
      <c r="CA768" s="50"/>
      <c r="CB768" s="50"/>
      <c r="CC768" s="50"/>
      <c r="CD768" s="52"/>
      <c r="CE768" s="50"/>
      <c r="CF768" s="50"/>
      <c r="CG768" s="50"/>
      <c r="CH768" s="50"/>
      <c r="CI768" s="50"/>
      <c r="CJ768" s="50"/>
      <c r="CK768" s="50"/>
      <c r="CL768" s="50"/>
      <c r="CM768" s="50"/>
      <c r="CN768" s="50"/>
      <c r="CO768" s="50"/>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c r="FF768" s="3"/>
      <c r="FG768" s="3"/>
      <c r="FH768" s="3"/>
      <c r="FI768" s="3"/>
      <c r="FJ768" s="3"/>
      <c r="FK768" s="3"/>
      <c r="FL768" s="3"/>
      <c r="FM768" s="3"/>
      <c r="FN768" s="3"/>
      <c r="FO768" s="3"/>
      <c r="FP768" s="3"/>
      <c r="FQ768" s="3"/>
      <c r="FR768" s="3"/>
      <c r="FS768" s="3"/>
      <c r="FT768" s="3"/>
      <c r="FU768" s="3"/>
      <c r="FV768" s="3"/>
      <c r="FW768" s="3"/>
      <c r="FX768" s="3"/>
      <c r="FY768" s="3"/>
      <c r="FZ768" s="3"/>
      <c r="GA768" s="3"/>
      <c r="GB768" s="3"/>
      <c r="GC768" s="3"/>
      <c r="GD768" s="3"/>
      <c r="GE768" s="3"/>
      <c r="GF768" s="3"/>
      <c r="GG768" s="3"/>
      <c r="GH768" s="3"/>
      <c r="GI768" s="3"/>
      <c r="GJ768" s="3"/>
      <c r="GK768" s="3"/>
      <c r="GL768" s="3"/>
      <c r="GM768" s="3"/>
      <c r="GN768" s="3"/>
      <c r="GO768" s="3"/>
      <c r="GP768" s="3"/>
      <c r="GQ768" s="3"/>
      <c r="GR768" s="3"/>
      <c r="GS768" s="3"/>
      <c r="GT768" s="3"/>
      <c r="GU768" s="3"/>
      <c r="GV768" s="3"/>
      <c r="GW768" s="3"/>
      <c r="GX768" s="3"/>
      <c r="GY768" s="3"/>
      <c r="GZ768" s="3"/>
      <c r="HA768" s="3"/>
      <c r="HB768" s="3"/>
    </row>
    <row r="769" spans="1:210" ht="15.75" customHeight="1">
      <c r="A769" s="50"/>
      <c r="B769" s="50"/>
      <c r="C769" s="50"/>
      <c r="D769" s="50"/>
      <c r="E769" s="50"/>
      <c r="F769" s="50"/>
      <c r="G769" s="51"/>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c r="AR769" s="50"/>
      <c r="AS769" s="50"/>
      <c r="AT769" s="50"/>
      <c r="AU769" s="50"/>
      <c r="AV769" s="50"/>
      <c r="AW769" s="50"/>
      <c r="AX769" s="50"/>
      <c r="AY769" s="50"/>
      <c r="AZ769" s="50"/>
      <c r="BA769" s="50"/>
      <c r="BB769" s="50"/>
      <c r="BC769" s="50"/>
      <c r="BD769" s="50"/>
      <c r="BE769" s="50"/>
      <c r="BF769" s="50"/>
      <c r="BG769" s="50"/>
      <c r="BH769" s="50"/>
      <c r="BI769" s="50"/>
      <c r="BJ769" s="50"/>
      <c r="BK769" s="50"/>
      <c r="BL769" s="50"/>
      <c r="BM769" s="50"/>
      <c r="BN769" s="50"/>
      <c r="BO769" s="50"/>
      <c r="BP769" s="50"/>
      <c r="BQ769" s="50"/>
      <c r="BR769" s="50"/>
      <c r="BS769" s="50"/>
      <c r="BT769" s="50"/>
      <c r="BU769" s="50"/>
      <c r="BV769" s="50"/>
      <c r="BW769" s="50"/>
      <c r="BX769" s="50"/>
      <c r="BY769" s="50"/>
      <c r="BZ769" s="50"/>
      <c r="CA769" s="50"/>
      <c r="CB769" s="50"/>
      <c r="CC769" s="50"/>
      <c r="CD769" s="52"/>
      <c r="CE769" s="50"/>
      <c r="CF769" s="50"/>
      <c r="CG769" s="50"/>
      <c r="CH769" s="50"/>
      <c r="CI769" s="50"/>
      <c r="CJ769" s="50"/>
      <c r="CK769" s="50"/>
      <c r="CL769" s="50"/>
      <c r="CM769" s="50"/>
      <c r="CN769" s="50"/>
      <c r="CO769" s="50"/>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c r="FF769" s="3"/>
      <c r="FG769" s="3"/>
      <c r="FH769" s="3"/>
      <c r="FI769" s="3"/>
      <c r="FJ769" s="3"/>
      <c r="FK769" s="3"/>
      <c r="FL769" s="3"/>
      <c r="FM769" s="3"/>
      <c r="FN769" s="3"/>
      <c r="FO769" s="3"/>
      <c r="FP769" s="3"/>
      <c r="FQ769" s="3"/>
      <c r="FR769" s="3"/>
      <c r="FS769" s="3"/>
      <c r="FT769" s="3"/>
      <c r="FU769" s="3"/>
      <c r="FV769" s="3"/>
      <c r="FW769" s="3"/>
      <c r="FX769" s="3"/>
      <c r="FY769" s="3"/>
      <c r="FZ769" s="3"/>
      <c r="GA769" s="3"/>
      <c r="GB769" s="3"/>
      <c r="GC769" s="3"/>
      <c r="GD769" s="3"/>
      <c r="GE769" s="3"/>
      <c r="GF769" s="3"/>
      <c r="GG769" s="3"/>
      <c r="GH769" s="3"/>
      <c r="GI769" s="3"/>
      <c r="GJ769" s="3"/>
      <c r="GK769" s="3"/>
      <c r="GL769" s="3"/>
      <c r="GM769" s="3"/>
      <c r="GN769" s="3"/>
      <c r="GO769" s="3"/>
      <c r="GP769" s="3"/>
      <c r="GQ769" s="3"/>
      <c r="GR769" s="3"/>
      <c r="GS769" s="3"/>
      <c r="GT769" s="3"/>
      <c r="GU769" s="3"/>
      <c r="GV769" s="3"/>
      <c r="GW769" s="3"/>
      <c r="GX769" s="3"/>
      <c r="GY769" s="3"/>
      <c r="GZ769" s="3"/>
      <c r="HA769" s="3"/>
      <c r="HB769" s="3"/>
    </row>
    <row r="770" spans="1:210" ht="15.75" customHeight="1">
      <c r="A770" s="50"/>
      <c r="B770" s="50"/>
      <c r="C770" s="50"/>
      <c r="D770" s="50"/>
      <c r="E770" s="50"/>
      <c r="F770" s="50"/>
      <c r="G770" s="51"/>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c r="AR770" s="50"/>
      <c r="AS770" s="50"/>
      <c r="AT770" s="50"/>
      <c r="AU770" s="50"/>
      <c r="AV770" s="50"/>
      <c r="AW770" s="50"/>
      <c r="AX770" s="50"/>
      <c r="AY770" s="50"/>
      <c r="AZ770" s="50"/>
      <c r="BA770" s="50"/>
      <c r="BB770" s="50"/>
      <c r="BC770" s="50"/>
      <c r="BD770" s="50"/>
      <c r="BE770" s="50"/>
      <c r="BF770" s="50"/>
      <c r="BG770" s="50"/>
      <c r="BH770" s="50"/>
      <c r="BI770" s="50"/>
      <c r="BJ770" s="50"/>
      <c r="BK770" s="50"/>
      <c r="BL770" s="50"/>
      <c r="BM770" s="50"/>
      <c r="BN770" s="50"/>
      <c r="BO770" s="50"/>
      <c r="BP770" s="50"/>
      <c r="BQ770" s="50"/>
      <c r="BR770" s="50"/>
      <c r="BS770" s="50"/>
      <c r="BT770" s="50"/>
      <c r="BU770" s="50"/>
      <c r="BV770" s="50"/>
      <c r="BW770" s="50"/>
      <c r="BX770" s="50"/>
      <c r="BY770" s="50"/>
      <c r="BZ770" s="50"/>
      <c r="CA770" s="50"/>
      <c r="CB770" s="50"/>
      <c r="CC770" s="50"/>
      <c r="CD770" s="52"/>
      <c r="CE770" s="50"/>
      <c r="CF770" s="50"/>
      <c r="CG770" s="50"/>
      <c r="CH770" s="50"/>
      <c r="CI770" s="50"/>
      <c r="CJ770" s="50"/>
      <c r="CK770" s="50"/>
      <c r="CL770" s="50"/>
      <c r="CM770" s="50"/>
      <c r="CN770" s="50"/>
      <c r="CO770" s="50"/>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c r="FF770" s="3"/>
      <c r="FG770" s="3"/>
      <c r="FH770" s="3"/>
      <c r="FI770" s="3"/>
      <c r="FJ770" s="3"/>
      <c r="FK770" s="3"/>
      <c r="FL770" s="3"/>
      <c r="FM770" s="3"/>
      <c r="FN770" s="3"/>
      <c r="FO770" s="3"/>
      <c r="FP770" s="3"/>
      <c r="FQ770" s="3"/>
      <c r="FR770" s="3"/>
      <c r="FS770" s="3"/>
      <c r="FT770" s="3"/>
      <c r="FU770" s="3"/>
      <c r="FV770" s="3"/>
      <c r="FW770" s="3"/>
      <c r="FX770" s="3"/>
      <c r="FY770" s="3"/>
      <c r="FZ770" s="3"/>
      <c r="GA770" s="3"/>
      <c r="GB770" s="3"/>
      <c r="GC770" s="3"/>
      <c r="GD770" s="3"/>
      <c r="GE770" s="3"/>
      <c r="GF770" s="3"/>
      <c r="GG770" s="3"/>
      <c r="GH770" s="3"/>
      <c r="GI770" s="3"/>
      <c r="GJ770" s="3"/>
      <c r="GK770" s="3"/>
      <c r="GL770" s="3"/>
      <c r="GM770" s="3"/>
      <c r="GN770" s="3"/>
      <c r="GO770" s="3"/>
      <c r="GP770" s="3"/>
      <c r="GQ770" s="3"/>
      <c r="GR770" s="3"/>
      <c r="GS770" s="3"/>
      <c r="GT770" s="3"/>
      <c r="GU770" s="3"/>
      <c r="GV770" s="3"/>
      <c r="GW770" s="3"/>
      <c r="GX770" s="3"/>
      <c r="GY770" s="3"/>
      <c r="GZ770" s="3"/>
      <c r="HA770" s="3"/>
      <c r="HB770" s="3"/>
    </row>
    <row r="771" spans="1:210" ht="15.75" customHeight="1">
      <c r="A771" s="50"/>
      <c r="B771" s="50"/>
      <c r="C771" s="50"/>
      <c r="D771" s="50"/>
      <c r="E771" s="50"/>
      <c r="F771" s="50"/>
      <c r="G771" s="51"/>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c r="AR771" s="50"/>
      <c r="AS771" s="50"/>
      <c r="AT771" s="50"/>
      <c r="AU771" s="50"/>
      <c r="AV771" s="50"/>
      <c r="AW771" s="50"/>
      <c r="AX771" s="50"/>
      <c r="AY771" s="50"/>
      <c r="AZ771" s="50"/>
      <c r="BA771" s="50"/>
      <c r="BB771" s="50"/>
      <c r="BC771" s="50"/>
      <c r="BD771" s="50"/>
      <c r="BE771" s="50"/>
      <c r="BF771" s="50"/>
      <c r="BG771" s="50"/>
      <c r="BH771" s="50"/>
      <c r="BI771" s="50"/>
      <c r="BJ771" s="50"/>
      <c r="BK771" s="50"/>
      <c r="BL771" s="50"/>
      <c r="BM771" s="50"/>
      <c r="BN771" s="50"/>
      <c r="BO771" s="50"/>
      <c r="BP771" s="50"/>
      <c r="BQ771" s="50"/>
      <c r="BR771" s="50"/>
      <c r="BS771" s="50"/>
      <c r="BT771" s="50"/>
      <c r="BU771" s="50"/>
      <c r="BV771" s="50"/>
      <c r="BW771" s="50"/>
      <c r="BX771" s="50"/>
      <c r="BY771" s="50"/>
      <c r="BZ771" s="50"/>
      <c r="CA771" s="50"/>
      <c r="CB771" s="50"/>
      <c r="CC771" s="50"/>
      <c r="CD771" s="52"/>
      <c r="CE771" s="50"/>
      <c r="CF771" s="50"/>
      <c r="CG771" s="50"/>
      <c r="CH771" s="50"/>
      <c r="CI771" s="50"/>
      <c r="CJ771" s="50"/>
      <c r="CK771" s="50"/>
      <c r="CL771" s="50"/>
      <c r="CM771" s="50"/>
      <c r="CN771" s="50"/>
      <c r="CO771" s="50"/>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c r="FF771" s="3"/>
      <c r="FG771" s="3"/>
      <c r="FH771" s="3"/>
      <c r="FI771" s="3"/>
      <c r="FJ771" s="3"/>
      <c r="FK771" s="3"/>
      <c r="FL771" s="3"/>
      <c r="FM771" s="3"/>
      <c r="FN771" s="3"/>
      <c r="FO771" s="3"/>
      <c r="FP771" s="3"/>
      <c r="FQ771" s="3"/>
      <c r="FR771" s="3"/>
      <c r="FS771" s="3"/>
      <c r="FT771" s="3"/>
      <c r="FU771" s="3"/>
      <c r="FV771" s="3"/>
      <c r="FW771" s="3"/>
      <c r="FX771" s="3"/>
      <c r="FY771" s="3"/>
      <c r="FZ771" s="3"/>
      <c r="GA771" s="3"/>
      <c r="GB771" s="3"/>
      <c r="GC771" s="3"/>
      <c r="GD771" s="3"/>
      <c r="GE771" s="3"/>
      <c r="GF771" s="3"/>
      <c r="GG771" s="3"/>
      <c r="GH771" s="3"/>
      <c r="GI771" s="3"/>
      <c r="GJ771" s="3"/>
      <c r="GK771" s="3"/>
      <c r="GL771" s="3"/>
      <c r="GM771" s="3"/>
      <c r="GN771" s="3"/>
      <c r="GO771" s="3"/>
      <c r="GP771" s="3"/>
      <c r="GQ771" s="3"/>
      <c r="GR771" s="3"/>
      <c r="GS771" s="3"/>
      <c r="GT771" s="3"/>
      <c r="GU771" s="3"/>
      <c r="GV771" s="3"/>
      <c r="GW771" s="3"/>
      <c r="GX771" s="3"/>
      <c r="GY771" s="3"/>
      <c r="GZ771" s="3"/>
      <c r="HA771" s="3"/>
      <c r="HB771" s="3"/>
    </row>
    <row r="772" spans="1:210" ht="15.75" customHeight="1">
      <c r="A772" s="50"/>
      <c r="B772" s="50"/>
      <c r="C772" s="50"/>
      <c r="D772" s="50"/>
      <c r="E772" s="50"/>
      <c r="F772" s="50"/>
      <c r="G772" s="51"/>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c r="AR772" s="50"/>
      <c r="AS772" s="50"/>
      <c r="AT772" s="50"/>
      <c r="AU772" s="50"/>
      <c r="AV772" s="50"/>
      <c r="AW772" s="50"/>
      <c r="AX772" s="50"/>
      <c r="AY772" s="50"/>
      <c r="AZ772" s="50"/>
      <c r="BA772" s="50"/>
      <c r="BB772" s="50"/>
      <c r="BC772" s="50"/>
      <c r="BD772" s="50"/>
      <c r="BE772" s="50"/>
      <c r="BF772" s="50"/>
      <c r="BG772" s="50"/>
      <c r="BH772" s="50"/>
      <c r="BI772" s="50"/>
      <c r="BJ772" s="50"/>
      <c r="BK772" s="50"/>
      <c r="BL772" s="50"/>
      <c r="BM772" s="50"/>
      <c r="BN772" s="50"/>
      <c r="BO772" s="50"/>
      <c r="BP772" s="50"/>
      <c r="BQ772" s="50"/>
      <c r="BR772" s="50"/>
      <c r="BS772" s="50"/>
      <c r="BT772" s="50"/>
      <c r="BU772" s="50"/>
      <c r="BV772" s="50"/>
      <c r="BW772" s="50"/>
      <c r="BX772" s="50"/>
      <c r="BY772" s="50"/>
      <c r="BZ772" s="50"/>
      <c r="CA772" s="50"/>
      <c r="CB772" s="50"/>
      <c r="CC772" s="50"/>
      <c r="CD772" s="52"/>
      <c r="CE772" s="50"/>
      <c r="CF772" s="50"/>
      <c r="CG772" s="50"/>
      <c r="CH772" s="50"/>
      <c r="CI772" s="50"/>
      <c r="CJ772" s="50"/>
      <c r="CK772" s="50"/>
      <c r="CL772" s="50"/>
      <c r="CM772" s="50"/>
      <c r="CN772" s="50"/>
      <c r="CO772" s="50"/>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c r="FF772" s="3"/>
      <c r="FG772" s="3"/>
      <c r="FH772" s="3"/>
      <c r="FI772" s="3"/>
      <c r="FJ772" s="3"/>
      <c r="FK772" s="3"/>
      <c r="FL772" s="3"/>
      <c r="FM772" s="3"/>
      <c r="FN772" s="3"/>
      <c r="FO772" s="3"/>
      <c r="FP772" s="3"/>
      <c r="FQ772" s="3"/>
      <c r="FR772" s="3"/>
      <c r="FS772" s="3"/>
      <c r="FT772" s="3"/>
      <c r="FU772" s="3"/>
      <c r="FV772" s="3"/>
      <c r="FW772" s="3"/>
      <c r="FX772" s="3"/>
      <c r="FY772" s="3"/>
      <c r="FZ772" s="3"/>
      <c r="GA772" s="3"/>
      <c r="GB772" s="3"/>
      <c r="GC772" s="3"/>
      <c r="GD772" s="3"/>
      <c r="GE772" s="3"/>
      <c r="GF772" s="3"/>
      <c r="GG772" s="3"/>
      <c r="GH772" s="3"/>
      <c r="GI772" s="3"/>
      <c r="GJ772" s="3"/>
      <c r="GK772" s="3"/>
      <c r="GL772" s="3"/>
      <c r="GM772" s="3"/>
      <c r="GN772" s="3"/>
      <c r="GO772" s="3"/>
      <c r="GP772" s="3"/>
      <c r="GQ772" s="3"/>
      <c r="GR772" s="3"/>
      <c r="GS772" s="3"/>
      <c r="GT772" s="3"/>
      <c r="GU772" s="3"/>
      <c r="GV772" s="3"/>
      <c r="GW772" s="3"/>
      <c r="GX772" s="3"/>
      <c r="GY772" s="3"/>
      <c r="GZ772" s="3"/>
      <c r="HA772" s="3"/>
      <c r="HB772" s="3"/>
    </row>
    <row r="773" spans="1:210" ht="15.75" customHeight="1">
      <c r="A773" s="50"/>
      <c r="B773" s="50"/>
      <c r="C773" s="50"/>
      <c r="D773" s="50"/>
      <c r="E773" s="50"/>
      <c r="F773" s="50"/>
      <c r="G773" s="51"/>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c r="AR773" s="50"/>
      <c r="AS773" s="50"/>
      <c r="AT773" s="50"/>
      <c r="AU773" s="50"/>
      <c r="AV773" s="50"/>
      <c r="AW773" s="50"/>
      <c r="AX773" s="50"/>
      <c r="AY773" s="50"/>
      <c r="AZ773" s="50"/>
      <c r="BA773" s="50"/>
      <c r="BB773" s="50"/>
      <c r="BC773" s="50"/>
      <c r="BD773" s="50"/>
      <c r="BE773" s="50"/>
      <c r="BF773" s="50"/>
      <c r="BG773" s="50"/>
      <c r="BH773" s="50"/>
      <c r="BI773" s="50"/>
      <c r="BJ773" s="50"/>
      <c r="BK773" s="50"/>
      <c r="BL773" s="50"/>
      <c r="BM773" s="50"/>
      <c r="BN773" s="50"/>
      <c r="BO773" s="50"/>
      <c r="BP773" s="50"/>
      <c r="BQ773" s="50"/>
      <c r="BR773" s="50"/>
      <c r="BS773" s="50"/>
      <c r="BT773" s="50"/>
      <c r="BU773" s="50"/>
      <c r="BV773" s="50"/>
      <c r="BW773" s="50"/>
      <c r="BX773" s="50"/>
      <c r="BY773" s="50"/>
      <c r="BZ773" s="50"/>
      <c r="CA773" s="50"/>
      <c r="CB773" s="50"/>
      <c r="CC773" s="50"/>
      <c r="CD773" s="52"/>
      <c r="CE773" s="50"/>
      <c r="CF773" s="50"/>
      <c r="CG773" s="50"/>
      <c r="CH773" s="50"/>
      <c r="CI773" s="50"/>
      <c r="CJ773" s="50"/>
      <c r="CK773" s="50"/>
      <c r="CL773" s="50"/>
      <c r="CM773" s="50"/>
      <c r="CN773" s="50"/>
      <c r="CO773" s="50"/>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c r="FF773" s="3"/>
      <c r="FG773" s="3"/>
      <c r="FH773" s="3"/>
      <c r="FI773" s="3"/>
      <c r="FJ773" s="3"/>
      <c r="FK773" s="3"/>
      <c r="FL773" s="3"/>
      <c r="FM773" s="3"/>
      <c r="FN773" s="3"/>
      <c r="FO773" s="3"/>
      <c r="FP773" s="3"/>
      <c r="FQ773" s="3"/>
      <c r="FR773" s="3"/>
      <c r="FS773" s="3"/>
      <c r="FT773" s="3"/>
      <c r="FU773" s="3"/>
      <c r="FV773" s="3"/>
      <c r="FW773" s="3"/>
      <c r="FX773" s="3"/>
      <c r="FY773" s="3"/>
      <c r="FZ773" s="3"/>
      <c r="GA773" s="3"/>
      <c r="GB773" s="3"/>
      <c r="GC773" s="3"/>
      <c r="GD773" s="3"/>
      <c r="GE773" s="3"/>
      <c r="GF773" s="3"/>
      <c r="GG773" s="3"/>
      <c r="GH773" s="3"/>
      <c r="GI773" s="3"/>
      <c r="GJ773" s="3"/>
      <c r="GK773" s="3"/>
      <c r="GL773" s="3"/>
      <c r="GM773" s="3"/>
      <c r="GN773" s="3"/>
      <c r="GO773" s="3"/>
      <c r="GP773" s="3"/>
      <c r="GQ773" s="3"/>
      <c r="GR773" s="3"/>
      <c r="GS773" s="3"/>
      <c r="GT773" s="3"/>
      <c r="GU773" s="3"/>
      <c r="GV773" s="3"/>
      <c r="GW773" s="3"/>
      <c r="GX773" s="3"/>
      <c r="GY773" s="3"/>
      <c r="GZ773" s="3"/>
      <c r="HA773" s="3"/>
      <c r="HB773" s="3"/>
    </row>
    <row r="774" spans="1:210" ht="15.75" customHeight="1">
      <c r="A774" s="50"/>
      <c r="B774" s="50"/>
      <c r="C774" s="50"/>
      <c r="D774" s="50"/>
      <c r="E774" s="50"/>
      <c r="F774" s="50"/>
      <c r="G774" s="51"/>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c r="AR774" s="50"/>
      <c r="AS774" s="50"/>
      <c r="AT774" s="50"/>
      <c r="AU774" s="50"/>
      <c r="AV774" s="50"/>
      <c r="AW774" s="50"/>
      <c r="AX774" s="50"/>
      <c r="AY774" s="50"/>
      <c r="AZ774" s="50"/>
      <c r="BA774" s="50"/>
      <c r="BB774" s="50"/>
      <c r="BC774" s="50"/>
      <c r="BD774" s="50"/>
      <c r="BE774" s="50"/>
      <c r="BF774" s="50"/>
      <c r="BG774" s="50"/>
      <c r="BH774" s="50"/>
      <c r="BI774" s="50"/>
      <c r="BJ774" s="50"/>
      <c r="BK774" s="50"/>
      <c r="BL774" s="50"/>
      <c r="BM774" s="50"/>
      <c r="BN774" s="50"/>
      <c r="BO774" s="50"/>
      <c r="BP774" s="50"/>
      <c r="BQ774" s="50"/>
      <c r="BR774" s="50"/>
      <c r="BS774" s="50"/>
      <c r="BT774" s="50"/>
      <c r="BU774" s="50"/>
      <c r="BV774" s="50"/>
      <c r="BW774" s="50"/>
      <c r="BX774" s="50"/>
      <c r="BY774" s="50"/>
      <c r="BZ774" s="50"/>
      <c r="CA774" s="50"/>
      <c r="CB774" s="50"/>
      <c r="CC774" s="50"/>
      <c r="CD774" s="52"/>
      <c r="CE774" s="50"/>
      <c r="CF774" s="50"/>
      <c r="CG774" s="50"/>
      <c r="CH774" s="50"/>
      <c r="CI774" s="50"/>
      <c r="CJ774" s="50"/>
      <c r="CK774" s="50"/>
      <c r="CL774" s="50"/>
      <c r="CM774" s="50"/>
      <c r="CN774" s="50"/>
      <c r="CO774" s="50"/>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c r="FF774" s="3"/>
      <c r="FG774" s="3"/>
      <c r="FH774" s="3"/>
      <c r="FI774" s="3"/>
      <c r="FJ774" s="3"/>
      <c r="FK774" s="3"/>
      <c r="FL774" s="3"/>
      <c r="FM774" s="3"/>
      <c r="FN774" s="3"/>
      <c r="FO774" s="3"/>
      <c r="FP774" s="3"/>
      <c r="FQ774" s="3"/>
      <c r="FR774" s="3"/>
      <c r="FS774" s="3"/>
      <c r="FT774" s="3"/>
      <c r="FU774" s="3"/>
      <c r="FV774" s="3"/>
      <c r="FW774" s="3"/>
      <c r="FX774" s="3"/>
      <c r="FY774" s="3"/>
      <c r="FZ774" s="3"/>
      <c r="GA774" s="3"/>
      <c r="GB774" s="3"/>
      <c r="GC774" s="3"/>
      <c r="GD774" s="3"/>
      <c r="GE774" s="3"/>
      <c r="GF774" s="3"/>
      <c r="GG774" s="3"/>
      <c r="GH774" s="3"/>
      <c r="GI774" s="3"/>
      <c r="GJ774" s="3"/>
      <c r="GK774" s="3"/>
      <c r="GL774" s="3"/>
      <c r="GM774" s="3"/>
      <c r="GN774" s="3"/>
      <c r="GO774" s="3"/>
      <c r="GP774" s="3"/>
      <c r="GQ774" s="3"/>
      <c r="GR774" s="3"/>
      <c r="GS774" s="3"/>
      <c r="GT774" s="3"/>
      <c r="GU774" s="3"/>
      <c r="GV774" s="3"/>
      <c r="GW774" s="3"/>
      <c r="GX774" s="3"/>
      <c r="GY774" s="3"/>
      <c r="GZ774" s="3"/>
      <c r="HA774" s="3"/>
      <c r="HB774" s="3"/>
    </row>
    <row r="775" spans="1:210" ht="15.75" customHeight="1">
      <c r="A775" s="50"/>
      <c r="B775" s="50"/>
      <c r="C775" s="50"/>
      <c r="D775" s="50"/>
      <c r="E775" s="50"/>
      <c r="F775" s="50"/>
      <c r="G775" s="51"/>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c r="AR775" s="50"/>
      <c r="AS775" s="50"/>
      <c r="AT775" s="50"/>
      <c r="AU775" s="50"/>
      <c r="AV775" s="50"/>
      <c r="AW775" s="50"/>
      <c r="AX775" s="50"/>
      <c r="AY775" s="50"/>
      <c r="AZ775" s="50"/>
      <c r="BA775" s="50"/>
      <c r="BB775" s="50"/>
      <c r="BC775" s="50"/>
      <c r="BD775" s="50"/>
      <c r="BE775" s="50"/>
      <c r="BF775" s="50"/>
      <c r="BG775" s="50"/>
      <c r="BH775" s="50"/>
      <c r="BI775" s="50"/>
      <c r="BJ775" s="50"/>
      <c r="BK775" s="50"/>
      <c r="BL775" s="50"/>
      <c r="BM775" s="50"/>
      <c r="BN775" s="50"/>
      <c r="BO775" s="50"/>
      <c r="BP775" s="50"/>
      <c r="BQ775" s="50"/>
      <c r="BR775" s="50"/>
      <c r="BS775" s="50"/>
      <c r="BT775" s="50"/>
      <c r="BU775" s="50"/>
      <c r="BV775" s="50"/>
      <c r="BW775" s="50"/>
      <c r="BX775" s="50"/>
      <c r="BY775" s="50"/>
      <c r="BZ775" s="50"/>
      <c r="CA775" s="50"/>
      <c r="CB775" s="50"/>
      <c r="CC775" s="50"/>
      <c r="CD775" s="52"/>
      <c r="CE775" s="50"/>
      <c r="CF775" s="50"/>
      <c r="CG775" s="50"/>
      <c r="CH775" s="50"/>
      <c r="CI775" s="50"/>
      <c r="CJ775" s="50"/>
      <c r="CK775" s="50"/>
      <c r="CL775" s="50"/>
      <c r="CM775" s="50"/>
      <c r="CN775" s="50"/>
      <c r="CO775" s="50"/>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c r="FF775" s="3"/>
      <c r="FG775" s="3"/>
      <c r="FH775" s="3"/>
      <c r="FI775" s="3"/>
      <c r="FJ775" s="3"/>
      <c r="FK775" s="3"/>
      <c r="FL775" s="3"/>
      <c r="FM775" s="3"/>
      <c r="FN775" s="3"/>
      <c r="FO775" s="3"/>
      <c r="FP775" s="3"/>
      <c r="FQ775" s="3"/>
      <c r="FR775" s="3"/>
      <c r="FS775" s="3"/>
      <c r="FT775" s="3"/>
      <c r="FU775" s="3"/>
      <c r="FV775" s="3"/>
      <c r="FW775" s="3"/>
      <c r="FX775" s="3"/>
      <c r="FY775" s="3"/>
      <c r="FZ775" s="3"/>
      <c r="GA775" s="3"/>
      <c r="GB775" s="3"/>
      <c r="GC775" s="3"/>
      <c r="GD775" s="3"/>
      <c r="GE775" s="3"/>
      <c r="GF775" s="3"/>
      <c r="GG775" s="3"/>
      <c r="GH775" s="3"/>
      <c r="GI775" s="3"/>
      <c r="GJ775" s="3"/>
      <c r="GK775" s="3"/>
      <c r="GL775" s="3"/>
      <c r="GM775" s="3"/>
      <c r="GN775" s="3"/>
      <c r="GO775" s="3"/>
      <c r="GP775" s="3"/>
      <c r="GQ775" s="3"/>
      <c r="GR775" s="3"/>
      <c r="GS775" s="3"/>
      <c r="GT775" s="3"/>
      <c r="GU775" s="3"/>
      <c r="GV775" s="3"/>
      <c r="GW775" s="3"/>
      <c r="GX775" s="3"/>
      <c r="GY775" s="3"/>
      <c r="GZ775" s="3"/>
      <c r="HA775" s="3"/>
      <c r="HB775" s="3"/>
    </row>
    <row r="776" spans="1:210" ht="15.75" customHeight="1">
      <c r="A776" s="50"/>
      <c r="B776" s="50"/>
      <c r="C776" s="50"/>
      <c r="D776" s="50"/>
      <c r="E776" s="50"/>
      <c r="F776" s="50"/>
      <c r="G776" s="51"/>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c r="AR776" s="50"/>
      <c r="AS776" s="50"/>
      <c r="AT776" s="50"/>
      <c r="AU776" s="50"/>
      <c r="AV776" s="50"/>
      <c r="AW776" s="50"/>
      <c r="AX776" s="50"/>
      <c r="AY776" s="50"/>
      <c r="AZ776" s="50"/>
      <c r="BA776" s="50"/>
      <c r="BB776" s="50"/>
      <c r="BC776" s="50"/>
      <c r="BD776" s="50"/>
      <c r="BE776" s="50"/>
      <c r="BF776" s="50"/>
      <c r="BG776" s="50"/>
      <c r="BH776" s="50"/>
      <c r="BI776" s="50"/>
      <c r="BJ776" s="50"/>
      <c r="BK776" s="50"/>
      <c r="BL776" s="50"/>
      <c r="BM776" s="50"/>
      <c r="BN776" s="50"/>
      <c r="BO776" s="50"/>
      <c r="BP776" s="50"/>
      <c r="BQ776" s="50"/>
      <c r="BR776" s="50"/>
      <c r="BS776" s="50"/>
      <c r="BT776" s="50"/>
      <c r="BU776" s="50"/>
      <c r="BV776" s="50"/>
      <c r="BW776" s="50"/>
      <c r="BX776" s="50"/>
      <c r="BY776" s="50"/>
      <c r="BZ776" s="50"/>
      <c r="CA776" s="50"/>
      <c r="CB776" s="50"/>
      <c r="CC776" s="50"/>
      <c r="CD776" s="52"/>
      <c r="CE776" s="50"/>
      <c r="CF776" s="50"/>
      <c r="CG776" s="50"/>
      <c r="CH776" s="50"/>
      <c r="CI776" s="50"/>
      <c r="CJ776" s="50"/>
      <c r="CK776" s="50"/>
      <c r="CL776" s="50"/>
      <c r="CM776" s="50"/>
      <c r="CN776" s="50"/>
      <c r="CO776" s="50"/>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c r="FF776" s="3"/>
      <c r="FG776" s="3"/>
      <c r="FH776" s="3"/>
      <c r="FI776" s="3"/>
      <c r="FJ776" s="3"/>
      <c r="FK776" s="3"/>
      <c r="FL776" s="3"/>
      <c r="FM776" s="3"/>
      <c r="FN776" s="3"/>
      <c r="FO776" s="3"/>
      <c r="FP776" s="3"/>
      <c r="FQ776" s="3"/>
      <c r="FR776" s="3"/>
      <c r="FS776" s="3"/>
      <c r="FT776" s="3"/>
      <c r="FU776" s="3"/>
      <c r="FV776" s="3"/>
      <c r="FW776" s="3"/>
      <c r="FX776" s="3"/>
      <c r="FY776" s="3"/>
      <c r="FZ776" s="3"/>
      <c r="GA776" s="3"/>
      <c r="GB776" s="3"/>
      <c r="GC776" s="3"/>
      <c r="GD776" s="3"/>
      <c r="GE776" s="3"/>
      <c r="GF776" s="3"/>
      <c r="GG776" s="3"/>
      <c r="GH776" s="3"/>
      <c r="GI776" s="3"/>
      <c r="GJ776" s="3"/>
      <c r="GK776" s="3"/>
      <c r="GL776" s="3"/>
      <c r="GM776" s="3"/>
      <c r="GN776" s="3"/>
      <c r="GO776" s="3"/>
      <c r="GP776" s="3"/>
      <c r="GQ776" s="3"/>
      <c r="GR776" s="3"/>
      <c r="GS776" s="3"/>
      <c r="GT776" s="3"/>
      <c r="GU776" s="3"/>
      <c r="GV776" s="3"/>
      <c r="GW776" s="3"/>
      <c r="GX776" s="3"/>
      <c r="GY776" s="3"/>
      <c r="GZ776" s="3"/>
      <c r="HA776" s="3"/>
      <c r="HB776" s="3"/>
    </row>
    <row r="777" spans="1:210" ht="15.75" customHeight="1">
      <c r="A777" s="50"/>
      <c r="B777" s="50"/>
      <c r="C777" s="50"/>
      <c r="D777" s="50"/>
      <c r="E777" s="50"/>
      <c r="F777" s="50"/>
      <c r="G777" s="51"/>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c r="AR777" s="50"/>
      <c r="AS777" s="50"/>
      <c r="AT777" s="50"/>
      <c r="AU777" s="50"/>
      <c r="AV777" s="50"/>
      <c r="AW777" s="50"/>
      <c r="AX777" s="50"/>
      <c r="AY777" s="50"/>
      <c r="AZ777" s="50"/>
      <c r="BA777" s="50"/>
      <c r="BB777" s="50"/>
      <c r="BC777" s="50"/>
      <c r="BD777" s="50"/>
      <c r="BE777" s="50"/>
      <c r="BF777" s="50"/>
      <c r="BG777" s="50"/>
      <c r="BH777" s="50"/>
      <c r="BI777" s="50"/>
      <c r="BJ777" s="50"/>
      <c r="BK777" s="50"/>
      <c r="BL777" s="50"/>
      <c r="BM777" s="50"/>
      <c r="BN777" s="50"/>
      <c r="BO777" s="50"/>
      <c r="BP777" s="50"/>
      <c r="BQ777" s="50"/>
      <c r="BR777" s="50"/>
      <c r="BS777" s="50"/>
      <c r="BT777" s="50"/>
      <c r="BU777" s="50"/>
      <c r="BV777" s="50"/>
      <c r="BW777" s="50"/>
      <c r="BX777" s="50"/>
      <c r="BY777" s="50"/>
      <c r="BZ777" s="50"/>
      <c r="CA777" s="50"/>
      <c r="CB777" s="50"/>
      <c r="CC777" s="50"/>
      <c r="CD777" s="52"/>
      <c r="CE777" s="50"/>
      <c r="CF777" s="50"/>
      <c r="CG777" s="50"/>
      <c r="CH777" s="50"/>
      <c r="CI777" s="50"/>
      <c r="CJ777" s="50"/>
      <c r="CK777" s="50"/>
      <c r="CL777" s="50"/>
      <c r="CM777" s="50"/>
      <c r="CN777" s="50"/>
      <c r="CO777" s="50"/>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c r="FF777" s="3"/>
      <c r="FG777" s="3"/>
      <c r="FH777" s="3"/>
      <c r="FI777" s="3"/>
      <c r="FJ777" s="3"/>
      <c r="FK777" s="3"/>
      <c r="FL777" s="3"/>
      <c r="FM777" s="3"/>
      <c r="FN777" s="3"/>
      <c r="FO777" s="3"/>
      <c r="FP777" s="3"/>
      <c r="FQ777" s="3"/>
      <c r="FR777" s="3"/>
      <c r="FS777" s="3"/>
      <c r="FT777" s="3"/>
      <c r="FU777" s="3"/>
      <c r="FV777" s="3"/>
      <c r="FW777" s="3"/>
      <c r="FX777" s="3"/>
      <c r="FY777" s="3"/>
      <c r="FZ777" s="3"/>
      <c r="GA777" s="3"/>
      <c r="GB777" s="3"/>
      <c r="GC777" s="3"/>
      <c r="GD777" s="3"/>
      <c r="GE777" s="3"/>
      <c r="GF777" s="3"/>
      <c r="GG777" s="3"/>
      <c r="GH777" s="3"/>
      <c r="GI777" s="3"/>
      <c r="GJ777" s="3"/>
      <c r="GK777" s="3"/>
      <c r="GL777" s="3"/>
      <c r="GM777" s="3"/>
      <c r="GN777" s="3"/>
      <c r="GO777" s="3"/>
      <c r="GP777" s="3"/>
      <c r="GQ777" s="3"/>
      <c r="GR777" s="3"/>
      <c r="GS777" s="3"/>
      <c r="GT777" s="3"/>
      <c r="GU777" s="3"/>
      <c r="GV777" s="3"/>
      <c r="GW777" s="3"/>
      <c r="GX777" s="3"/>
      <c r="GY777" s="3"/>
      <c r="GZ777" s="3"/>
      <c r="HA777" s="3"/>
      <c r="HB777" s="3"/>
    </row>
    <row r="778" spans="1:210" ht="15.75" customHeight="1">
      <c r="A778" s="50"/>
      <c r="B778" s="50"/>
      <c r="C778" s="50"/>
      <c r="D778" s="50"/>
      <c r="E778" s="50"/>
      <c r="F778" s="50"/>
      <c r="G778" s="51"/>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c r="AR778" s="50"/>
      <c r="AS778" s="50"/>
      <c r="AT778" s="50"/>
      <c r="AU778" s="50"/>
      <c r="AV778" s="50"/>
      <c r="AW778" s="50"/>
      <c r="AX778" s="50"/>
      <c r="AY778" s="50"/>
      <c r="AZ778" s="50"/>
      <c r="BA778" s="50"/>
      <c r="BB778" s="50"/>
      <c r="BC778" s="50"/>
      <c r="BD778" s="50"/>
      <c r="BE778" s="50"/>
      <c r="BF778" s="50"/>
      <c r="BG778" s="50"/>
      <c r="BH778" s="50"/>
      <c r="BI778" s="50"/>
      <c r="BJ778" s="50"/>
      <c r="BK778" s="50"/>
      <c r="BL778" s="50"/>
      <c r="BM778" s="50"/>
      <c r="BN778" s="50"/>
      <c r="BO778" s="50"/>
      <c r="BP778" s="50"/>
      <c r="BQ778" s="50"/>
      <c r="BR778" s="50"/>
      <c r="BS778" s="50"/>
      <c r="BT778" s="50"/>
      <c r="BU778" s="50"/>
      <c r="BV778" s="50"/>
      <c r="BW778" s="50"/>
      <c r="BX778" s="50"/>
      <c r="BY778" s="50"/>
      <c r="BZ778" s="50"/>
      <c r="CA778" s="50"/>
      <c r="CB778" s="50"/>
      <c r="CC778" s="50"/>
      <c r="CD778" s="52"/>
      <c r="CE778" s="50"/>
      <c r="CF778" s="50"/>
      <c r="CG778" s="50"/>
      <c r="CH778" s="50"/>
      <c r="CI778" s="50"/>
      <c r="CJ778" s="50"/>
      <c r="CK778" s="50"/>
      <c r="CL778" s="50"/>
      <c r="CM778" s="50"/>
      <c r="CN778" s="50"/>
      <c r="CO778" s="50"/>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c r="FF778" s="3"/>
      <c r="FG778" s="3"/>
      <c r="FH778" s="3"/>
      <c r="FI778" s="3"/>
      <c r="FJ778" s="3"/>
      <c r="FK778" s="3"/>
      <c r="FL778" s="3"/>
      <c r="FM778" s="3"/>
      <c r="FN778" s="3"/>
      <c r="FO778" s="3"/>
      <c r="FP778" s="3"/>
      <c r="FQ778" s="3"/>
      <c r="FR778" s="3"/>
      <c r="FS778" s="3"/>
      <c r="FT778" s="3"/>
      <c r="FU778" s="3"/>
      <c r="FV778" s="3"/>
      <c r="FW778" s="3"/>
      <c r="FX778" s="3"/>
      <c r="FY778" s="3"/>
      <c r="FZ778" s="3"/>
      <c r="GA778" s="3"/>
      <c r="GB778" s="3"/>
      <c r="GC778" s="3"/>
      <c r="GD778" s="3"/>
      <c r="GE778" s="3"/>
      <c r="GF778" s="3"/>
      <c r="GG778" s="3"/>
      <c r="GH778" s="3"/>
      <c r="GI778" s="3"/>
      <c r="GJ778" s="3"/>
      <c r="GK778" s="3"/>
      <c r="GL778" s="3"/>
      <c r="GM778" s="3"/>
      <c r="GN778" s="3"/>
      <c r="GO778" s="3"/>
      <c r="GP778" s="3"/>
      <c r="GQ778" s="3"/>
      <c r="GR778" s="3"/>
      <c r="GS778" s="3"/>
      <c r="GT778" s="3"/>
      <c r="GU778" s="3"/>
      <c r="GV778" s="3"/>
      <c r="GW778" s="3"/>
      <c r="GX778" s="3"/>
      <c r="GY778" s="3"/>
      <c r="GZ778" s="3"/>
      <c r="HA778" s="3"/>
      <c r="HB778" s="3"/>
    </row>
    <row r="779" spans="1:210" ht="15.75" customHeight="1">
      <c r="A779" s="50"/>
      <c r="B779" s="50"/>
      <c r="C779" s="50"/>
      <c r="D779" s="50"/>
      <c r="E779" s="50"/>
      <c r="F779" s="50"/>
      <c r="G779" s="51"/>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c r="AR779" s="50"/>
      <c r="AS779" s="50"/>
      <c r="AT779" s="50"/>
      <c r="AU779" s="50"/>
      <c r="AV779" s="50"/>
      <c r="AW779" s="50"/>
      <c r="AX779" s="50"/>
      <c r="AY779" s="50"/>
      <c r="AZ779" s="50"/>
      <c r="BA779" s="50"/>
      <c r="BB779" s="50"/>
      <c r="BC779" s="50"/>
      <c r="BD779" s="50"/>
      <c r="BE779" s="50"/>
      <c r="BF779" s="50"/>
      <c r="BG779" s="50"/>
      <c r="BH779" s="50"/>
      <c r="BI779" s="50"/>
      <c r="BJ779" s="50"/>
      <c r="BK779" s="50"/>
      <c r="BL779" s="50"/>
      <c r="BM779" s="50"/>
      <c r="BN779" s="50"/>
      <c r="BO779" s="50"/>
      <c r="BP779" s="50"/>
      <c r="BQ779" s="50"/>
      <c r="BR779" s="50"/>
      <c r="BS779" s="50"/>
      <c r="BT779" s="50"/>
      <c r="BU779" s="50"/>
      <c r="BV779" s="50"/>
      <c r="BW779" s="50"/>
      <c r="BX779" s="50"/>
      <c r="BY779" s="50"/>
      <c r="BZ779" s="50"/>
      <c r="CA779" s="50"/>
      <c r="CB779" s="50"/>
      <c r="CC779" s="50"/>
      <c r="CD779" s="52"/>
      <c r="CE779" s="50"/>
      <c r="CF779" s="50"/>
      <c r="CG779" s="50"/>
      <c r="CH779" s="50"/>
      <c r="CI779" s="50"/>
      <c r="CJ779" s="50"/>
      <c r="CK779" s="50"/>
      <c r="CL779" s="50"/>
      <c r="CM779" s="50"/>
      <c r="CN779" s="50"/>
      <c r="CO779" s="50"/>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c r="FF779" s="3"/>
      <c r="FG779" s="3"/>
      <c r="FH779" s="3"/>
      <c r="FI779" s="3"/>
      <c r="FJ779" s="3"/>
      <c r="FK779" s="3"/>
      <c r="FL779" s="3"/>
      <c r="FM779" s="3"/>
      <c r="FN779" s="3"/>
      <c r="FO779" s="3"/>
      <c r="FP779" s="3"/>
      <c r="FQ779" s="3"/>
      <c r="FR779" s="3"/>
      <c r="FS779" s="3"/>
      <c r="FT779" s="3"/>
      <c r="FU779" s="3"/>
      <c r="FV779" s="3"/>
      <c r="FW779" s="3"/>
      <c r="FX779" s="3"/>
      <c r="FY779" s="3"/>
      <c r="FZ779" s="3"/>
      <c r="GA779" s="3"/>
      <c r="GB779" s="3"/>
      <c r="GC779" s="3"/>
      <c r="GD779" s="3"/>
      <c r="GE779" s="3"/>
      <c r="GF779" s="3"/>
      <c r="GG779" s="3"/>
      <c r="GH779" s="3"/>
      <c r="GI779" s="3"/>
      <c r="GJ779" s="3"/>
      <c r="GK779" s="3"/>
      <c r="GL779" s="3"/>
      <c r="GM779" s="3"/>
      <c r="GN779" s="3"/>
      <c r="GO779" s="3"/>
      <c r="GP779" s="3"/>
      <c r="GQ779" s="3"/>
      <c r="GR779" s="3"/>
      <c r="GS779" s="3"/>
      <c r="GT779" s="3"/>
      <c r="GU779" s="3"/>
      <c r="GV779" s="3"/>
      <c r="GW779" s="3"/>
      <c r="GX779" s="3"/>
      <c r="GY779" s="3"/>
      <c r="GZ779" s="3"/>
      <c r="HA779" s="3"/>
      <c r="HB779" s="3"/>
    </row>
    <row r="780" spans="1:210" ht="15.75" customHeight="1">
      <c r="A780" s="50"/>
      <c r="B780" s="50"/>
      <c r="C780" s="50"/>
      <c r="D780" s="50"/>
      <c r="E780" s="50"/>
      <c r="F780" s="50"/>
      <c r="G780" s="51"/>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c r="AR780" s="50"/>
      <c r="AS780" s="50"/>
      <c r="AT780" s="50"/>
      <c r="AU780" s="50"/>
      <c r="AV780" s="50"/>
      <c r="AW780" s="50"/>
      <c r="AX780" s="50"/>
      <c r="AY780" s="50"/>
      <c r="AZ780" s="50"/>
      <c r="BA780" s="50"/>
      <c r="BB780" s="50"/>
      <c r="BC780" s="50"/>
      <c r="BD780" s="50"/>
      <c r="BE780" s="50"/>
      <c r="BF780" s="50"/>
      <c r="BG780" s="50"/>
      <c r="BH780" s="50"/>
      <c r="BI780" s="50"/>
      <c r="BJ780" s="50"/>
      <c r="BK780" s="50"/>
      <c r="BL780" s="50"/>
      <c r="BM780" s="50"/>
      <c r="BN780" s="50"/>
      <c r="BO780" s="50"/>
      <c r="BP780" s="50"/>
      <c r="BQ780" s="50"/>
      <c r="BR780" s="50"/>
      <c r="BS780" s="50"/>
      <c r="BT780" s="50"/>
      <c r="BU780" s="50"/>
      <c r="BV780" s="50"/>
      <c r="BW780" s="50"/>
      <c r="BX780" s="50"/>
      <c r="BY780" s="50"/>
      <c r="BZ780" s="50"/>
      <c r="CA780" s="50"/>
      <c r="CB780" s="50"/>
      <c r="CC780" s="50"/>
      <c r="CD780" s="52"/>
      <c r="CE780" s="50"/>
      <c r="CF780" s="50"/>
      <c r="CG780" s="50"/>
      <c r="CH780" s="50"/>
      <c r="CI780" s="50"/>
      <c r="CJ780" s="50"/>
      <c r="CK780" s="50"/>
      <c r="CL780" s="50"/>
      <c r="CM780" s="50"/>
      <c r="CN780" s="50"/>
      <c r="CO780" s="50"/>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c r="FF780" s="3"/>
      <c r="FG780" s="3"/>
      <c r="FH780" s="3"/>
      <c r="FI780" s="3"/>
      <c r="FJ780" s="3"/>
      <c r="FK780" s="3"/>
      <c r="FL780" s="3"/>
      <c r="FM780" s="3"/>
      <c r="FN780" s="3"/>
      <c r="FO780" s="3"/>
      <c r="FP780" s="3"/>
      <c r="FQ780" s="3"/>
      <c r="FR780" s="3"/>
      <c r="FS780" s="3"/>
      <c r="FT780" s="3"/>
      <c r="FU780" s="3"/>
      <c r="FV780" s="3"/>
      <c r="FW780" s="3"/>
      <c r="FX780" s="3"/>
      <c r="FY780" s="3"/>
      <c r="FZ780" s="3"/>
      <c r="GA780" s="3"/>
      <c r="GB780" s="3"/>
      <c r="GC780" s="3"/>
      <c r="GD780" s="3"/>
      <c r="GE780" s="3"/>
      <c r="GF780" s="3"/>
      <c r="GG780" s="3"/>
      <c r="GH780" s="3"/>
      <c r="GI780" s="3"/>
      <c r="GJ780" s="3"/>
      <c r="GK780" s="3"/>
      <c r="GL780" s="3"/>
      <c r="GM780" s="3"/>
      <c r="GN780" s="3"/>
      <c r="GO780" s="3"/>
      <c r="GP780" s="3"/>
      <c r="GQ780" s="3"/>
      <c r="GR780" s="3"/>
      <c r="GS780" s="3"/>
      <c r="GT780" s="3"/>
      <c r="GU780" s="3"/>
      <c r="GV780" s="3"/>
      <c r="GW780" s="3"/>
      <c r="GX780" s="3"/>
      <c r="GY780" s="3"/>
      <c r="GZ780" s="3"/>
      <c r="HA780" s="3"/>
      <c r="HB780" s="3"/>
    </row>
    <row r="781" spans="1:210" ht="15.75" customHeight="1">
      <c r="A781" s="50"/>
      <c r="B781" s="50"/>
      <c r="C781" s="50"/>
      <c r="D781" s="50"/>
      <c r="E781" s="50"/>
      <c r="F781" s="50"/>
      <c r="G781" s="51"/>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c r="AR781" s="50"/>
      <c r="AS781" s="50"/>
      <c r="AT781" s="50"/>
      <c r="AU781" s="50"/>
      <c r="AV781" s="50"/>
      <c r="AW781" s="50"/>
      <c r="AX781" s="50"/>
      <c r="AY781" s="50"/>
      <c r="AZ781" s="50"/>
      <c r="BA781" s="50"/>
      <c r="BB781" s="50"/>
      <c r="BC781" s="50"/>
      <c r="BD781" s="50"/>
      <c r="BE781" s="50"/>
      <c r="BF781" s="50"/>
      <c r="BG781" s="50"/>
      <c r="BH781" s="50"/>
      <c r="BI781" s="50"/>
      <c r="BJ781" s="50"/>
      <c r="BK781" s="50"/>
      <c r="BL781" s="50"/>
      <c r="BM781" s="50"/>
      <c r="BN781" s="50"/>
      <c r="BO781" s="50"/>
      <c r="BP781" s="50"/>
      <c r="BQ781" s="50"/>
      <c r="BR781" s="50"/>
      <c r="BS781" s="50"/>
      <c r="BT781" s="50"/>
      <c r="BU781" s="50"/>
      <c r="BV781" s="50"/>
      <c r="BW781" s="50"/>
      <c r="BX781" s="50"/>
      <c r="BY781" s="50"/>
      <c r="BZ781" s="50"/>
      <c r="CA781" s="50"/>
      <c r="CB781" s="50"/>
      <c r="CC781" s="50"/>
      <c r="CD781" s="52"/>
      <c r="CE781" s="50"/>
      <c r="CF781" s="50"/>
      <c r="CG781" s="50"/>
      <c r="CH781" s="50"/>
      <c r="CI781" s="50"/>
      <c r="CJ781" s="50"/>
      <c r="CK781" s="50"/>
      <c r="CL781" s="50"/>
      <c r="CM781" s="50"/>
      <c r="CN781" s="50"/>
      <c r="CO781" s="50"/>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c r="FF781" s="3"/>
      <c r="FG781" s="3"/>
      <c r="FH781" s="3"/>
      <c r="FI781" s="3"/>
      <c r="FJ781" s="3"/>
      <c r="FK781" s="3"/>
      <c r="FL781" s="3"/>
      <c r="FM781" s="3"/>
      <c r="FN781" s="3"/>
      <c r="FO781" s="3"/>
      <c r="FP781" s="3"/>
      <c r="FQ781" s="3"/>
      <c r="FR781" s="3"/>
      <c r="FS781" s="3"/>
      <c r="FT781" s="3"/>
      <c r="FU781" s="3"/>
      <c r="FV781" s="3"/>
      <c r="FW781" s="3"/>
      <c r="FX781" s="3"/>
      <c r="FY781" s="3"/>
      <c r="FZ781" s="3"/>
      <c r="GA781" s="3"/>
      <c r="GB781" s="3"/>
      <c r="GC781" s="3"/>
      <c r="GD781" s="3"/>
      <c r="GE781" s="3"/>
      <c r="GF781" s="3"/>
      <c r="GG781" s="3"/>
      <c r="GH781" s="3"/>
      <c r="GI781" s="3"/>
      <c r="GJ781" s="3"/>
      <c r="GK781" s="3"/>
      <c r="GL781" s="3"/>
      <c r="GM781" s="3"/>
      <c r="GN781" s="3"/>
      <c r="GO781" s="3"/>
      <c r="GP781" s="3"/>
      <c r="GQ781" s="3"/>
      <c r="GR781" s="3"/>
      <c r="GS781" s="3"/>
      <c r="GT781" s="3"/>
      <c r="GU781" s="3"/>
      <c r="GV781" s="3"/>
      <c r="GW781" s="3"/>
      <c r="GX781" s="3"/>
      <c r="GY781" s="3"/>
      <c r="GZ781" s="3"/>
      <c r="HA781" s="3"/>
      <c r="HB781" s="3"/>
    </row>
    <row r="782" spans="1:210" ht="15.75" customHeight="1">
      <c r="A782" s="50"/>
      <c r="B782" s="50"/>
      <c r="C782" s="50"/>
      <c r="D782" s="50"/>
      <c r="E782" s="50"/>
      <c r="F782" s="50"/>
      <c r="G782" s="51"/>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c r="AR782" s="50"/>
      <c r="AS782" s="50"/>
      <c r="AT782" s="50"/>
      <c r="AU782" s="50"/>
      <c r="AV782" s="50"/>
      <c r="AW782" s="50"/>
      <c r="AX782" s="50"/>
      <c r="AY782" s="50"/>
      <c r="AZ782" s="50"/>
      <c r="BA782" s="50"/>
      <c r="BB782" s="50"/>
      <c r="BC782" s="50"/>
      <c r="BD782" s="50"/>
      <c r="BE782" s="50"/>
      <c r="BF782" s="50"/>
      <c r="BG782" s="50"/>
      <c r="BH782" s="50"/>
      <c r="BI782" s="50"/>
      <c r="BJ782" s="50"/>
      <c r="BK782" s="50"/>
      <c r="BL782" s="50"/>
      <c r="BM782" s="50"/>
      <c r="BN782" s="50"/>
      <c r="BO782" s="50"/>
      <c r="BP782" s="50"/>
      <c r="BQ782" s="50"/>
      <c r="BR782" s="50"/>
      <c r="BS782" s="50"/>
      <c r="BT782" s="50"/>
      <c r="BU782" s="50"/>
      <c r="BV782" s="50"/>
      <c r="BW782" s="50"/>
      <c r="BX782" s="50"/>
      <c r="BY782" s="50"/>
      <c r="BZ782" s="50"/>
      <c r="CA782" s="50"/>
      <c r="CB782" s="50"/>
      <c r="CC782" s="50"/>
      <c r="CD782" s="52"/>
      <c r="CE782" s="50"/>
      <c r="CF782" s="50"/>
      <c r="CG782" s="50"/>
      <c r="CH782" s="50"/>
      <c r="CI782" s="50"/>
      <c r="CJ782" s="50"/>
      <c r="CK782" s="50"/>
      <c r="CL782" s="50"/>
      <c r="CM782" s="50"/>
      <c r="CN782" s="50"/>
      <c r="CO782" s="50"/>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c r="FF782" s="3"/>
      <c r="FG782" s="3"/>
      <c r="FH782" s="3"/>
      <c r="FI782" s="3"/>
      <c r="FJ782" s="3"/>
      <c r="FK782" s="3"/>
      <c r="FL782" s="3"/>
      <c r="FM782" s="3"/>
      <c r="FN782" s="3"/>
      <c r="FO782" s="3"/>
      <c r="FP782" s="3"/>
      <c r="FQ782" s="3"/>
      <c r="FR782" s="3"/>
      <c r="FS782" s="3"/>
      <c r="FT782" s="3"/>
      <c r="FU782" s="3"/>
      <c r="FV782" s="3"/>
      <c r="FW782" s="3"/>
      <c r="FX782" s="3"/>
      <c r="FY782" s="3"/>
      <c r="FZ782" s="3"/>
      <c r="GA782" s="3"/>
      <c r="GB782" s="3"/>
      <c r="GC782" s="3"/>
      <c r="GD782" s="3"/>
      <c r="GE782" s="3"/>
      <c r="GF782" s="3"/>
      <c r="GG782" s="3"/>
      <c r="GH782" s="3"/>
      <c r="GI782" s="3"/>
      <c r="GJ782" s="3"/>
      <c r="GK782" s="3"/>
      <c r="GL782" s="3"/>
      <c r="GM782" s="3"/>
      <c r="GN782" s="3"/>
      <c r="GO782" s="3"/>
      <c r="GP782" s="3"/>
      <c r="GQ782" s="3"/>
      <c r="GR782" s="3"/>
      <c r="GS782" s="3"/>
      <c r="GT782" s="3"/>
      <c r="GU782" s="3"/>
      <c r="GV782" s="3"/>
      <c r="GW782" s="3"/>
      <c r="GX782" s="3"/>
      <c r="GY782" s="3"/>
      <c r="GZ782" s="3"/>
      <c r="HA782" s="3"/>
      <c r="HB782" s="3"/>
    </row>
    <row r="783" spans="1:210" ht="15.75" customHeight="1">
      <c r="A783" s="50"/>
      <c r="B783" s="50"/>
      <c r="C783" s="50"/>
      <c r="D783" s="50"/>
      <c r="E783" s="50"/>
      <c r="F783" s="50"/>
      <c r="G783" s="51"/>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c r="AR783" s="50"/>
      <c r="AS783" s="50"/>
      <c r="AT783" s="50"/>
      <c r="AU783" s="50"/>
      <c r="AV783" s="50"/>
      <c r="AW783" s="50"/>
      <c r="AX783" s="50"/>
      <c r="AY783" s="50"/>
      <c r="AZ783" s="50"/>
      <c r="BA783" s="50"/>
      <c r="BB783" s="50"/>
      <c r="BC783" s="50"/>
      <c r="BD783" s="50"/>
      <c r="BE783" s="50"/>
      <c r="BF783" s="50"/>
      <c r="BG783" s="50"/>
      <c r="BH783" s="50"/>
      <c r="BI783" s="50"/>
      <c r="BJ783" s="50"/>
      <c r="BK783" s="50"/>
      <c r="BL783" s="50"/>
      <c r="BM783" s="50"/>
      <c r="BN783" s="50"/>
      <c r="BO783" s="50"/>
      <c r="BP783" s="50"/>
      <c r="BQ783" s="50"/>
      <c r="BR783" s="50"/>
      <c r="BS783" s="50"/>
      <c r="BT783" s="50"/>
      <c r="BU783" s="50"/>
      <c r="BV783" s="50"/>
      <c r="BW783" s="50"/>
      <c r="BX783" s="50"/>
      <c r="BY783" s="50"/>
      <c r="BZ783" s="50"/>
      <c r="CA783" s="50"/>
      <c r="CB783" s="50"/>
      <c r="CC783" s="50"/>
      <c r="CD783" s="52"/>
      <c r="CE783" s="50"/>
      <c r="CF783" s="50"/>
      <c r="CG783" s="50"/>
      <c r="CH783" s="50"/>
      <c r="CI783" s="50"/>
      <c r="CJ783" s="50"/>
      <c r="CK783" s="50"/>
      <c r="CL783" s="50"/>
      <c r="CM783" s="50"/>
      <c r="CN783" s="50"/>
      <c r="CO783" s="50"/>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c r="FF783" s="3"/>
      <c r="FG783" s="3"/>
      <c r="FH783" s="3"/>
      <c r="FI783" s="3"/>
      <c r="FJ783" s="3"/>
      <c r="FK783" s="3"/>
      <c r="FL783" s="3"/>
      <c r="FM783" s="3"/>
      <c r="FN783" s="3"/>
      <c r="FO783" s="3"/>
      <c r="FP783" s="3"/>
      <c r="FQ783" s="3"/>
      <c r="FR783" s="3"/>
      <c r="FS783" s="3"/>
      <c r="FT783" s="3"/>
      <c r="FU783" s="3"/>
      <c r="FV783" s="3"/>
      <c r="FW783" s="3"/>
      <c r="FX783" s="3"/>
      <c r="FY783" s="3"/>
      <c r="FZ783" s="3"/>
      <c r="GA783" s="3"/>
      <c r="GB783" s="3"/>
      <c r="GC783" s="3"/>
      <c r="GD783" s="3"/>
      <c r="GE783" s="3"/>
      <c r="GF783" s="3"/>
      <c r="GG783" s="3"/>
      <c r="GH783" s="3"/>
      <c r="GI783" s="3"/>
      <c r="GJ783" s="3"/>
      <c r="GK783" s="3"/>
      <c r="GL783" s="3"/>
      <c r="GM783" s="3"/>
      <c r="GN783" s="3"/>
      <c r="GO783" s="3"/>
      <c r="GP783" s="3"/>
      <c r="GQ783" s="3"/>
      <c r="GR783" s="3"/>
      <c r="GS783" s="3"/>
      <c r="GT783" s="3"/>
      <c r="GU783" s="3"/>
      <c r="GV783" s="3"/>
      <c r="GW783" s="3"/>
      <c r="GX783" s="3"/>
      <c r="GY783" s="3"/>
      <c r="GZ783" s="3"/>
      <c r="HA783" s="3"/>
      <c r="HB783" s="3"/>
    </row>
    <row r="784" spans="1:210" ht="15.75" customHeight="1">
      <c r="A784" s="50"/>
      <c r="B784" s="50"/>
      <c r="C784" s="50"/>
      <c r="D784" s="50"/>
      <c r="E784" s="50"/>
      <c r="F784" s="50"/>
      <c r="G784" s="51"/>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c r="AR784" s="50"/>
      <c r="AS784" s="50"/>
      <c r="AT784" s="50"/>
      <c r="AU784" s="50"/>
      <c r="AV784" s="50"/>
      <c r="AW784" s="50"/>
      <c r="AX784" s="50"/>
      <c r="AY784" s="50"/>
      <c r="AZ784" s="50"/>
      <c r="BA784" s="50"/>
      <c r="BB784" s="50"/>
      <c r="BC784" s="50"/>
      <c r="BD784" s="50"/>
      <c r="BE784" s="50"/>
      <c r="BF784" s="50"/>
      <c r="BG784" s="50"/>
      <c r="BH784" s="50"/>
      <c r="BI784" s="50"/>
      <c r="BJ784" s="50"/>
      <c r="BK784" s="50"/>
      <c r="BL784" s="50"/>
      <c r="BM784" s="50"/>
      <c r="BN784" s="50"/>
      <c r="BO784" s="50"/>
      <c r="BP784" s="50"/>
      <c r="BQ784" s="50"/>
      <c r="BR784" s="50"/>
      <c r="BS784" s="50"/>
      <c r="BT784" s="50"/>
      <c r="BU784" s="50"/>
      <c r="BV784" s="50"/>
      <c r="BW784" s="50"/>
      <c r="BX784" s="50"/>
      <c r="BY784" s="50"/>
      <c r="BZ784" s="50"/>
      <c r="CA784" s="50"/>
      <c r="CB784" s="50"/>
      <c r="CC784" s="50"/>
      <c r="CD784" s="52"/>
      <c r="CE784" s="50"/>
      <c r="CF784" s="50"/>
      <c r="CG784" s="50"/>
      <c r="CH784" s="50"/>
      <c r="CI784" s="50"/>
      <c r="CJ784" s="50"/>
      <c r="CK784" s="50"/>
      <c r="CL784" s="50"/>
      <c r="CM784" s="50"/>
      <c r="CN784" s="50"/>
      <c r="CO784" s="50"/>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c r="FF784" s="3"/>
      <c r="FG784" s="3"/>
      <c r="FH784" s="3"/>
      <c r="FI784" s="3"/>
      <c r="FJ784" s="3"/>
      <c r="FK784" s="3"/>
      <c r="FL784" s="3"/>
      <c r="FM784" s="3"/>
      <c r="FN784" s="3"/>
      <c r="FO784" s="3"/>
      <c r="FP784" s="3"/>
      <c r="FQ784" s="3"/>
      <c r="FR784" s="3"/>
      <c r="FS784" s="3"/>
      <c r="FT784" s="3"/>
      <c r="FU784" s="3"/>
      <c r="FV784" s="3"/>
      <c r="FW784" s="3"/>
      <c r="FX784" s="3"/>
      <c r="FY784" s="3"/>
      <c r="FZ784" s="3"/>
      <c r="GA784" s="3"/>
      <c r="GB784" s="3"/>
      <c r="GC784" s="3"/>
      <c r="GD784" s="3"/>
      <c r="GE784" s="3"/>
      <c r="GF784" s="3"/>
      <c r="GG784" s="3"/>
      <c r="GH784" s="3"/>
      <c r="GI784" s="3"/>
      <c r="GJ784" s="3"/>
      <c r="GK784" s="3"/>
      <c r="GL784" s="3"/>
      <c r="GM784" s="3"/>
      <c r="GN784" s="3"/>
      <c r="GO784" s="3"/>
      <c r="GP784" s="3"/>
      <c r="GQ784" s="3"/>
      <c r="GR784" s="3"/>
      <c r="GS784" s="3"/>
      <c r="GT784" s="3"/>
      <c r="GU784" s="3"/>
      <c r="GV784" s="3"/>
      <c r="GW784" s="3"/>
      <c r="GX784" s="3"/>
      <c r="GY784" s="3"/>
      <c r="GZ784" s="3"/>
      <c r="HA784" s="3"/>
      <c r="HB784" s="3"/>
    </row>
    <row r="785" spans="1:210" ht="15.75" customHeight="1">
      <c r="A785" s="50"/>
      <c r="B785" s="50"/>
      <c r="C785" s="50"/>
      <c r="D785" s="50"/>
      <c r="E785" s="50"/>
      <c r="F785" s="50"/>
      <c r="G785" s="51"/>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c r="AR785" s="50"/>
      <c r="AS785" s="50"/>
      <c r="AT785" s="50"/>
      <c r="AU785" s="50"/>
      <c r="AV785" s="50"/>
      <c r="AW785" s="50"/>
      <c r="AX785" s="50"/>
      <c r="AY785" s="50"/>
      <c r="AZ785" s="50"/>
      <c r="BA785" s="50"/>
      <c r="BB785" s="50"/>
      <c r="BC785" s="50"/>
      <c r="BD785" s="50"/>
      <c r="BE785" s="50"/>
      <c r="BF785" s="50"/>
      <c r="BG785" s="50"/>
      <c r="BH785" s="50"/>
      <c r="BI785" s="50"/>
      <c r="BJ785" s="50"/>
      <c r="BK785" s="50"/>
      <c r="BL785" s="50"/>
      <c r="BM785" s="50"/>
      <c r="BN785" s="50"/>
      <c r="BO785" s="50"/>
      <c r="BP785" s="50"/>
      <c r="BQ785" s="50"/>
      <c r="BR785" s="50"/>
      <c r="BS785" s="50"/>
      <c r="BT785" s="50"/>
      <c r="BU785" s="50"/>
      <c r="BV785" s="50"/>
      <c r="BW785" s="50"/>
      <c r="BX785" s="50"/>
      <c r="BY785" s="50"/>
      <c r="BZ785" s="50"/>
      <c r="CA785" s="50"/>
      <c r="CB785" s="50"/>
      <c r="CC785" s="50"/>
      <c r="CD785" s="52"/>
      <c r="CE785" s="50"/>
      <c r="CF785" s="50"/>
      <c r="CG785" s="50"/>
      <c r="CH785" s="50"/>
      <c r="CI785" s="50"/>
      <c r="CJ785" s="50"/>
      <c r="CK785" s="50"/>
      <c r="CL785" s="50"/>
      <c r="CM785" s="50"/>
      <c r="CN785" s="50"/>
      <c r="CO785" s="50"/>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c r="FF785" s="3"/>
      <c r="FG785" s="3"/>
      <c r="FH785" s="3"/>
      <c r="FI785" s="3"/>
      <c r="FJ785" s="3"/>
      <c r="FK785" s="3"/>
      <c r="FL785" s="3"/>
      <c r="FM785" s="3"/>
      <c r="FN785" s="3"/>
      <c r="FO785" s="3"/>
      <c r="FP785" s="3"/>
      <c r="FQ785" s="3"/>
      <c r="FR785" s="3"/>
      <c r="FS785" s="3"/>
      <c r="FT785" s="3"/>
      <c r="FU785" s="3"/>
      <c r="FV785" s="3"/>
      <c r="FW785" s="3"/>
      <c r="FX785" s="3"/>
      <c r="FY785" s="3"/>
      <c r="FZ785" s="3"/>
      <c r="GA785" s="3"/>
      <c r="GB785" s="3"/>
      <c r="GC785" s="3"/>
      <c r="GD785" s="3"/>
      <c r="GE785" s="3"/>
      <c r="GF785" s="3"/>
      <c r="GG785" s="3"/>
      <c r="GH785" s="3"/>
      <c r="GI785" s="3"/>
      <c r="GJ785" s="3"/>
      <c r="GK785" s="3"/>
      <c r="GL785" s="3"/>
      <c r="GM785" s="3"/>
      <c r="GN785" s="3"/>
      <c r="GO785" s="3"/>
      <c r="GP785" s="3"/>
      <c r="GQ785" s="3"/>
      <c r="GR785" s="3"/>
      <c r="GS785" s="3"/>
      <c r="GT785" s="3"/>
      <c r="GU785" s="3"/>
      <c r="GV785" s="3"/>
      <c r="GW785" s="3"/>
      <c r="GX785" s="3"/>
      <c r="GY785" s="3"/>
      <c r="GZ785" s="3"/>
      <c r="HA785" s="3"/>
      <c r="HB785" s="3"/>
    </row>
    <row r="786" spans="1:210" ht="15.75" customHeight="1">
      <c r="A786" s="50"/>
      <c r="B786" s="50"/>
      <c r="C786" s="50"/>
      <c r="D786" s="50"/>
      <c r="E786" s="50"/>
      <c r="F786" s="50"/>
      <c r="G786" s="51"/>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c r="AR786" s="50"/>
      <c r="AS786" s="50"/>
      <c r="AT786" s="50"/>
      <c r="AU786" s="50"/>
      <c r="AV786" s="50"/>
      <c r="AW786" s="50"/>
      <c r="AX786" s="50"/>
      <c r="AY786" s="50"/>
      <c r="AZ786" s="50"/>
      <c r="BA786" s="50"/>
      <c r="BB786" s="50"/>
      <c r="BC786" s="50"/>
      <c r="BD786" s="50"/>
      <c r="BE786" s="50"/>
      <c r="BF786" s="50"/>
      <c r="BG786" s="50"/>
      <c r="BH786" s="50"/>
      <c r="BI786" s="50"/>
      <c r="BJ786" s="50"/>
      <c r="BK786" s="50"/>
      <c r="BL786" s="50"/>
      <c r="BM786" s="50"/>
      <c r="BN786" s="50"/>
      <c r="BO786" s="50"/>
      <c r="BP786" s="50"/>
      <c r="BQ786" s="50"/>
      <c r="BR786" s="50"/>
      <c r="BS786" s="50"/>
      <c r="BT786" s="50"/>
      <c r="BU786" s="50"/>
      <c r="BV786" s="50"/>
      <c r="BW786" s="50"/>
      <c r="BX786" s="50"/>
      <c r="BY786" s="50"/>
      <c r="BZ786" s="50"/>
      <c r="CA786" s="50"/>
      <c r="CB786" s="50"/>
      <c r="CC786" s="50"/>
      <c r="CD786" s="52"/>
      <c r="CE786" s="50"/>
      <c r="CF786" s="50"/>
      <c r="CG786" s="50"/>
      <c r="CH786" s="50"/>
      <c r="CI786" s="50"/>
      <c r="CJ786" s="50"/>
      <c r="CK786" s="50"/>
      <c r="CL786" s="50"/>
      <c r="CM786" s="50"/>
      <c r="CN786" s="50"/>
      <c r="CO786" s="50"/>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c r="FF786" s="3"/>
      <c r="FG786" s="3"/>
      <c r="FH786" s="3"/>
      <c r="FI786" s="3"/>
      <c r="FJ786" s="3"/>
      <c r="FK786" s="3"/>
      <c r="FL786" s="3"/>
      <c r="FM786" s="3"/>
      <c r="FN786" s="3"/>
      <c r="FO786" s="3"/>
      <c r="FP786" s="3"/>
      <c r="FQ786" s="3"/>
      <c r="FR786" s="3"/>
      <c r="FS786" s="3"/>
      <c r="FT786" s="3"/>
      <c r="FU786" s="3"/>
      <c r="FV786" s="3"/>
      <c r="FW786" s="3"/>
      <c r="FX786" s="3"/>
      <c r="FY786" s="3"/>
      <c r="FZ786" s="3"/>
      <c r="GA786" s="3"/>
      <c r="GB786" s="3"/>
      <c r="GC786" s="3"/>
      <c r="GD786" s="3"/>
      <c r="GE786" s="3"/>
      <c r="GF786" s="3"/>
      <c r="GG786" s="3"/>
      <c r="GH786" s="3"/>
      <c r="GI786" s="3"/>
      <c r="GJ786" s="3"/>
      <c r="GK786" s="3"/>
      <c r="GL786" s="3"/>
      <c r="GM786" s="3"/>
      <c r="GN786" s="3"/>
      <c r="GO786" s="3"/>
      <c r="GP786" s="3"/>
      <c r="GQ786" s="3"/>
      <c r="GR786" s="3"/>
      <c r="GS786" s="3"/>
      <c r="GT786" s="3"/>
      <c r="GU786" s="3"/>
      <c r="GV786" s="3"/>
      <c r="GW786" s="3"/>
      <c r="GX786" s="3"/>
      <c r="GY786" s="3"/>
      <c r="GZ786" s="3"/>
      <c r="HA786" s="3"/>
      <c r="HB786" s="3"/>
    </row>
    <row r="787" spans="1:210" ht="15.75" customHeight="1">
      <c r="A787" s="50"/>
      <c r="B787" s="50"/>
      <c r="C787" s="50"/>
      <c r="D787" s="50"/>
      <c r="E787" s="50"/>
      <c r="F787" s="50"/>
      <c r="G787" s="51"/>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c r="AR787" s="50"/>
      <c r="AS787" s="50"/>
      <c r="AT787" s="50"/>
      <c r="AU787" s="50"/>
      <c r="AV787" s="50"/>
      <c r="AW787" s="50"/>
      <c r="AX787" s="50"/>
      <c r="AY787" s="50"/>
      <c r="AZ787" s="50"/>
      <c r="BA787" s="50"/>
      <c r="BB787" s="50"/>
      <c r="BC787" s="50"/>
      <c r="BD787" s="50"/>
      <c r="BE787" s="50"/>
      <c r="BF787" s="50"/>
      <c r="BG787" s="50"/>
      <c r="BH787" s="50"/>
      <c r="BI787" s="50"/>
      <c r="BJ787" s="50"/>
      <c r="BK787" s="50"/>
      <c r="BL787" s="50"/>
      <c r="BM787" s="50"/>
      <c r="BN787" s="50"/>
      <c r="BO787" s="50"/>
      <c r="BP787" s="50"/>
      <c r="BQ787" s="50"/>
      <c r="BR787" s="50"/>
      <c r="BS787" s="50"/>
      <c r="BT787" s="50"/>
      <c r="BU787" s="50"/>
      <c r="BV787" s="50"/>
      <c r="BW787" s="50"/>
      <c r="BX787" s="50"/>
      <c r="BY787" s="50"/>
      <c r="BZ787" s="50"/>
      <c r="CA787" s="50"/>
      <c r="CB787" s="50"/>
      <c r="CC787" s="50"/>
      <c r="CD787" s="52"/>
      <c r="CE787" s="50"/>
      <c r="CF787" s="50"/>
      <c r="CG787" s="50"/>
      <c r="CH787" s="50"/>
      <c r="CI787" s="50"/>
      <c r="CJ787" s="50"/>
      <c r="CK787" s="50"/>
      <c r="CL787" s="50"/>
      <c r="CM787" s="50"/>
      <c r="CN787" s="50"/>
      <c r="CO787" s="50"/>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c r="FF787" s="3"/>
      <c r="FG787" s="3"/>
      <c r="FH787" s="3"/>
      <c r="FI787" s="3"/>
      <c r="FJ787" s="3"/>
      <c r="FK787" s="3"/>
      <c r="FL787" s="3"/>
      <c r="FM787" s="3"/>
      <c r="FN787" s="3"/>
      <c r="FO787" s="3"/>
      <c r="FP787" s="3"/>
      <c r="FQ787" s="3"/>
      <c r="FR787" s="3"/>
      <c r="FS787" s="3"/>
      <c r="FT787" s="3"/>
      <c r="FU787" s="3"/>
      <c r="FV787" s="3"/>
      <c r="FW787" s="3"/>
      <c r="FX787" s="3"/>
      <c r="FY787" s="3"/>
      <c r="FZ787" s="3"/>
      <c r="GA787" s="3"/>
      <c r="GB787" s="3"/>
      <c r="GC787" s="3"/>
      <c r="GD787" s="3"/>
      <c r="GE787" s="3"/>
      <c r="GF787" s="3"/>
      <c r="GG787" s="3"/>
      <c r="GH787" s="3"/>
      <c r="GI787" s="3"/>
      <c r="GJ787" s="3"/>
      <c r="GK787" s="3"/>
      <c r="GL787" s="3"/>
      <c r="GM787" s="3"/>
      <c r="GN787" s="3"/>
      <c r="GO787" s="3"/>
      <c r="GP787" s="3"/>
      <c r="GQ787" s="3"/>
      <c r="GR787" s="3"/>
      <c r="GS787" s="3"/>
      <c r="GT787" s="3"/>
      <c r="GU787" s="3"/>
      <c r="GV787" s="3"/>
      <c r="GW787" s="3"/>
      <c r="GX787" s="3"/>
      <c r="GY787" s="3"/>
      <c r="GZ787" s="3"/>
      <c r="HA787" s="3"/>
      <c r="HB787" s="3"/>
    </row>
    <row r="788" spans="1:210" ht="15.75" customHeight="1">
      <c r="A788" s="50"/>
      <c r="B788" s="50"/>
      <c r="C788" s="50"/>
      <c r="D788" s="50"/>
      <c r="E788" s="50"/>
      <c r="F788" s="50"/>
      <c r="G788" s="51"/>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c r="AR788" s="50"/>
      <c r="AS788" s="50"/>
      <c r="AT788" s="50"/>
      <c r="AU788" s="50"/>
      <c r="AV788" s="50"/>
      <c r="AW788" s="50"/>
      <c r="AX788" s="50"/>
      <c r="AY788" s="50"/>
      <c r="AZ788" s="50"/>
      <c r="BA788" s="50"/>
      <c r="BB788" s="50"/>
      <c r="BC788" s="50"/>
      <c r="BD788" s="50"/>
      <c r="BE788" s="50"/>
      <c r="BF788" s="50"/>
      <c r="BG788" s="50"/>
      <c r="BH788" s="50"/>
      <c r="BI788" s="50"/>
      <c r="BJ788" s="50"/>
      <c r="BK788" s="50"/>
      <c r="BL788" s="50"/>
      <c r="BM788" s="50"/>
      <c r="BN788" s="50"/>
      <c r="BO788" s="50"/>
      <c r="BP788" s="50"/>
      <c r="BQ788" s="50"/>
      <c r="BR788" s="50"/>
      <c r="BS788" s="50"/>
      <c r="BT788" s="50"/>
      <c r="BU788" s="50"/>
      <c r="BV788" s="50"/>
      <c r="BW788" s="50"/>
      <c r="BX788" s="50"/>
      <c r="BY788" s="50"/>
      <c r="BZ788" s="50"/>
      <c r="CA788" s="50"/>
      <c r="CB788" s="50"/>
      <c r="CC788" s="50"/>
      <c r="CD788" s="52"/>
      <c r="CE788" s="50"/>
      <c r="CF788" s="50"/>
      <c r="CG788" s="50"/>
      <c r="CH788" s="50"/>
      <c r="CI788" s="50"/>
      <c r="CJ788" s="50"/>
      <c r="CK788" s="50"/>
      <c r="CL788" s="50"/>
      <c r="CM788" s="50"/>
      <c r="CN788" s="50"/>
      <c r="CO788" s="50"/>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c r="FF788" s="3"/>
      <c r="FG788" s="3"/>
      <c r="FH788" s="3"/>
      <c r="FI788" s="3"/>
      <c r="FJ788" s="3"/>
      <c r="FK788" s="3"/>
      <c r="FL788" s="3"/>
      <c r="FM788" s="3"/>
      <c r="FN788" s="3"/>
      <c r="FO788" s="3"/>
      <c r="FP788" s="3"/>
      <c r="FQ788" s="3"/>
      <c r="FR788" s="3"/>
      <c r="FS788" s="3"/>
      <c r="FT788" s="3"/>
      <c r="FU788" s="3"/>
      <c r="FV788" s="3"/>
      <c r="FW788" s="3"/>
      <c r="FX788" s="3"/>
      <c r="FY788" s="3"/>
      <c r="FZ788" s="3"/>
      <c r="GA788" s="3"/>
      <c r="GB788" s="3"/>
      <c r="GC788" s="3"/>
      <c r="GD788" s="3"/>
      <c r="GE788" s="3"/>
      <c r="GF788" s="3"/>
      <c r="GG788" s="3"/>
      <c r="GH788" s="3"/>
      <c r="GI788" s="3"/>
      <c r="GJ788" s="3"/>
      <c r="GK788" s="3"/>
      <c r="GL788" s="3"/>
      <c r="GM788" s="3"/>
      <c r="GN788" s="3"/>
      <c r="GO788" s="3"/>
      <c r="GP788" s="3"/>
      <c r="GQ788" s="3"/>
      <c r="GR788" s="3"/>
      <c r="GS788" s="3"/>
      <c r="GT788" s="3"/>
      <c r="GU788" s="3"/>
      <c r="GV788" s="3"/>
      <c r="GW788" s="3"/>
      <c r="GX788" s="3"/>
      <c r="GY788" s="3"/>
      <c r="GZ788" s="3"/>
      <c r="HA788" s="3"/>
      <c r="HB788" s="3"/>
    </row>
    <row r="789" spans="1:210" ht="15.75" customHeight="1">
      <c r="A789" s="50"/>
      <c r="B789" s="50"/>
      <c r="C789" s="50"/>
      <c r="D789" s="50"/>
      <c r="E789" s="50"/>
      <c r="F789" s="50"/>
      <c r="G789" s="51"/>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c r="AR789" s="50"/>
      <c r="AS789" s="50"/>
      <c r="AT789" s="50"/>
      <c r="AU789" s="50"/>
      <c r="AV789" s="50"/>
      <c r="AW789" s="50"/>
      <c r="AX789" s="50"/>
      <c r="AY789" s="50"/>
      <c r="AZ789" s="50"/>
      <c r="BA789" s="50"/>
      <c r="BB789" s="50"/>
      <c r="BC789" s="50"/>
      <c r="BD789" s="50"/>
      <c r="BE789" s="50"/>
      <c r="BF789" s="50"/>
      <c r="BG789" s="50"/>
      <c r="BH789" s="50"/>
      <c r="BI789" s="50"/>
      <c r="BJ789" s="50"/>
      <c r="BK789" s="50"/>
      <c r="BL789" s="50"/>
      <c r="BM789" s="50"/>
      <c r="BN789" s="50"/>
      <c r="BO789" s="50"/>
      <c r="BP789" s="50"/>
      <c r="BQ789" s="50"/>
      <c r="BR789" s="50"/>
      <c r="BS789" s="50"/>
      <c r="BT789" s="50"/>
      <c r="BU789" s="50"/>
      <c r="BV789" s="50"/>
      <c r="BW789" s="50"/>
      <c r="BX789" s="50"/>
      <c r="BY789" s="50"/>
      <c r="BZ789" s="50"/>
      <c r="CA789" s="50"/>
      <c r="CB789" s="50"/>
      <c r="CC789" s="50"/>
      <c r="CD789" s="52"/>
      <c r="CE789" s="50"/>
      <c r="CF789" s="50"/>
      <c r="CG789" s="50"/>
      <c r="CH789" s="50"/>
      <c r="CI789" s="50"/>
      <c r="CJ789" s="50"/>
      <c r="CK789" s="50"/>
      <c r="CL789" s="50"/>
      <c r="CM789" s="50"/>
      <c r="CN789" s="50"/>
      <c r="CO789" s="50"/>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c r="FF789" s="3"/>
      <c r="FG789" s="3"/>
      <c r="FH789" s="3"/>
      <c r="FI789" s="3"/>
      <c r="FJ789" s="3"/>
      <c r="FK789" s="3"/>
      <c r="FL789" s="3"/>
      <c r="FM789" s="3"/>
      <c r="FN789" s="3"/>
      <c r="FO789" s="3"/>
      <c r="FP789" s="3"/>
      <c r="FQ789" s="3"/>
      <c r="FR789" s="3"/>
      <c r="FS789" s="3"/>
      <c r="FT789" s="3"/>
      <c r="FU789" s="3"/>
      <c r="FV789" s="3"/>
      <c r="FW789" s="3"/>
      <c r="FX789" s="3"/>
      <c r="FY789" s="3"/>
      <c r="FZ789" s="3"/>
      <c r="GA789" s="3"/>
      <c r="GB789" s="3"/>
      <c r="GC789" s="3"/>
      <c r="GD789" s="3"/>
      <c r="GE789" s="3"/>
      <c r="GF789" s="3"/>
      <c r="GG789" s="3"/>
      <c r="GH789" s="3"/>
      <c r="GI789" s="3"/>
      <c r="GJ789" s="3"/>
      <c r="GK789" s="3"/>
      <c r="GL789" s="3"/>
      <c r="GM789" s="3"/>
      <c r="GN789" s="3"/>
      <c r="GO789" s="3"/>
      <c r="GP789" s="3"/>
      <c r="GQ789" s="3"/>
      <c r="GR789" s="3"/>
      <c r="GS789" s="3"/>
      <c r="GT789" s="3"/>
      <c r="GU789" s="3"/>
      <c r="GV789" s="3"/>
      <c r="GW789" s="3"/>
      <c r="GX789" s="3"/>
      <c r="GY789" s="3"/>
      <c r="GZ789" s="3"/>
      <c r="HA789" s="3"/>
      <c r="HB789" s="3"/>
    </row>
    <row r="790" spans="1:210" ht="15.75" customHeight="1">
      <c r="A790" s="50"/>
      <c r="B790" s="50"/>
      <c r="C790" s="50"/>
      <c r="D790" s="50"/>
      <c r="E790" s="50"/>
      <c r="F790" s="50"/>
      <c r="G790" s="51"/>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c r="AR790" s="50"/>
      <c r="AS790" s="50"/>
      <c r="AT790" s="50"/>
      <c r="AU790" s="50"/>
      <c r="AV790" s="50"/>
      <c r="AW790" s="50"/>
      <c r="AX790" s="50"/>
      <c r="AY790" s="50"/>
      <c r="AZ790" s="50"/>
      <c r="BA790" s="50"/>
      <c r="BB790" s="50"/>
      <c r="BC790" s="50"/>
      <c r="BD790" s="50"/>
      <c r="BE790" s="50"/>
      <c r="BF790" s="50"/>
      <c r="BG790" s="50"/>
      <c r="BH790" s="50"/>
      <c r="BI790" s="50"/>
      <c r="BJ790" s="50"/>
      <c r="BK790" s="50"/>
      <c r="BL790" s="50"/>
      <c r="BM790" s="50"/>
      <c r="BN790" s="50"/>
      <c r="BO790" s="50"/>
      <c r="BP790" s="50"/>
      <c r="BQ790" s="50"/>
      <c r="BR790" s="50"/>
      <c r="BS790" s="50"/>
      <c r="BT790" s="50"/>
      <c r="BU790" s="50"/>
      <c r="BV790" s="50"/>
      <c r="BW790" s="50"/>
      <c r="BX790" s="50"/>
      <c r="BY790" s="50"/>
      <c r="BZ790" s="50"/>
      <c r="CA790" s="50"/>
      <c r="CB790" s="50"/>
      <c r="CC790" s="50"/>
      <c r="CD790" s="52"/>
      <c r="CE790" s="50"/>
      <c r="CF790" s="50"/>
      <c r="CG790" s="50"/>
      <c r="CH790" s="50"/>
      <c r="CI790" s="50"/>
      <c r="CJ790" s="50"/>
      <c r="CK790" s="50"/>
      <c r="CL790" s="50"/>
      <c r="CM790" s="50"/>
      <c r="CN790" s="50"/>
      <c r="CO790" s="50"/>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c r="FF790" s="3"/>
      <c r="FG790" s="3"/>
      <c r="FH790" s="3"/>
      <c r="FI790" s="3"/>
      <c r="FJ790" s="3"/>
      <c r="FK790" s="3"/>
      <c r="FL790" s="3"/>
      <c r="FM790" s="3"/>
      <c r="FN790" s="3"/>
      <c r="FO790" s="3"/>
      <c r="FP790" s="3"/>
      <c r="FQ790" s="3"/>
      <c r="FR790" s="3"/>
      <c r="FS790" s="3"/>
      <c r="FT790" s="3"/>
      <c r="FU790" s="3"/>
      <c r="FV790" s="3"/>
      <c r="FW790" s="3"/>
      <c r="FX790" s="3"/>
      <c r="FY790" s="3"/>
      <c r="FZ790" s="3"/>
      <c r="GA790" s="3"/>
      <c r="GB790" s="3"/>
      <c r="GC790" s="3"/>
      <c r="GD790" s="3"/>
      <c r="GE790" s="3"/>
      <c r="GF790" s="3"/>
      <c r="GG790" s="3"/>
      <c r="GH790" s="3"/>
      <c r="GI790" s="3"/>
      <c r="GJ790" s="3"/>
      <c r="GK790" s="3"/>
      <c r="GL790" s="3"/>
      <c r="GM790" s="3"/>
      <c r="GN790" s="3"/>
      <c r="GO790" s="3"/>
      <c r="GP790" s="3"/>
      <c r="GQ790" s="3"/>
      <c r="GR790" s="3"/>
      <c r="GS790" s="3"/>
      <c r="GT790" s="3"/>
      <c r="GU790" s="3"/>
      <c r="GV790" s="3"/>
      <c r="GW790" s="3"/>
      <c r="GX790" s="3"/>
      <c r="GY790" s="3"/>
      <c r="GZ790" s="3"/>
      <c r="HA790" s="3"/>
      <c r="HB790" s="3"/>
    </row>
    <row r="791" spans="1:210" ht="15.75" customHeight="1">
      <c r="A791" s="50"/>
      <c r="B791" s="50"/>
      <c r="C791" s="50"/>
      <c r="D791" s="50"/>
      <c r="E791" s="50"/>
      <c r="F791" s="50"/>
      <c r="G791" s="51"/>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c r="AR791" s="50"/>
      <c r="AS791" s="50"/>
      <c r="AT791" s="50"/>
      <c r="AU791" s="50"/>
      <c r="AV791" s="50"/>
      <c r="AW791" s="50"/>
      <c r="AX791" s="50"/>
      <c r="AY791" s="50"/>
      <c r="AZ791" s="50"/>
      <c r="BA791" s="50"/>
      <c r="BB791" s="50"/>
      <c r="BC791" s="50"/>
      <c r="BD791" s="50"/>
      <c r="BE791" s="50"/>
      <c r="BF791" s="50"/>
      <c r="BG791" s="50"/>
      <c r="BH791" s="50"/>
      <c r="BI791" s="50"/>
      <c r="BJ791" s="50"/>
      <c r="BK791" s="50"/>
      <c r="BL791" s="50"/>
      <c r="BM791" s="50"/>
      <c r="BN791" s="50"/>
      <c r="BO791" s="50"/>
      <c r="BP791" s="50"/>
      <c r="BQ791" s="50"/>
      <c r="BR791" s="50"/>
      <c r="BS791" s="50"/>
      <c r="BT791" s="50"/>
      <c r="BU791" s="50"/>
      <c r="BV791" s="50"/>
      <c r="BW791" s="50"/>
      <c r="BX791" s="50"/>
      <c r="BY791" s="50"/>
      <c r="BZ791" s="50"/>
      <c r="CA791" s="50"/>
      <c r="CB791" s="50"/>
      <c r="CC791" s="50"/>
      <c r="CD791" s="52"/>
      <c r="CE791" s="50"/>
      <c r="CF791" s="50"/>
      <c r="CG791" s="50"/>
      <c r="CH791" s="50"/>
      <c r="CI791" s="50"/>
      <c r="CJ791" s="50"/>
      <c r="CK791" s="50"/>
      <c r="CL791" s="50"/>
      <c r="CM791" s="50"/>
      <c r="CN791" s="50"/>
      <c r="CO791" s="50"/>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c r="FF791" s="3"/>
      <c r="FG791" s="3"/>
      <c r="FH791" s="3"/>
      <c r="FI791" s="3"/>
      <c r="FJ791" s="3"/>
      <c r="FK791" s="3"/>
      <c r="FL791" s="3"/>
      <c r="FM791" s="3"/>
      <c r="FN791" s="3"/>
      <c r="FO791" s="3"/>
      <c r="FP791" s="3"/>
      <c r="FQ791" s="3"/>
      <c r="FR791" s="3"/>
      <c r="FS791" s="3"/>
      <c r="FT791" s="3"/>
      <c r="FU791" s="3"/>
      <c r="FV791" s="3"/>
      <c r="FW791" s="3"/>
      <c r="FX791" s="3"/>
      <c r="FY791" s="3"/>
      <c r="FZ791" s="3"/>
      <c r="GA791" s="3"/>
      <c r="GB791" s="3"/>
      <c r="GC791" s="3"/>
      <c r="GD791" s="3"/>
      <c r="GE791" s="3"/>
      <c r="GF791" s="3"/>
      <c r="GG791" s="3"/>
      <c r="GH791" s="3"/>
      <c r="GI791" s="3"/>
      <c r="GJ791" s="3"/>
      <c r="GK791" s="3"/>
      <c r="GL791" s="3"/>
      <c r="GM791" s="3"/>
      <c r="GN791" s="3"/>
      <c r="GO791" s="3"/>
      <c r="GP791" s="3"/>
      <c r="GQ791" s="3"/>
      <c r="GR791" s="3"/>
      <c r="GS791" s="3"/>
      <c r="GT791" s="3"/>
      <c r="GU791" s="3"/>
      <c r="GV791" s="3"/>
      <c r="GW791" s="3"/>
      <c r="GX791" s="3"/>
      <c r="GY791" s="3"/>
      <c r="GZ791" s="3"/>
      <c r="HA791" s="3"/>
      <c r="HB791" s="3"/>
    </row>
    <row r="792" spans="1:210" ht="15.75" customHeight="1">
      <c r="A792" s="50"/>
      <c r="B792" s="50"/>
      <c r="C792" s="50"/>
      <c r="D792" s="50"/>
      <c r="E792" s="50"/>
      <c r="F792" s="50"/>
      <c r="G792" s="51"/>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c r="AS792" s="50"/>
      <c r="AT792" s="50"/>
      <c r="AU792" s="50"/>
      <c r="AV792" s="50"/>
      <c r="AW792" s="50"/>
      <c r="AX792" s="50"/>
      <c r="AY792" s="50"/>
      <c r="AZ792" s="50"/>
      <c r="BA792" s="50"/>
      <c r="BB792" s="50"/>
      <c r="BC792" s="50"/>
      <c r="BD792" s="50"/>
      <c r="BE792" s="50"/>
      <c r="BF792" s="50"/>
      <c r="BG792" s="50"/>
      <c r="BH792" s="50"/>
      <c r="BI792" s="50"/>
      <c r="BJ792" s="50"/>
      <c r="BK792" s="50"/>
      <c r="BL792" s="50"/>
      <c r="BM792" s="50"/>
      <c r="BN792" s="50"/>
      <c r="BO792" s="50"/>
      <c r="BP792" s="50"/>
      <c r="BQ792" s="50"/>
      <c r="BR792" s="50"/>
      <c r="BS792" s="50"/>
      <c r="BT792" s="50"/>
      <c r="BU792" s="50"/>
      <c r="BV792" s="50"/>
      <c r="BW792" s="50"/>
      <c r="BX792" s="50"/>
      <c r="BY792" s="50"/>
      <c r="BZ792" s="50"/>
      <c r="CA792" s="50"/>
      <c r="CB792" s="50"/>
      <c r="CC792" s="50"/>
      <c r="CD792" s="52"/>
      <c r="CE792" s="50"/>
      <c r="CF792" s="50"/>
      <c r="CG792" s="50"/>
      <c r="CH792" s="50"/>
      <c r="CI792" s="50"/>
      <c r="CJ792" s="50"/>
      <c r="CK792" s="50"/>
      <c r="CL792" s="50"/>
      <c r="CM792" s="50"/>
      <c r="CN792" s="50"/>
      <c r="CO792" s="50"/>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c r="FF792" s="3"/>
      <c r="FG792" s="3"/>
      <c r="FH792" s="3"/>
      <c r="FI792" s="3"/>
      <c r="FJ792" s="3"/>
      <c r="FK792" s="3"/>
      <c r="FL792" s="3"/>
      <c r="FM792" s="3"/>
      <c r="FN792" s="3"/>
      <c r="FO792" s="3"/>
      <c r="FP792" s="3"/>
      <c r="FQ792" s="3"/>
      <c r="FR792" s="3"/>
      <c r="FS792" s="3"/>
      <c r="FT792" s="3"/>
      <c r="FU792" s="3"/>
      <c r="FV792" s="3"/>
      <c r="FW792" s="3"/>
      <c r="FX792" s="3"/>
      <c r="FY792" s="3"/>
      <c r="FZ792" s="3"/>
      <c r="GA792" s="3"/>
      <c r="GB792" s="3"/>
      <c r="GC792" s="3"/>
      <c r="GD792" s="3"/>
      <c r="GE792" s="3"/>
      <c r="GF792" s="3"/>
      <c r="GG792" s="3"/>
      <c r="GH792" s="3"/>
      <c r="GI792" s="3"/>
      <c r="GJ792" s="3"/>
      <c r="GK792" s="3"/>
      <c r="GL792" s="3"/>
      <c r="GM792" s="3"/>
      <c r="GN792" s="3"/>
      <c r="GO792" s="3"/>
      <c r="GP792" s="3"/>
      <c r="GQ792" s="3"/>
      <c r="GR792" s="3"/>
      <c r="GS792" s="3"/>
      <c r="GT792" s="3"/>
      <c r="GU792" s="3"/>
      <c r="GV792" s="3"/>
      <c r="GW792" s="3"/>
      <c r="GX792" s="3"/>
      <c r="GY792" s="3"/>
      <c r="GZ792" s="3"/>
      <c r="HA792" s="3"/>
      <c r="HB792" s="3"/>
    </row>
    <row r="793" spans="1:210" ht="15.75" customHeight="1">
      <c r="A793" s="50"/>
      <c r="B793" s="50"/>
      <c r="C793" s="50"/>
      <c r="D793" s="50"/>
      <c r="E793" s="50"/>
      <c r="F793" s="50"/>
      <c r="G793" s="51"/>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c r="AS793" s="50"/>
      <c r="AT793" s="50"/>
      <c r="AU793" s="50"/>
      <c r="AV793" s="50"/>
      <c r="AW793" s="50"/>
      <c r="AX793" s="50"/>
      <c r="AY793" s="50"/>
      <c r="AZ793" s="50"/>
      <c r="BA793" s="50"/>
      <c r="BB793" s="50"/>
      <c r="BC793" s="50"/>
      <c r="BD793" s="50"/>
      <c r="BE793" s="50"/>
      <c r="BF793" s="50"/>
      <c r="BG793" s="50"/>
      <c r="BH793" s="50"/>
      <c r="BI793" s="50"/>
      <c r="BJ793" s="50"/>
      <c r="BK793" s="50"/>
      <c r="BL793" s="50"/>
      <c r="BM793" s="50"/>
      <c r="BN793" s="50"/>
      <c r="BO793" s="50"/>
      <c r="BP793" s="50"/>
      <c r="BQ793" s="50"/>
      <c r="BR793" s="50"/>
      <c r="BS793" s="50"/>
      <c r="BT793" s="50"/>
      <c r="BU793" s="50"/>
      <c r="BV793" s="50"/>
      <c r="BW793" s="50"/>
      <c r="BX793" s="50"/>
      <c r="BY793" s="50"/>
      <c r="BZ793" s="50"/>
      <c r="CA793" s="50"/>
      <c r="CB793" s="50"/>
      <c r="CC793" s="50"/>
      <c r="CD793" s="52"/>
      <c r="CE793" s="50"/>
      <c r="CF793" s="50"/>
      <c r="CG793" s="50"/>
      <c r="CH793" s="50"/>
      <c r="CI793" s="50"/>
      <c r="CJ793" s="50"/>
      <c r="CK793" s="50"/>
      <c r="CL793" s="50"/>
      <c r="CM793" s="50"/>
      <c r="CN793" s="50"/>
      <c r="CO793" s="50"/>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c r="FF793" s="3"/>
      <c r="FG793" s="3"/>
      <c r="FH793" s="3"/>
      <c r="FI793" s="3"/>
      <c r="FJ793" s="3"/>
      <c r="FK793" s="3"/>
      <c r="FL793" s="3"/>
      <c r="FM793" s="3"/>
      <c r="FN793" s="3"/>
      <c r="FO793" s="3"/>
      <c r="FP793" s="3"/>
      <c r="FQ793" s="3"/>
      <c r="FR793" s="3"/>
      <c r="FS793" s="3"/>
      <c r="FT793" s="3"/>
      <c r="FU793" s="3"/>
      <c r="FV793" s="3"/>
      <c r="FW793" s="3"/>
      <c r="FX793" s="3"/>
      <c r="FY793" s="3"/>
      <c r="FZ793" s="3"/>
      <c r="GA793" s="3"/>
      <c r="GB793" s="3"/>
      <c r="GC793" s="3"/>
      <c r="GD793" s="3"/>
      <c r="GE793" s="3"/>
      <c r="GF793" s="3"/>
      <c r="GG793" s="3"/>
      <c r="GH793" s="3"/>
      <c r="GI793" s="3"/>
      <c r="GJ793" s="3"/>
      <c r="GK793" s="3"/>
      <c r="GL793" s="3"/>
      <c r="GM793" s="3"/>
      <c r="GN793" s="3"/>
      <c r="GO793" s="3"/>
      <c r="GP793" s="3"/>
      <c r="GQ793" s="3"/>
      <c r="GR793" s="3"/>
      <c r="GS793" s="3"/>
      <c r="GT793" s="3"/>
      <c r="GU793" s="3"/>
      <c r="GV793" s="3"/>
      <c r="GW793" s="3"/>
      <c r="GX793" s="3"/>
      <c r="GY793" s="3"/>
      <c r="GZ793" s="3"/>
      <c r="HA793" s="3"/>
      <c r="HB793" s="3"/>
    </row>
    <row r="794" spans="1:210" ht="15.75" customHeight="1">
      <c r="A794" s="50"/>
      <c r="B794" s="50"/>
      <c r="C794" s="50"/>
      <c r="D794" s="50"/>
      <c r="E794" s="50"/>
      <c r="F794" s="50"/>
      <c r="G794" s="51"/>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c r="AS794" s="50"/>
      <c r="AT794" s="50"/>
      <c r="AU794" s="50"/>
      <c r="AV794" s="50"/>
      <c r="AW794" s="50"/>
      <c r="AX794" s="50"/>
      <c r="AY794" s="50"/>
      <c r="AZ794" s="50"/>
      <c r="BA794" s="50"/>
      <c r="BB794" s="50"/>
      <c r="BC794" s="50"/>
      <c r="BD794" s="50"/>
      <c r="BE794" s="50"/>
      <c r="BF794" s="50"/>
      <c r="BG794" s="50"/>
      <c r="BH794" s="50"/>
      <c r="BI794" s="50"/>
      <c r="BJ794" s="50"/>
      <c r="BK794" s="50"/>
      <c r="BL794" s="50"/>
      <c r="BM794" s="50"/>
      <c r="BN794" s="50"/>
      <c r="BO794" s="50"/>
      <c r="BP794" s="50"/>
      <c r="BQ794" s="50"/>
      <c r="BR794" s="50"/>
      <c r="BS794" s="50"/>
      <c r="BT794" s="50"/>
      <c r="BU794" s="50"/>
      <c r="BV794" s="50"/>
      <c r="BW794" s="50"/>
      <c r="BX794" s="50"/>
      <c r="BY794" s="50"/>
      <c r="BZ794" s="50"/>
      <c r="CA794" s="50"/>
      <c r="CB794" s="50"/>
      <c r="CC794" s="50"/>
      <c r="CD794" s="52"/>
      <c r="CE794" s="50"/>
      <c r="CF794" s="50"/>
      <c r="CG794" s="50"/>
      <c r="CH794" s="50"/>
      <c r="CI794" s="50"/>
      <c r="CJ794" s="50"/>
      <c r="CK794" s="50"/>
      <c r="CL794" s="50"/>
      <c r="CM794" s="50"/>
      <c r="CN794" s="50"/>
      <c r="CO794" s="50"/>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c r="FF794" s="3"/>
      <c r="FG794" s="3"/>
      <c r="FH794" s="3"/>
      <c r="FI794" s="3"/>
      <c r="FJ794" s="3"/>
      <c r="FK794" s="3"/>
      <c r="FL794" s="3"/>
      <c r="FM794" s="3"/>
      <c r="FN794" s="3"/>
      <c r="FO794" s="3"/>
      <c r="FP794" s="3"/>
      <c r="FQ794" s="3"/>
      <c r="FR794" s="3"/>
      <c r="FS794" s="3"/>
      <c r="FT794" s="3"/>
      <c r="FU794" s="3"/>
      <c r="FV794" s="3"/>
      <c r="FW794" s="3"/>
      <c r="FX794" s="3"/>
      <c r="FY794" s="3"/>
      <c r="FZ794" s="3"/>
      <c r="GA794" s="3"/>
      <c r="GB794" s="3"/>
      <c r="GC794" s="3"/>
      <c r="GD794" s="3"/>
      <c r="GE794" s="3"/>
      <c r="GF794" s="3"/>
      <c r="GG794" s="3"/>
      <c r="GH794" s="3"/>
      <c r="GI794" s="3"/>
      <c r="GJ794" s="3"/>
      <c r="GK794" s="3"/>
      <c r="GL794" s="3"/>
      <c r="GM794" s="3"/>
      <c r="GN794" s="3"/>
      <c r="GO794" s="3"/>
      <c r="GP794" s="3"/>
      <c r="GQ794" s="3"/>
      <c r="GR794" s="3"/>
      <c r="GS794" s="3"/>
      <c r="GT794" s="3"/>
      <c r="GU794" s="3"/>
      <c r="GV794" s="3"/>
      <c r="GW794" s="3"/>
      <c r="GX794" s="3"/>
      <c r="GY794" s="3"/>
      <c r="GZ794" s="3"/>
      <c r="HA794" s="3"/>
      <c r="HB794" s="3"/>
    </row>
    <row r="795" spans="1:210" ht="15.75" customHeight="1">
      <c r="A795" s="50"/>
      <c r="B795" s="50"/>
      <c r="C795" s="50"/>
      <c r="D795" s="50"/>
      <c r="E795" s="50"/>
      <c r="F795" s="50"/>
      <c r="G795" s="51"/>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c r="AR795" s="50"/>
      <c r="AS795" s="50"/>
      <c r="AT795" s="50"/>
      <c r="AU795" s="50"/>
      <c r="AV795" s="50"/>
      <c r="AW795" s="50"/>
      <c r="AX795" s="50"/>
      <c r="AY795" s="50"/>
      <c r="AZ795" s="50"/>
      <c r="BA795" s="50"/>
      <c r="BB795" s="50"/>
      <c r="BC795" s="50"/>
      <c r="BD795" s="50"/>
      <c r="BE795" s="50"/>
      <c r="BF795" s="50"/>
      <c r="BG795" s="50"/>
      <c r="BH795" s="50"/>
      <c r="BI795" s="50"/>
      <c r="BJ795" s="50"/>
      <c r="BK795" s="50"/>
      <c r="BL795" s="50"/>
      <c r="BM795" s="50"/>
      <c r="BN795" s="50"/>
      <c r="BO795" s="50"/>
      <c r="BP795" s="50"/>
      <c r="BQ795" s="50"/>
      <c r="BR795" s="50"/>
      <c r="BS795" s="50"/>
      <c r="BT795" s="50"/>
      <c r="BU795" s="50"/>
      <c r="BV795" s="50"/>
      <c r="BW795" s="50"/>
      <c r="BX795" s="50"/>
      <c r="BY795" s="50"/>
      <c r="BZ795" s="50"/>
      <c r="CA795" s="50"/>
      <c r="CB795" s="50"/>
      <c r="CC795" s="50"/>
      <c r="CD795" s="52"/>
      <c r="CE795" s="50"/>
      <c r="CF795" s="50"/>
      <c r="CG795" s="50"/>
      <c r="CH795" s="50"/>
      <c r="CI795" s="50"/>
      <c r="CJ795" s="50"/>
      <c r="CK795" s="50"/>
      <c r="CL795" s="50"/>
      <c r="CM795" s="50"/>
      <c r="CN795" s="50"/>
      <c r="CO795" s="50"/>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c r="FF795" s="3"/>
      <c r="FG795" s="3"/>
      <c r="FH795" s="3"/>
      <c r="FI795" s="3"/>
      <c r="FJ795" s="3"/>
      <c r="FK795" s="3"/>
      <c r="FL795" s="3"/>
      <c r="FM795" s="3"/>
      <c r="FN795" s="3"/>
      <c r="FO795" s="3"/>
      <c r="FP795" s="3"/>
      <c r="FQ795" s="3"/>
      <c r="FR795" s="3"/>
      <c r="FS795" s="3"/>
      <c r="FT795" s="3"/>
      <c r="FU795" s="3"/>
      <c r="FV795" s="3"/>
      <c r="FW795" s="3"/>
      <c r="FX795" s="3"/>
      <c r="FY795" s="3"/>
      <c r="FZ795" s="3"/>
      <c r="GA795" s="3"/>
      <c r="GB795" s="3"/>
      <c r="GC795" s="3"/>
      <c r="GD795" s="3"/>
      <c r="GE795" s="3"/>
      <c r="GF795" s="3"/>
      <c r="GG795" s="3"/>
      <c r="GH795" s="3"/>
      <c r="GI795" s="3"/>
      <c r="GJ795" s="3"/>
      <c r="GK795" s="3"/>
      <c r="GL795" s="3"/>
      <c r="GM795" s="3"/>
      <c r="GN795" s="3"/>
      <c r="GO795" s="3"/>
      <c r="GP795" s="3"/>
      <c r="GQ795" s="3"/>
      <c r="GR795" s="3"/>
      <c r="GS795" s="3"/>
      <c r="GT795" s="3"/>
      <c r="GU795" s="3"/>
      <c r="GV795" s="3"/>
      <c r="GW795" s="3"/>
      <c r="GX795" s="3"/>
      <c r="GY795" s="3"/>
      <c r="GZ795" s="3"/>
      <c r="HA795" s="3"/>
      <c r="HB795" s="3"/>
    </row>
    <row r="796" spans="1:210" ht="15.75" customHeight="1">
      <c r="A796" s="50"/>
      <c r="B796" s="50"/>
      <c r="C796" s="50"/>
      <c r="D796" s="50"/>
      <c r="E796" s="50"/>
      <c r="F796" s="50"/>
      <c r="G796" s="51"/>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c r="AR796" s="50"/>
      <c r="AS796" s="50"/>
      <c r="AT796" s="50"/>
      <c r="AU796" s="50"/>
      <c r="AV796" s="50"/>
      <c r="AW796" s="50"/>
      <c r="AX796" s="50"/>
      <c r="AY796" s="50"/>
      <c r="AZ796" s="50"/>
      <c r="BA796" s="50"/>
      <c r="BB796" s="50"/>
      <c r="BC796" s="50"/>
      <c r="BD796" s="50"/>
      <c r="BE796" s="50"/>
      <c r="BF796" s="50"/>
      <c r="BG796" s="50"/>
      <c r="BH796" s="50"/>
      <c r="BI796" s="50"/>
      <c r="BJ796" s="50"/>
      <c r="BK796" s="50"/>
      <c r="BL796" s="50"/>
      <c r="BM796" s="50"/>
      <c r="BN796" s="50"/>
      <c r="BO796" s="50"/>
      <c r="BP796" s="50"/>
      <c r="BQ796" s="50"/>
      <c r="BR796" s="50"/>
      <c r="BS796" s="50"/>
      <c r="BT796" s="50"/>
      <c r="BU796" s="50"/>
      <c r="BV796" s="50"/>
      <c r="BW796" s="50"/>
      <c r="BX796" s="50"/>
      <c r="BY796" s="50"/>
      <c r="BZ796" s="50"/>
      <c r="CA796" s="50"/>
      <c r="CB796" s="50"/>
      <c r="CC796" s="50"/>
      <c r="CD796" s="52"/>
      <c r="CE796" s="50"/>
      <c r="CF796" s="50"/>
      <c r="CG796" s="50"/>
      <c r="CH796" s="50"/>
      <c r="CI796" s="50"/>
      <c r="CJ796" s="50"/>
      <c r="CK796" s="50"/>
      <c r="CL796" s="50"/>
      <c r="CM796" s="50"/>
      <c r="CN796" s="50"/>
      <c r="CO796" s="50"/>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c r="FF796" s="3"/>
      <c r="FG796" s="3"/>
      <c r="FH796" s="3"/>
      <c r="FI796" s="3"/>
      <c r="FJ796" s="3"/>
      <c r="FK796" s="3"/>
      <c r="FL796" s="3"/>
      <c r="FM796" s="3"/>
      <c r="FN796" s="3"/>
      <c r="FO796" s="3"/>
      <c r="FP796" s="3"/>
      <c r="FQ796" s="3"/>
      <c r="FR796" s="3"/>
      <c r="FS796" s="3"/>
      <c r="FT796" s="3"/>
      <c r="FU796" s="3"/>
      <c r="FV796" s="3"/>
      <c r="FW796" s="3"/>
      <c r="FX796" s="3"/>
      <c r="FY796" s="3"/>
      <c r="FZ796" s="3"/>
      <c r="GA796" s="3"/>
      <c r="GB796" s="3"/>
      <c r="GC796" s="3"/>
      <c r="GD796" s="3"/>
      <c r="GE796" s="3"/>
      <c r="GF796" s="3"/>
      <c r="GG796" s="3"/>
      <c r="GH796" s="3"/>
      <c r="GI796" s="3"/>
      <c r="GJ796" s="3"/>
      <c r="GK796" s="3"/>
      <c r="GL796" s="3"/>
      <c r="GM796" s="3"/>
      <c r="GN796" s="3"/>
      <c r="GO796" s="3"/>
      <c r="GP796" s="3"/>
      <c r="GQ796" s="3"/>
      <c r="GR796" s="3"/>
      <c r="GS796" s="3"/>
      <c r="GT796" s="3"/>
      <c r="GU796" s="3"/>
      <c r="GV796" s="3"/>
      <c r="GW796" s="3"/>
      <c r="GX796" s="3"/>
      <c r="GY796" s="3"/>
      <c r="GZ796" s="3"/>
      <c r="HA796" s="3"/>
      <c r="HB796" s="3"/>
    </row>
    <row r="797" spans="1:210" ht="15.75" customHeight="1">
      <c r="A797" s="50"/>
      <c r="B797" s="50"/>
      <c r="C797" s="50"/>
      <c r="D797" s="50"/>
      <c r="E797" s="50"/>
      <c r="F797" s="50"/>
      <c r="G797" s="51"/>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c r="AS797" s="50"/>
      <c r="AT797" s="50"/>
      <c r="AU797" s="50"/>
      <c r="AV797" s="50"/>
      <c r="AW797" s="50"/>
      <c r="AX797" s="50"/>
      <c r="AY797" s="50"/>
      <c r="AZ797" s="50"/>
      <c r="BA797" s="50"/>
      <c r="BB797" s="50"/>
      <c r="BC797" s="50"/>
      <c r="BD797" s="50"/>
      <c r="BE797" s="50"/>
      <c r="BF797" s="50"/>
      <c r="BG797" s="50"/>
      <c r="BH797" s="50"/>
      <c r="BI797" s="50"/>
      <c r="BJ797" s="50"/>
      <c r="BK797" s="50"/>
      <c r="BL797" s="50"/>
      <c r="BM797" s="50"/>
      <c r="BN797" s="50"/>
      <c r="BO797" s="50"/>
      <c r="BP797" s="50"/>
      <c r="BQ797" s="50"/>
      <c r="BR797" s="50"/>
      <c r="BS797" s="50"/>
      <c r="BT797" s="50"/>
      <c r="BU797" s="50"/>
      <c r="BV797" s="50"/>
      <c r="BW797" s="50"/>
      <c r="BX797" s="50"/>
      <c r="BY797" s="50"/>
      <c r="BZ797" s="50"/>
      <c r="CA797" s="50"/>
      <c r="CB797" s="50"/>
      <c r="CC797" s="50"/>
      <c r="CD797" s="52"/>
      <c r="CE797" s="50"/>
      <c r="CF797" s="50"/>
      <c r="CG797" s="50"/>
      <c r="CH797" s="50"/>
      <c r="CI797" s="50"/>
      <c r="CJ797" s="50"/>
      <c r="CK797" s="50"/>
      <c r="CL797" s="50"/>
      <c r="CM797" s="50"/>
      <c r="CN797" s="50"/>
      <c r="CO797" s="50"/>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c r="FF797" s="3"/>
      <c r="FG797" s="3"/>
      <c r="FH797" s="3"/>
      <c r="FI797" s="3"/>
      <c r="FJ797" s="3"/>
      <c r="FK797" s="3"/>
      <c r="FL797" s="3"/>
      <c r="FM797" s="3"/>
      <c r="FN797" s="3"/>
      <c r="FO797" s="3"/>
      <c r="FP797" s="3"/>
      <c r="FQ797" s="3"/>
      <c r="FR797" s="3"/>
      <c r="FS797" s="3"/>
      <c r="FT797" s="3"/>
      <c r="FU797" s="3"/>
      <c r="FV797" s="3"/>
      <c r="FW797" s="3"/>
      <c r="FX797" s="3"/>
      <c r="FY797" s="3"/>
      <c r="FZ797" s="3"/>
      <c r="GA797" s="3"/>
      <c r="GB797" s="3"/>
      <c r="GC797" s="3"/>
      <c r="GD797" s="3"/>
      <c r="GE797" s="3"/>
      <c r="GF797" s="3"/>
      <c r="GG797" s="3"/>
      <c r="GH797" s="3"/>
      <c r="GI797" s="3"/>
      <c r="GJ797" s="3"/>
      <c r="GK797" s="3"/>
      <c r="GL797" s="3"/>
      <c r="GM797" s="3"/>
      <c r="GN797" s="3"/>
      <c r="GO797" s="3"/>
      <c r="GP797" s="3"/>
      <c r="GQ797" s="3"/>
      <c r="GR797" s="3"/>
      <c r="GS797" s="3"/>
      <c r="GT797" s="3"/>
      <c r="GU797" s="3"/>
      <c r="GV797" s="3"/>
      <c r="GW797" s="3"/>
      <c r="GX797" s="3"/>
      <c r="GY797" s="3"/>
      <c r="GZ797" s="3"/>
      <c r="HA797" s="3"/>
      <c r="HB797" s="3"/>
    </row>
    <row r="798" spans="1:210" ht="15.75" customHeight="1">
      <c r="A798" s="50"/>
      <c r="B798" s="50"/>
      <c r="C798" s="50"/>
      <c r="D798" s="50"/>
      <c r="E798" s="50"/>
      <c r="F798" s="50"/>
      <c r="G798" s="51"/>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c r="AS798" s="50"/>
      <c r="AT798" s="50"/>
      <c r="AU798" s="50"/>
      <c r="AV798" s="50"/>
      <c r="AW798" s="50"/>
      <c r="AX798" s="50"/>
      <c r="AY798" s="50"/>
      <c r="AZ798" s="50"/>
      <c r="BA798" s="50"/>
      <c r="BB798" s="50"/>
      <c r="BC798" s="50"/>
      <c r="BD798" s="50"/>
      <c r="BE798" s="50"/>
      <c r="BF798" s="50"/>
      <c r="BG798" s="50"/>
      <c r="BH798" s="50"/>
      <c r="BI798" s="50"/>
      <c r="BJ798" s="50"/>
      <c r="BK798" s="50"/>
      <c r="BL798" s="50"/>
      <c r="BM798" s="50"/>
      <c r="BN798" s="50"/>
      <c r="BO798" s="50"/>
      <c r="BP798" s="50"/>
      <c r="BQ798" s="50"/>
      <c r="BR798" s="50"/>
      <c r="BS798" s="50"/>
      <c r="BT798" s="50"/>
      <c r="BU798" s="50"/>
      <c r="BV798" s="50"/>
      <c r="BW798" s="50"/>
      <c r="BX798" s="50"/>
      <c r="BY798" s="50"/>
      <c r="BZ798" s="50"/>
      <c r="CA798" s="50"/>
      <c r="CB798" s="50"/>
      <c r="CC798" s="50"/>
      <c r="CD798" s="52"/>
      <c r="CE798" s="50"/>
      <c r="CF798" s="50"/>
      <c r="CG798" s="50"/>
      <c r="CH798" s="50"/>
      <c r="CI798" s="50"/>
      <c r="CJ798" s="50"/>
      <c r="CK798" s="50"/>
      <c r="CL798" s="50"/>
      <c r="CM798" s="50"/>
      <c r="CN798" s="50"/>
      <c r="CO798" s="50"/>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c r="FF798" s="3"/>
      <c r="FG798" s="3"/>
      <c r="FH798" s="3"/>
      <c r="FI798" s="3"/>
      <c r="FJ798" s="3"/>
      <c r="FK798" s="3"/>
      <c r="FL798" s="3"/>
      <c r="FM798" s="3"/>
      <c r="FN798" s="3"/>
      <c r="FO798" s="3"/>
      <c r="FP798" s="3"/>
      <c r="FQ798" s="3"/>
      <c r="FR798" s="3"/>
      <c r="FS798" s="3"/>
      <c r="FT798" s="3"/>
      <c r="FU798" s="3"/>
      <c r="FV798" s="3"/>
      <c r="FW798" s="3"/>
      <c r="FX798" s="3"/>
      <c r="FY798" s="3"/>
      <c r="FZ798" s="3"/>
      <c r="GA798" s="3"/>
      <c r="GB798" s="3"/>
      <c r="GC798" s="3"/>
      <c r="GD798" s="3"/>
      <c r="GE798" s="3"/>
      <c r="GF798" s="3"/>
      <c r="GG798" s="3"/>
      <c r="GH798" s="3"/>
      <c r="GI798" s="3"/>
      <c r="GJ798" s="3"/>
      <c r="GK798" s="3"/>
      <c r="GL798" s="3"/>
      <c r="GM798" s="3"/>
      <c r="GN798" s="3"/>
      <c r="GO798" s="3"/>
      <c r="GP798" s="3"/>
      <c r="GQ798" s="3"/>
      <c r="GR798" s="3"/>
      <c r="GS798" s="3"/>
      <c r="GT798" s="3"/>
      <c r="GU798" s="3"/>
      <c r="GV798" s="3"/>
      <c r="GW798" s="3"/>
      <c r="GX798" s="3"/>
      <c r="GY798" s="3"/>
      <c r="GZ798" s="3"/>
      <c r="HA798" s="3"/>
      <c r="HB798" s="3"/>
    </row>
    <row r="799" spans="1:210" ht="15.75" customHeight="1">
      <c r="A799" s="50"/>
      <c r="B799" s="50"/>
      <c r="C799" s="50"/>
      <c r="D799" s="50"/>
      <c r="E799" s="50"/>
      <c r="F799" s="50"/>
      <c r="G799" s="51"/>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c r="AS799" s="50"/>
      <c r="AT799" s="50"/>
      <c r="AU799" s="50"/>
      <c r="AV799" s="50"/>
      <c r="AW799" s="50"/>
      <c r="AX799" s="50"/>
      <c r="AY799" s="50"/>
      <c r="AZ799" s="50"/>
      <c r="BA799" s="50"/>
      <c r="BB799" s="50"/>
      <c r="BC799" s="50"/>
      <c r="BD799" s="50"/>
      <c r="BE799" s="50"/>
      <c r="BF799" s="50"/>
      <c r="BG799" s="50"/>
      <c r="BH799" s="50"/>
      <c r="BI799" s="50"/>
      <c r="BJ799" s="50"/>
      <c r="BK799" s="50"/>
      <c r="BL799" s="50"/>
      <c r="BM799" s="50"/>
      <c r="BN799" s="50"/>
      <c r="BO799" s="50"/>
      <c r="BP799" s="50"/>
      <c r="BQ799" s="50"/>
      <c r="BR799" s="50"/>
      <c r="BS799" s="50"/>
      <c r="BT799" s="50"/>
      <c r="BU799" s="50"/>
      <c r="BV799" s="50"/>
      <c r="BW799" s="50"/>
      <c r="BX799" s="50"/>
      <c r="BY799" s="50"/>
      <c r="BZ799" s="50"/>
      <c r="CA799" s="50"/>
      <c r="CB799" s="50"/>
      <c r="CC799" s="50"/>
      <c r="CD799" s="52"/>
      <c r="CE799" s="50"/>
      <c r="CF799" s="50"/>
      <c r="CG799" s="50"/>
      <c r="CH799" s="50"/>
      <c r="CI799" s="50"/>
      <c r="CJ799" s="50"/>
      <c r="CK799" s="50"/>
      <c r="CL799" s="50"/>
      <c r="CM799" s="50"/>
      <c r="CN799" s="50"/>
      <c r="CO799" s="50"/>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c r="FF799" s="3"/>
      <c r="FG799" s="3"/>
      <c r="FH799" s="3"/>
      <c r="FI799" s="3"/>
      <c r="FJ799" s="3"/>
      <c r="FK799" s="3"/>
      <c r="FL799" s="3"/>
      <c r="FM799" s="3"/>
      <c r="FN799" s="3"/>
      <c r="FO799" s="3"/>
      <c r="FP799" s="3"/>
      <c r="FQ799" s="3"/>
      <c r="FR799" s="3"/>
      <c r="FS799" s="3"/>
      <c r="FT799" s="3"/>
      <c r="FU799" s="3"/>
      <c r="FV799" s="3"/>
      <c r="FW799" s="3"/>
      <c r="FX799" s="3"/>
      <c r="FY799" s="3"/>
      <c r="FZ799" s="3"/>
      <c r="GA799" s="3"/>
      <c r="GB799" s="3"/>
      <c r="GC799" s="3"/>
      <c r="GD799" s="3"/>
      <c r="GE799" s="3"/>
      <c r="GF799" s="3"/>
      <c r="GG799" s="3"/>
      <c r="GH799" s="3"/>
      <c r="GI799" s="3"/>
      <c r="GJ799" s="3"/>
      <c r="GK799" s="3"/>
      <c r="GL799" s="3"/>
      <c r="GM799" s="3"/>
      <c r="GN799" s="3"/>
      <c r="GO799" s="3"/>
      <c r="GP799" s="3"/>
      <c r="GQ799" s="3"/>
      <c r="GR799" s="3"/>
      <c r="GS799" s="3"/>
      <c r="GT799" s="3"/>
      <c r="GU799" s="3"/>
      <c r="GV799" s="3"/>
      <c r="GW799" s="3"/>
      <c r="GX799" s="3"/>
      <c r="GY799" s="3"/>
      <c r="GZ799" s="3"/>
      <c r="HA799" s="3"/>
      <c r="HB799" s="3"/>
    </row>
    <row r="800" spans="1:210" ht="15.75" customHeight="1">
      <c r="A800" s="50"/>
      <c r="B800" s="50"/>
      <c r="C800" s="50"/>
      <c r="D800" s="50"/>
      <c r="E800" s="50"/>
      <c r="F800" s="50"/>
      <c r="G800" s="51"/>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c r="AS800" s="50"/>
      <c r="AT800" s="50"/>
      <c r="AU800" s="50"/>
      <c r="AV800" s="50"/>
      <c r="AW800" s="50"/>
      <c r="AX800" s="50"/>
      <c r="AY800" s="50"/>
      <c r="AZ800" s="50"/>
      <c r="BA800" s="50"/>
      <c r="BB800" s="50"/>
      <c r="BC800" s="50"/>
      <c r="BD800" s="50"/>
      <c r="BE800" s="50"/>
      <c r="BF800" s="50"/>
      <c r="BG800" s="50"/>
      <c r="BH800" s="50"/>
      <c r="BI800" s="50"/>
      <c r="BJ800" s="50"/>
      <c r="BK800" s="50"/>
      <c r="BL800" s="50"/>
      <c r="BM800" s="50"/>
      <c r="BN800" s="50"/>
      <c r="BO800" s="50"/>
      <c r="BP800" s="50"/>
      <c r="BQ800" s="50"/>
      <c r="BR800" s="50"/>
      <c r="BS800" s="50"/>
      <c r="BT800" s="50"/>
      <c r="BU800" s="50"/>
      <c r="BV800" s="50"/>
      <c r="BW800" s="50"/>
      <c r="BX800" s="50"/>
      <c r="BY800" s="50"/>
      <c r="BZ800" s="50"/>
      <c r="CA800" s="50"/>
      <c r="CB800" s="50"/>
      <c r="CC800" s="50"/>
      <c r="CD800" s="52"/>
      <c r="CE800" s="50"/>
      <c r="CF800" s="50"/>
      <c r="CG800" s="50"/>
      <c r="CH800" s="50"/>
      <c r="CI800" s="50"/>
      <c r="CJ800" s="50"/>
      <c r="CK800" s="50"/>
      <c r="CL800" s="50"/>
      <c r="CM800" s="50"/>
      <c r="CN800" s="50"/>
      <c r="CO800" s="50"/>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c r="FF800" s="3"/>
      <c r="FG800" s="3"/>
      <c r="FH800" s="3"/>
      <c r="FI800" s="3"/>
      <c r="FJ800" s="3"/>
      <c r="FK800" s="3"/>
      <c r="FL800" s="3"/>
      <c r="FM800" s="3"/>
      <c r="FN800" s="3"/>
      <c r="FO800" s="3"/>
      <c r="FP800" s="3"/>
      <c r="FQ800" s="3"/>
      <c r="FR800" s="3"/>
      <c r="FS800" s="3"/>
      <c r="FT800" s="3"/>
      <c r="FU800" s="3"/>
      <c r="FV800" s="3"/>
      <c r="FW800" s="3"/>
      <c r="FX800" s="3"/>
      <c r="FY800" s="3"/>
      <c r="FZ800" s="3"/>
      <c r="GA800" s="3"/>
      <c r="GB800" s="3"/>
      <c r="GC800" s="3"/>
      <c r="GD800" s="3"/>
      <c r="GE800" s="3"/>
      <c r="GF800" s="3"/>
      <c r="GG800" s="3"/>
      <c r="GH800" s="3"/>
      <c r="GI800" s="3"/>
      <c r="GJ800" s="3"/>
      <c r="GK800" s="3"/>
      <c r="GL800" s="3"/>
      <c r="GM800" s="3"/>
      <c r="GN800" s="3"/>
      <c r="GO800" s="3"/>
      <c r="GP800" s="3"/>
      <c r="GQ800" s="3"/>
      <c r="GR800" s="3"/>
      <c r="GS800" s="3"/>
      <c r="GT800" s="3"/>
      <c r="GU800" s="3"/>
      <c r="GV800" s="3"/>
      <c r="GW800" s="3"/>
      <c r="GX800" s="3"/>
      <c r="GY800" s="3"/>
      <c r="GZ800" s="3"/>
      <c r="HA800" s="3"/>
      <c r="HB800" s="3"/>
    </row>
    <row r="801" spans="1:210" ht="15.75" customHeight="1">
      <c r="A801" s="50"/>
      <c r="B801" s="50"/>
      <c r="C801" s="50"/>
      <c r="D801" s="50"/>
      <c r="E801" s="50"/>
      <c r="F801" s="50"/>
      <c r="G801" s="51"/>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c r="AS801" s="50"/>
      <c r="AT801" s="50"/>
      <c r="AU801" s="50"/>
      <c r="AV801" s="50"/>
      <c r="AW801" s="50"/>
      <c r="AX801" s="50"/>
      <c r="AY801" s="50"/>
      <c r="AZ801" s="50"/>
      <c r="BA801" s="50"/>
      <c r="BB801" s="50"/>
      <c r="BC801" s="50"/>
      <c r="BD801" s="50"/>
      <c r="BE801" s="50"/>
      <c r="BF801" s="50"/>
      <c r="BG801" s="50"/>
      <c r="BH801" s="50"/>
      <c r="BI801" s="50"/>
      <c r="BJ801" s="50"/>
      <c r="BK801" s="50"/>
      <c r="BL801" s="50"/>
      <c r="BM801" s="50"/>
      <c r="BN801" s="50"/>
      <c r="BO801" s="50"/>
      <c r="BP801" s="50"/>
      <c r="BQ801" s="50"/>
      <c r="BR801" s="50"/>
      <c r="BS801" s="50"/>
      <c r="BT801" s="50"/>
      <c r="BU801" s="50"/>
      <c r="BV801" s="50"/>
      <c r="BW801" s="50"/>
      <c r="BX801" s="50"/>
      <c r="BY801" s="50"/>
      <c r="BZ801" s="50"/>
      <c r="CA801" s="50"/>
      <c r="CB801" s="50"/>
      <c r="CC801" s="50"/>
      <c r="CD801" s="52"/>
      <c r="CE801" s="50"/>
      <c r="CF801" s="50"/>
      <c r="CG801" s="50"/>
      <c r="CH801" s="50"/>
      <c r="CI801" s="50"/>
      <c r="CJ801" s="50"/>
      <c r="CK801" s="50"/>
      <c r="CL801" s="50"/>
      <c r="CM801" s="50"/>
      <c r="CN801" s="50"/>
      <c r="CO801" s="50"/>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c r="FF801" s="3"/>
      <c r="FG801" s="3"/>
      <c r="FH801" s="3"/>
      <c r="FI801" s="3"/>
      <c r="FJ801" s="3"/>
      <c r="FK801" s="3"/>
      <c r="FL801" s="3"/>
      <c r="FM801" s="3"/>
      <c r="FN801" s="3"/>
      <c r="FO801" s="3"/>
      <c r="FP801" s="3"/>
      <c r="FQ801" s="3"/>
      <c r="FR801" s="3"/>
      <c r="FS801" s="3"/>
      <c r="FT801" s="3"/>
      <c r="FU801" s="3"/>
      <c r="FV801" s="3"/>
      <c r="FW801" s="3"/>
      <c r="FX801" s="3"/>
      <c r="FY801" s="3"/>
      <c r="FZ801" s="3"/>
      <c r="GA801" s="3"/>
      <c r="GB801" s="3"/>
      <c r="GC801" s="3"/>
      <c r="GD801" s="3"/>
      <c r="GE801" s="3"/>
      <c r="GF801" s="3"/>
      <c r="GG801" s="3"/>
      <c r="GH801" s="3"/>
      <c r="GI801" s="3"/>
      <c r="GJ801" s="3"/>
      <c r="GK801" s="3"/>
      <c r="GL801" s="3"/>
      <c r="GM801" s="3"/>
      <c r="GN801" s="3"/>
      <c r="GO801" s="3"/>
      <c r="GP801" s="3"/>
      <c r="GQ801" s="3"/>
      <c r="GR801" s="3"/>
      <c r="GS801" s="3"/>
      <c r="GT801" s="3"/>
      <c r="GU801" s="3"/>
      <c r="GV801" s="3"/>
      <c r="GW801" s="3"/>
      <c r="GX801" s="3"/>
      <c r="GY801" s="3"/>
      <c r="GZ801" s="3"/>
      <c r="HA801" s="3"/>
      <c r="HB801" s="3"/>
    </row>
    <row r="802" spans="1:210" ht="15.75" customHeight="1">
      <c r="A802" s="50"/>
      <c r="B802" s="50"/>
      <c r="C802" s="50"/>
      <c r="D802" s="50"/>
      <c r="E802" s="50"/>
      <c r="F802" s="50"/>
      <c r="G802" s="51"/>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c r="AR802" s="50"/>
      <c r="AS802" s="50"/>
      <c r="AT802" s="50"/>
      <c r="AU802" s="50"/>
      <c r="AV802" s="50"/>
      <c r="AW802" s="50"/>
      <c r="AX802" s="50"/>
      <c r="AY802" s="50"/>
      <c r="AZ802" s="50"/>
      <c r="BA802" s="50"/>
      <c r="BB802" s="50"/>
      <c r="BC802" s="50"/>
      <c r="BD802" s="50"/>
      <c r="BE802" s="50"/>
      <c r="BF802" s="50"/>
      <c r="BG802" s="50"/>
      <c r="BH802" s="50"/>
      <c r="BI802" s="50"/>
      <c r="BJ802" s="50"/>
      <c r="BK802" s="50"/>
      <c r="BL802" s="50"/>
      <c r="BM802" s="50"/>
      <c r="BN802" s="50"/>
      <c r="BO802" s="50"/>
      <c r="BP802" s="50"/>
      <c r="BQ802" s="50"/>
      <c r="BR802" s="50"/>
      <c r="BS802" s="50"/>
      <c r="BT802" s="50"/>
      <c r="BU802" s="50"/>
      <c r="BV802" s="50"/>
      <c r="BW802" s="50"/>
      <c r="BX802" s="50"/>
      <c r="BY802" s="50"/>
      <c r="BZ802" s="50"/>
      <c r="CA802" s="50"/>
      <c r="CB802" s="50"/>
      <c r="CC802" s="50"/>
      <c r="CD802" s="52"/>
      <c r="CE802" s="50"/>
      <c r="CF802" s="50"/>
      <c r="CG802" s="50"/>
      <c r="CH802" s="50"/>
      <c r="CI802" s="50"/>
      <c r="CJ802" s="50"/>
      <c r="CK802" s="50"/>
      <c r="CL802" s="50"/>
      <c r="CM802" s="50"/>
      <c r="CN802" s="50"/>
      <c r="CO802" s="50"/>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c r="FF802" s="3"/>
      <c r="FG802" s="3"/>
      <c r="FH802" s="3"/>
      <c r="FI802" s="3"/>
      <c r="FJ802" s="3"/>
      <c r="FK802" s="3"/>
      <c r="FL802" s="3"/>
      <c r="FM802" s="3"/>
      <c r="FN802" s="3"/>
      <c r="FO802" s="3"/>
      <c r="FP802" s="3"/>
      <c r="FQ802" s="3"/>
      <c r="FR802" s="3"/>
      <c r="FS802" s="3"/>
      <c r="FT802" s="3"/>
      <c r="FU802" s="3"/>
      <c r="FV802" s="3"/>
      <c r="FW802" s="3"/>
      <c r="FX802" s="3"/>
      <c r="FY802" s="3"/>
      <c r="FZ802" s="3"/>
      <c r="GA802" s="3"/>
      <c r="GB802" s="3"/>
      <c r="GC802" s="3"/>
      <c r="GD802" s="3"/>
      <c r="GE802" s="3"/>
      <c r="GF802" s="3"/>
      <c r="GG802" s="3"/>
      <c r="GH802" s="3"/>
      <c r="GI802" s="3"/>
      <c r="GJ802" s="3"/>
      <c r="GK802" s="3"/>
      <c r="GL802" s="3"/>
      <c r="GM802" s="3"/>
      <c r="GN802" s="3"/>
      <c r="GO802" s="3"/>
      <c r="GP802" s="3"/>
      <c r="GQ802" s="3"/>
      <c r="GR802" s="3"/>
      <c r="GS802" s="3"/>
      <c r="GT802" s="3"/>
      <c r="GU802" s="3"/>
      <c r="GV802" s="3"/>
      <c r="GW802" s="3"/>
      <c r="GX802" s="3"/>
      <c r="GY802" s="3"/>
      <c r="GZ802" s="3"/>
      <c r="HA802" s="3"/>
      <c r="HB802" s="3"/>
    </row>
    <row r="803" spans="1:210" ht="15.75" customHeight="1">
      <c r="A803" s="50"/>
      <c r="B803" s="50"/>
      <c r="C803" s="50"/>
      <c r="D803" s="50"/>
      <c r="E803" s="50"/>
      <c r="F803" s="50"/>
      <c r="G803" s="51"/>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c r="AR803" s="50"/>
      <c r="AS803" s="50"/>
      <c r="AT803" s="50"/>
      <c r="AU803" s="50"/>
      <c r="AV803" s="50"/>
      <c r="AW803" s="50"/>
      <c r="AX803" s="50"/>
      <c r="AY803" s="50"/>
      <c r="AZ803" s="50"/>
      <c r="BA803" s="50"/>
      <c r="BB803" s="50"/>
      <c r="BC803" s="50"/>
      <c r="BD803" s="50"/>
      <c r="BE803" s="50"/>
      <c r="BF803" s="50"/>
      <c r="BG803" s="50"/>
      <c r="BH803" s="50"/>
      <c r="BI803" s="50"/>
      <c r="BJ803" s="50"/>
      <c r="BK803" s="50"/>
      <c r="BL803" s="50"/>
      <c r="BM803" s="50"/>
      <c r="BN803" s="50"/>
      <c r="BO803" s="50"/>
      <c r="BP803" s="50"/>
      <c r="BQ803" s="50"/>
      <c r="BR803" s="50"/>
      <c r="BS803" s="50"/>
      <c r="BT803" s="50"/>
      <c r="BU803" s="50"/>
      <c r="BV803" s="50"/>
      <c r="BW803" s="50"/>
      <c r="BX803" s="50"/>
      <c r="BY803" s="50"/>
      <c r="BZ803" s="50"/>
      <c r="CA803" s="50"/>
      <c r="CB803" s="50"/>
      <c r="CC803" s="50"/>
      <c r="CD803" s="52"/>
      <c r="CE803" s="50"/>
      <c r="CF803" s="50"/>
      <c r="CG803" s="50"/>
      <c r="CH803" s="50"/>
      <c r="CI803" s="50"/>
      <c r="CJ803" s="50"/>
      <c r="CK803" s="50"/>
      <c r="CL803" s="50"/>
      <c r="CM803" s="50"/>
      <c r="CN803" s="50"/>
      <c r="CO803" s="50"/>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c r="FF803" s="3"/>
      <c r="FG803" s="3"/>
      <c r="FH803" s="3"/>
      <c r="FI803" s="3"/>
      <c r="FJ803" s="3"/>
      <c r="FK803" s="3"/>
      <c r="FL803" s="3"/>
      <c r="FM803" s="3"/>
      <c r="FN803" s="3"/>
      <c r="FO803" s="3"/>
      <c r="FP803" s="3"/>
      <c r="FQ803" s="3"/>
      <c r="FR803" s="3"/>
      <c r="FS803" s="3"/>
      <c r="FT803" s="3"/>
      <c r="FU803" s="3"/>
      <c r="FV803" s="3"/>
      <c r="FW803" s="3"/>
      <c r="FX803" s="3"/>
      <c r="FY803" s="3"/>
      <c r="FZ803" s="3"/>
      <c r="GA803" s="3"/>
      <c r="GB803" s="3"/>
      <c r="GC803" s="3"/>
      <c r="GD803" s="3"/>
      <c r="GE803" s="3"/>
      <c r="GF803" s="3"/>
      <c r="GG803" s="3"/>
      <c r="GH803" s="3"/>
      <c r="GI803" s="3"/>
      <c r="GJ803" s="3"/>
      <c r="GK803" s="3"/>
      <c r="GL803" s="3"/>
      <c r="GM803" s="3"/>
      <c r="GN803" s="3"/>
      <c r="GO803" s="3"/>
      <c r="GP803" s="3"/>
      <c r="GQ803" s="3"/>
      <c r="GR803" s="3"/>
      <c r="GS803" s="3"/>
      <c r="GT803" s="3"/>
      <c r="GU803" s="3"/>
      <c r="GV803" s="3"/>
      <c r="GW803" s="3"/>
      <c r="GX803" s="3"/>
      <c r="GY803" s="3"/>
      <c r="GZ803" s="3"/>
      <c r="HA803" s="3"/>
      <c r="HB803" s="3"/>
    </row>
    <row r="804" spans="1:210" ht="15.75" customHeight="1">
      <c r="A804" s="50"/>
      <c r="B804" s="50"/>
      <c r="C804" s="50"/>
      <c r="D804" s="50"/>
      <c r="E804" s="50"/>
      <c r="F804" s="50"/>
      <c r="G804" s="51"/>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c r="AS804" s="50"/>
      <c r="AT804" s="50"/>
      <c r="AU804" s="50"/>
      <c r="AV804" s="50"/>
      <c r="AW804" s="50"/>
      <c r="AX804" s="50"/>
      <c r="AY804" s="50"/>
      <c r="AZ804" s="50"/>
      <c r="BA804" s="50"/>
      <c r="BB804" s="50"/>
      <c r="BC804" s="50"/>
      <c r="BD804" s="50"/>
      <c r="BE804" s="50"/>
      <c r="BF804" s="50"/>
      <c r="BG804" s="50"/>
      <c r="BH804" s="50"/>
      <c r="BI804" s="50"/>
      <c r="BJ804" s="50"/>
      <c r="BK804" s="50"/>
      <c r="BL804" s="50"/>
      <c r="BM804" s="50"/>
      <c r="BN804" s="50"/>
      <c r="BO804" s="50"/>
      <c r="BP804" s="50"/>
      <c r="BQ804" s="50"/>
      <c r="BR804" s="50"/>
      <c r="BS804" s="50"/>
      <c r="BT804" s="50"/>
      <c r="BU804" s="50"/>
      <c r="BV804" s="50"/>
      <c r="BW804" s="50"/>
      <c r="BX804" s="50"/>
      <c r="BY804" s="50"/>
      <c r="BZ804" s="50"/>
      <c r="CA804" s="50"/>
      <c r="CB804" s="50"/>
      <c r="CC804" s="50"/>
      <c r="CD804" s="52"/>
      <c r="CE804" s="50"/>
      <c r="CF804" s="50"/>
      <c r="CG804" s="50"/>
      <c r="CH804" s="50"/>
      <c r="CI804" s="50"/>
      <c r="CJ804" s="50"/>
      <c r="CK804" s="50"/>
      <c r="CL804" s="50"/>
      <c r="CM804" s="50"/>
      <c r="CN804" s="50"/>
      <c r="CO804" s="50"/>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c r="FF804" s="3"/>
      <c r="FG804" s="3"/>
      <c r="FH804" s="3"/>
      <c r="FI804" s="3"/>
      <c r="FJ804" s="3"/>
      <c r="FK804" s="3"/>
      <c r="FL804" s="3"/>
      <c r="FM804" s="3"/>
      <c r="FN804" s="3"/>
      <c r="FO804" s="3"/>
      <c r="FP804" s="3"/>
      <c r="FQ804" s="3"/>
      <c r="FR804" s="3"/>
      <c r="FS804" s="3"/>
      <c r="FT804" s="3"/>
      <c r="FU804" s="3"/>
      <c r="FV804" s="3"/>
      <c r="FW804" s="3"/>
      <c r="FX804" s="3"/>
      <c r="FY804" s="3"/>
      <c r="FZ804" s="3"/>
      <c r="GA804" s="3"/>
      <c r="GB804" s="3"/>
      <c r="GC804" s="3"/>
      <c r="GD804" s="3"/>
      <c r="GE804" s="3"/>
      <c r="GF804" s="3"/>
      <c r="GG804" s="3"/>
      <c r="GH804" s="3"/>
      <c r="GI804" s="3"/>
      <c r="GJ804" s="3"/>
      <c r="GK804" s="3"/>
      <c r="GL804" s="3"/>
      <c r="GM804" s="3"/>
      <c r="GN804" s="3"/>
      <c r="GO804" s="3"/>
      <c r="GP804" s="3"/>
      <c r="GQ804" s="3"/>
      <c r="GR804" s="3"/>
      <c r="GS804" s="3"/>
      <c r="GT804" s="3"/>
      <c r="GU804" s="3"/>
      <c r="GV804" s="3"/>
      <c r="GW804" s="3"/>
      <c r="GX804" s="3"/>
      <c r="GY804" s="3"/>
      <c r="GZ804" s="3"/>
      <c r="HA804" s="3"/>
      <c r="HB804" s="3"/>
    </row>
    <row r="805" spans="1:210" ht="15.75" customHeight="1">
      <c r="A805" s="50"/>
      <c r="B805" s="50"/>
      <c r="C805" s="50"/>
      <c r="D805" s="50"/>
      <c r="E805" s="50"/>
      <c r="F805" s="50"/>
      <c r="G805" s="51"/>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c r="AS805" s="50"/>
      <c r="AT805" s="50"/>
      <c r="AU805" s="50"/>
      <c r="AV805" s="50"/>
      <c r="AW805" s="50"/>
      <c r="AX805" s="50"/>
      <c r="AY805" s="50"/>
      <c r="AZ805" s="50"/>
      <c r="BA805" s="50"/>
      <c r="BB805" s="50"/>
      <c r="BC805" s="50"/>
      <c r="BD805" s="50"/>
      <c r="BE805" s="50"/>
      <c r="BF805" s="50"/>
      <c r="BG805" s="50"/>
      <c r="BH805" s="50"/>
      <c r="BI805" s="50"/>
      <c r="BJ805" s="50"/>
      <c r="BK805" s="50"/>
      <c r="BL805" s="50"/>
      <c r="BM805" s="50"/>
      <c r="BN805" s="50"/>
      <c r="BO805" s="50"/>
      <c r="BP805" s="50"/>
      <c r="BQ805" s="50"/>
      <c r="BR805" s="50"/>
      <c r="BS805" s="50"/>
      <c r="BT805" s="50"/>
      <c r="BU805" s="50"/>
      <c r="BV805" s="50"/>
      <c r="BW805" s="50"/>
      <c r="BX805" s="50"/>
      <c r="BY805" s="50"/>
      <c r="BZ805" s="50"/>
      <c r="CA805" s="50"/>
      <c r="CB805" s="50"/>
      <c r="CC805" s="50"/>
      <c r="CD805" s="52"/>
      <c r="CE805" s="50"/>
      <c r="CF805" s="50"/>
      <c r="CG805" s="50"/>
      <c r="CH805" s="50"/>
      <c r="CI805" s="50"/>
      <c r="CJ805" s="50"/>
      <c r="CK805" s="50"/>
      <c r="CL805" s="50"/>
      <c r="CM805" s="50"/>
      <c r="CN805" s="50"/>
      <c r="CO805" s="50"/>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c r="FF805" s="3"/>
      <c r="FG805" s="3"/>
      <c r="FH805" s="3"/>
      <c r="FI805" s="3"/>
      <c r="FJ805" s="3"/>
      <c r="FK805" s="3"/>
      <c r="FL805" s="3"/>
      <c r="FM805" s="3"/>
      <c r="FN805" s="3"/>
      <c r="FO805" s="3"/>
      <c r="FP805" s="3"/>
      <c r="FQ805" s="3"/>
      <c r="FR805" s="3"/>
      <c r="FS805" s="3"/>
      <c r="FT805" s="3"/>
      <c r="FU805" s="3"/>
      <c r="FV805" s="3"/>
      <c r="FW805" s="3"/>
      <c r="FX805" s="3"/>
      <c r="FY805" s="3"/>
      <c r="FZ805" s="3"/>
      <c r="GA805" s="3"/>
      <c r="GB805" s="3"/>
      <c r="GC805" s="3"/>
      <c r="GD805" s="3"/>
      <c r="GE805" s="3"/>
      <c r="GF805" s="3"/>
      <c r="GG805" s="3"/>
      <c r="GH805" s="3"/>
      <c r="GI805" s="3"/>
      <c r="GJ805" s="3"/>
      <c r="GK805" s="3"/>
      <c r="GL805" s="3"/>
      <c r="GM805" s="3"/>
      <c r="GN805" s="3"/>
      <c r="GO805" s="3"/>
      <c r="GP805" s="3"/>
      <c r="GQ805" s="3"/>
      <c r="GR805" s="3"/>
      <c r="GS805" s="3"/>
      <c r="GT805" s="3"/>
      <c r="GU805" s="3"/>
      <c r="GV805" s="3"/>
      <c r="GW805" s="3"/>
      <c r="GX805" s="3"/>
      <c r="GY805" s="3"/>
      <c r="GZ805" s="3"/>
      <c r="HA805" s="3"/>
      <c r="HB805" s="3"/>
    </row>
    <row r="806" spans="1:210" ht="15.75" customHeight="1">
      <c r="A806" s="50"/>
      <c r="B806" s="50"/>
      <c r="C806" s="50"/>
      <c r="D806" s="50"/>
      <c r="E806" s="50"/>
      <c r="F806" s="50"/>
      <c r="G806" s="51"/>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c r="AS806" s="50"/>
      <c r="AT806" s="50"/>
      <c r="AU806" s="50"/>
      <c r="AV806" s="50"/>
      <c r="AW806" s="50"/>
      <c r="AX806" s="50"/>
      <c r="AY806" s="50"/>
      <c r="AZ806" s="50"/>
      <c r="BA806" s="50"/>
      <c r="BB806" s="50"/>
      <c r="BC806" s="50"/>
      <c r="BD806" s="50"/>
      <c r="BE806" s="50"/>
      <c r="BF806" s="50"/>
      <c r="BG806" s="50"/>
      <c r="BH806" s="50"/>
      <c r="BI806" s="50"/>
      <c r="BJ806" s="50"/>
      <c r="BK806" s="50"/>
      <c r="BL806" s="50"/>
      <c r="BM806" s="50"/>
      <c r="BN806" s="50"/>
      <c r="BO806" s="50"/>
      <c r="BP806" s="50"/>
      <c r="BQ806" s="50"/>
      <c r="BR806" s="50"/>
      <c r="BS806" s="50"/>
      <c r="BT806" s="50"/>
      <c r="BU806" s="50"/>
      <c r="BV806" s="50"/>
      <c r="BW806" s="50"/>
      <c r="BX806" s="50"/>
      <c r="BY806" s="50"/>
      <c r="BZ806" s="50"/>
      <c r="CA806" s="50"/>
      <c r="CB806" s="50"/>
      <c r="CC806" s="50"/>
      <c r="CD806" s="52"/>
      <c r="CE806" s="50"/>
      <c r="CF806" s="50"/>
      <c r="CG806" s="50"/>
      <c r="CH806" s="50"/>
      <c r="CI806" s="50"/>
      <c r="CJ806" s="50"/>
      <c r="CK806" s="50"/>
      <c r="CL806" s="50"/>
      <c r="CM806" s="50"/>
      <c r="CN806" s="50"/>
      <c r="CO806" s="50"/>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c r="FF806" s="3"/>
      <c r="FG806" s="3"/>
      <c r="FH806" s="3"/>
      <c r="FI806" s="3"/>
      <c r="FJ806" s="3"/>
      <c r="FK806" s="3"/>
      <c r="FL806" s="3"/>
      <c r="FM806" s="3"/>
      <c r="FN806" s="3"/>
      <c r="FO806" s="3"/>
      <c r="FP806" s="3"/>
      <c r="FQ806" s="3"/>
      <c r="FR806" s="3"/>
      <c r="FS806" s="3"/>
      <c r="FT806" s="3"/>
      <c r="FU806" s="3"/>
      <c r="FV806" s="3"/>
      <c r="FW806" s="3"/>
      <c r="FX806" s="3"/>
      <c r="FY806" s="3"/>
      <c r="FZ806" s="3"/>
      <c r="GA806" s="3"/>
      <c r="GB806" s="3"/>
      <c r="GC806" s="3"/>
      <c r="GD806" s="3"/>
      <c r="GE806" s="3"/>
      <c r="GF806" s="3"/>
      <c r="GG806" s="3"/>
      <c r="GH806" s="3"/>
      <c r="GI806" s="3"/>
      <c r="GJ806" s="3"/>
      <c r="GK806" s="3"/>
      <c r="GL806" s="3"/>
      <c r="GM806" s="3"/>
      <c r="GN806" s="3"/>
      <c r="GO806" s="3"/>
      <c r="GP806" s="3"/>
      <c r="GQ806" s="3"/>
      <c r="GR806" s="3"/>
      <c r="GS806" s="3"/>
      <c r="GT806" s="3"/>
      <c r="GU806" s="3"/>
      <c r="GV806" s="3"/>
      <c r="GW806" s="3"/>
      <c r="GX806" s="3"/>
      <c r="GY806" s="3"/>
      <c r="GZ806" s="3"/>
      <c r="HA806" s="3"/>
      <c r="HB806" s="3"/>
    </row>
    <row r="807" spans="1:210" ht="15.75" customHeight="1">
      <c r="A807" s="50"/>
      <c r="B807" s="50"/>
      <c r="C807" s="50"/>
      <c r="D807" s="50"/>
      <c r="E807" s="50"/>
      <c r="F807" s="50"/>
      <c r="G807" s="51"/>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c r="AS807" s="50"/>
      <c r="AT807" s="50"/>
      <c r="AU807" s="50"/>
      <c r="AV807" s="50"/>
      <c r="AW807" s="50"/>
      <c r="AX807" s="50"/>
      <c r="AY807" s="50"/>
      <c r="AZ807" s="50"/>
      <c r="BA807" s="50"/>
      <c r="BB807" s="50"/>
      <c r="BC807" s="50"/>
      <c r="BD807" s="50"/>
      <c r="BE807" s="50"/>
      <c r="BF807" s="50"/>
      <c r="BG807" s="50"/>
      <c r="BH807" s="50"/>
      <c r="BI807" s="50"/>
      <c r="BJ807" s="50"/>
      <c r="BK807" s="50"/>
      <c r="BL807" s="50"/>
      <c r="BM807" s="50"/>
      <c r="BN807" s="50"/>
      <c r="BO807" s="50"/>
      <c r="BP807" s="50"/>
      <c r="BQ807" s="50"/>
      <c r="BR807" s="50"/>
      <c r="BS807" s="50"/>
      <c r="BT807" s="50"/>
      <c r="BU807" s="50"/>
      <c r="BV807" s="50"/>
      <c r="BW807" s="50"/>
      <c r="BX807" s="50"/>
      <c r="BY807" s="50"/>
      <c r="BZ807" s="50"/>
      <c r="CA807" s="50"/>
      <c r="CB807" s="50"/>
      <c r="CC807" s="50"/>
      <c r="CD807" s="52"/>
      <c r="CE807" s="50"/>
      <c r="CF807" s="50"/>
      <c r="CG807" s="50"/>
      <c r="CH807" s="50"/>
      <c r="CI807" s="50"/>
      <c r="CJ807" s="50"/>
      <c r="CK807" s="50"/>
      <c r="CL807" s="50"/>
      <c r="CM807" s="50"/>
      <c r="CN807" s="50"/>
      <c r="CO807" s="50"/>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c r="FF807" s="3"/>
      <c r="FG807" s="3"/>
      <c r="FH807" s="3"/>
      <c r="FI807" s="3"/>
      <c r="FJ807" s="3"/>
      <c r="FK807" s="3"/>
      <c r="FL807" s="3"/>
      <c r="FM807" s="3"/>
      <c r="FN807" s="3"/>
      <c r="FO807" s="3"/>
      <c r="FP807" s="3"/>
      <c r="FQ807" s="3"/>
      <c r="FR807" s="3"/>
      <c r="FS807" s="3"/>
      <c r="FT807" s="3"/>
      <c r="FU807" s="3"/>
      <c r="FV807" s="3"/>
      <c r="FW807" s="3"/>
      <c r="FX807" s="3"/>
      <c r="FY807" s="3"/>
      <c r="FZ807" s="3"/>
      <c r="GA807" s="3"/>
      <c r="GB807" s="3"/>
      <c r="GC807" s="3"/>
      <c r="GD807" s="3"/>
      <c r="GE807" s="3"/>
      <c r="GF807" s="3"/>
      <c r="GG807" s="3"/>
      <c r="GH807" s="3"/>
      <c r="GI807" s="3"/>
      <c r="GJ807" s="3"/>
      <c r="GK807" s="3"/>
      <c r="GL807" s="3"/>
      <c r="GM807" s="3"/>
      <c r="GN807" s="3"/>
      <c r="GO807" s="3"/>
      <c r="GP807" s="3"/>
      <c r="GQ807" s="3"/>
      <c r="GR807" s="3"/>
      <c r="GS807" s="3"/>
      <c r="GT807" s="3"/>
      <c r="GU807" s="3"/>
      <c r="GV807" s="3"/>
      <c r="GW807" s="3"/>
      <c r="GX807" s="3"/>
      <c r="GY807" s="3"/>
      <c r="GZ807" s="3"/>
      <c r="HA807" s="3"/>
      <c r="HB807" s="3"/>
    </row>
    <row r="808" spans="1:210" ht="15.75" customHeight="1">
      <c r="A808" s="50"/>
      <c r="B808" s="50"/>
      <c r="C808" s="50"/>
      <c r="D808" s="50"/>
      <c r="E808" s="50"/>
      <c r="F808" s="50"/>
      <c r="G808" s="51"/>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c r="AS808" s="50"/>
      <c r="AT808" s="50"/>
      <c r="AU808" s="50"/>
      <c r="AV808" s="50"/>
      <c r="AW808" s="50"/>
      <c r="AX808" s="50"/>
      <c r="AY808" s="50"/>
      <c r="AZ808" s="50"/>
      <c r="BA808" s="50"/>
      <c r="BB808" s="50"/>
      <c r="BC808" s="50"/>
      <c r="BD808" s="50"/>
      <c r="BE808" s="50"/>
      <c r="BF808" s="50"/>
      <c r="BG808" s="50"/>
      <c r="BH808" s="50"/>
      <c r="BI808" s="50"/>
      <c r="BJ808" s="50"/>
      <c r="BK808" s="50"/>
      <c r="BL808" s="50"/>
      <c r="BM808" s="50"/>
      <c r="BN808" s="50"/>
      <c r="BO808" s="50"/>
      <c r="BP808" s="50"/>
      <c r="BQ808" s="50"/>
      <c r="BR808" s="50"/>
      <c r="BS808" s="50"/>
      <c r="BT808" s="50"/>
      <c r="BU808" s="50"/>
      <c r="BV808" s="50"/>
      <c r="BW808" s="50"/>
      <c r="BX808" s="50"/>
      <c r="BY808" s="50"/>
      <c r="BZ808" s="50"/>
      <c r="CA808" s="50"/>
      <c r="CB808" s="50"/>
      <c r="CC808" s="50"/>
      <c r="CD808" s="52"/>
      <c r="CE808" s="50"/>
      <c r="CF808" s="50"/>
      <c r="CG808" s="50"/>
      <c r="CH808" s="50"/>
      <c r="CI808" s="50"/>
      <c r="CJ808" s="50"/>
      <c r="CK808" s="50"/>
      <c r="CL808" s="50"/>
      <c r="CM808" s="50"/>
      <c r="CN808" s="50"/>
      <c r="CO808" s="50"/>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c r="FF808" s="3"/>
      <c r="FG808" s="3"/>
      <c r="FH808" s="3"/>
      <c r="FI808" s="3"/>
      <c r="FJ808" s="3"/>
      <c r="FK808" s="3"/>
      <c r="FL808" s="3"/>
      <c r="FM808" s="3"/>
      <c r="FN808" s="3"/>
      <c r="FO808" s="3"/>
      <c r="FP808" s="3"/>
      <c r="FQ808" s="3"/>
      <c r="FR808" s="3"/>
      <c r="FS808" s="3"/>
      <c r="FT808" s="3"/>
      <c r="FU808" s="3"/>
      <c r="FV808" s="3"/>
      <c r="FW808" s="3"/>
      <c r="FX808" s="3"/>
      <c r="FY808" s="3"/>
      <c r="FZ808" s="3"/>
      <c r="GA808" s="3"/>
      <c r="GB808" s="3"/>
      <c r="GC808" s="3"/>
      <c r="GD808" s="3"/>
      <c r="GE808" s="3"/>
      <c r="GF808" s="3"/>
      <c r="GG808" s="3"/>
      <c r="GH808" s="3"/>
      <c r="GI808" s="3"/>
      <c r="GJ808" s="3"/>
      <c r="GK808" s="3"/>
      <c r="GL808" s="3"/>
      <c r="GM808" s="3"/>
      <c r="GN808" s="3"/>
      <c r="GO808" s="3"/>
      <c r="GP808" s="3"/>
      <c r="GQ808" s="3"/>
      <c r="GR808" s="3"/>
      <c r="GS808" s="3"/>
      <c r="GT808" s="3"/>
      <c r="GU808" s="3"/>
      <c r="GV808" s="3"/>
      <c r="GW808" s="3"/>
      <c r="GX808" s="3"/>
      <c r="GY808" s="3"/>
      <c r="GZ808" s="3"/>
      <c r="HA808" s="3"/>
      <c r="HB808" s="3"/>
    </row>
    <row r="809" spans="1:210" ht="15.75" customHeight="1">
      <c r="A809" s="50"/>
      <c r="B809" s="50"/>
      <c r="C809" s="50"/>
      <c r="D809" s="50"/>
      <c r="E809" s="50"/>
      <c r="F809" s="50"/>
      <c r="G809" s="51"/>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c r="AR809" s="50"/>
      <c r="AS809" s="50"/>
      <c r="AT809" s="50"/>
      <c r="AU809" s="50"/>
      <c r="AV809" s="50"/>
      <c r="AW809" s="50"/>
      <c r="AX809" s="50"/>
      <c r="AY809" s="50"/>
      <c r="AZ809" s="50"/>
      <c r="BA809" s="50"/>
      <c r="BB809" s="50"/>
      <c r="BC809" s="50"/>
      <c r="BD809" s="50"/>
      <c r="BE809" s="50"/>
      <c r="BF809" s="50"/>
      <c r="BG809" s="50"/>
      <c r="BH809" s="50"/>
      <c r="BI809" s="50"/>
      <c r="BJ809" s="50"/>
      <c r="BK809" s="50"/>
      <c r="BL809" s="50"/>
      <c r="BM809" s="50"/>
      <c r="BN809" s="50"/>
      <c r="BO809" s="50"/>
      <c r="BP809" s="50"/>
      <c r="BQ809" s="50"/>
      <c r="BR809" s="50"/>
      <c r="BS809" s="50"/>
      <c r="BT809" s="50"/>
      <c r="BU809" s="50"/>
      <c r="BV809" s="50"/>
      <c r="BW809" s="50"/>
      <c r="BX809" s="50"/>
      <c r="BY809" s="50"/>
      <c r="BZ809" s="50"/>
      <c r="CA809" s="50"/>
      <c r="CB809" s="50"/>
      <c r="CC809" s="50"/>
      <c r="CD809" s="52"/>
      <c r="CE809" s="50"/>
      <c r="CF809" s="50"/>
      <c r="CG809" s="50"/>
      <c r="CH809" s="50"/>
      <c r="CI809" s="50"/>
      <c r="CJ809" s="50"/>
      <c r="CK809" s="50"/>
      <c r="CL809" s="50"/>
      <c r="CM809" s="50"/>
      <c r="CN809" s="50"/>
      <c r="CO809" s="50"/>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c r="FF809" s="3"/>
      <c r="FG809" s="3"/>
      <c r="FH809" s="3"/>
      <c r="FI809" s="3"/>
      <c r="FJ809" s="3"/>
      <c r="FK809" s="3"/>
      <c r="FL809" s="3"/>
      <c r="FM809" s="3"/>
      <c r="FN809" s="3"/>
      <c r="FO809" s="3"/>
      <c r="FP809" s="3"/>
      <c r="FQ809" s="3"/>
      <c r="FR809" s="3"/>
      <c r="FS809" s="3"/>
      <c r="FT809" s="3"/>
      <c r="FU809" s="3"/>
      <c r="FV809" s="3"/>
      <c r="FW809" s="3"/>
      <c r="FX809" s="3"/>
      <c r="FY809" s="3"/>
      <c r="FZ809" s="3"/>
      <c r="GA809" s="3"/>
      <c r="GB809" s="3"/>
      <c r="GC809" s="3"/>
      <c r="GD809" s="3"/>
      <c r="GE809" s="3"/>
      <c r="GF809" s="3"/>
      <c r="GG809" s="3"/>
      <c r="GH809" s="3"/>
      <c r="GI809" s="3"/>
      <c r="GJ809" s="3"/>
      <c r="GK809" s="3"/>
      <c r="GL809" s="3"/>
      <c r="GM809" s="3"/>
      <c r="GN809" s="3"/>
      <c r="GO809" s="3"/>
      <c r="GP809" s="3"/>
      <c r="GQ809" s="3"/>
      <c r="GR809" s="3"/>
      <c r="GS809" s="3"/>
      <c r="GT809" s="3"/>
      <c r="GU809" s="3"/>
      <c r="GV809" s="3"/>
      <c r="GW809" s="3"/>
      <c r="GX809" s="3"/>
      <c r="GY809" s="3"/>
      <c r="GZ809" s="3"/>
      <c r="HA809" s="3"/>
      <c r="HB809" s="3"/>
    </row>
    <row r="810" spans="1:210" ht="15.75" customHeight="1">
      <c r="A810" s="50"/>
      <c r="B810" s="50"/>
      <c r="C810" s="50"/>
      <c r="D810" s="50"/>
      <c r="E810" s="50"/>
      <c r="F810" s="50"/>
      <c r="G810" s="51"/>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c r="AR810" s="50"/>
      <c r="AS810" s="50"/>
      <c r="AT810" s="50"/>
      <c r="AU810" s="50"/>
      <c r="AV810" s="50"/>
      <c r="AW810" s="50"/>
      <c r="AX810" s="50"/>
      <c r="AY810" s="50"/>
      <c r="AZ810" s="50"/>
      <c r="BA810" s="50"/>
      <c r="BB810" s="50"/>
      <c r="BC810" s="50"/>
      <c r="BD810" s="50"/>
      <c r="BE810" s="50"/>
      <c r="BF810" s="50"/>
      <c r="BG810" s="50"/>
      <c r="BH810" s="50"/>
      <c r="BI810" s="50"/>
      <c r="BJ810" s="50"/>
      <c r="BK810" s="50"/>
      <c r="BL810" s="50"/>
      <c r="BM810" s="50"/>
      <c r="BN810" s="50"/>
      <c r="BO810" s="50"/>
      <c r="BP810" s="50"/>
      <c r="BQ810" s="50"/>
      <c r="BR810" s="50"/>
      <c r="BS810" s="50"/>
      <c r="BT810" s="50"/>
      <c r="BU810" s="50"/>
      <c r="BV810" s="50"/>
      <c r="BW810" s="50"/>
      <c r="BX810" s="50"/>
      <c r="BY810" s="50"/>
      <c r="BZ810" s="50"/>
      <c r="CA810" s="50"/>
      <c r="CB810" s="50"/>
      <c r="CC810" s="50"/>
      <c r="CD810" s="52"/>
      <c r="CE810" s="50"/>
      <c r="CF810" s="50"/>
      <c r="CG810" s="50"/>
      <c r="CH810" s="50"/>
      <c r="CI810" s="50"/>
      <c r="CJ810" s="50"/>
      <c r="CK810" s="50"/>
      <c r="CL810" s="50"/>
      <c r="CM810" s="50"/>
      <c r="CN810" s="50"/>
      <c r="CO810" s="50"/>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c r="GE810" s="3"/>
      <c r="GF810" s="3"/>
      <c r="GG810" s="3"/>
      <c r="GH810" s="3"/>
      <c r="GI810" s="3"/>
      <c r="GJ810" s="3"/>
      <c r="GK810" s="3"/>
      <c r="GL810" s="3"/>
      <c r="GM810" s="3"/>
      <c r="GN810" s="3"/>
      <c r="GO810" s="3"/>
      <c r="GP810" s="3"/>
      <c r="GQ810" s="3"/>
      <c r="GR810" s="3"/>
      <c r="GS810" s="3"/>
      <c r="GT810" s="3"/>
      <c r="GU810" s="3"/>
      <c r="GV810" s="3"/>
      <c r="GW810" s="3"/>
      <c r="GX810" s="3"/>
      <c r="GY810" s="3"/>
      <c r="GZ810" s="3"/>
      <c r="HA810" s="3"/>
      <c r="HB810" s="3"/>
    </row>
    <row r="811" spans="1:210" ht="15.75" customHeight="1">
      <c r="A811" s="50"/>
      <c r="B811" s="50"/>
      <c r="C811" s="50"/>
      <c r="D811" s="50"/>
      <c r="E811" s="50"/>
      <c r="F811" s="50"/>
      <c r="G811" s="51"/>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c r="AR811" s="50"/>
      <c r="AS811" s="50"/>
      <c r="AT811" s="50"/>
      <c r="AU811" s="50"/>
      <c r="AV811" s="50"/>
      <c r="AW811" s="50"/>
      <c r="AX811" s="50"/>
      <c r="AY811" s="50"/>
      <c r="AZ811" s="50"/>
      <c r="BA811" s="50"/>
      <c r="BB811" s="50"/>
      <c r="BC811" s="50"/>
      <c r="BD811" s="50"/>
      <c r="BE811" s="50"/>
      <c r="BF811" s="50"/>
      <c r="BG811" s="50"/>
      <c r="BH811" s="50"/>
      <c r="BI811" s="50"/>
      <c r="BJ811" s="50"/>
      <c r="BK811" s="50"/>
      <c r="BL811" s="50"/>
      <c r="BM811" s="50"/>
      <c r="BN811" s="50"/>
      <c r="BO811" s="50"/>
      <c r="BP811" s="50"/>
      <c r="BQ811" s="50"/>
      <c r="BR811" s="50"/>
      <c r="BS811" s="50"/>
      <c r="BT811" s="50"/>
      <c r="BU811" s="50"/>
      <c r="BV811" s="50"/>
      <c r="BW811" s="50"/>
      <c r="BX811" s="50"/>
      <c r="BY811" s="50"/>
      <c r="BZ811" s="50"/>
      <c r="CA811" s="50"/>
      <c r="CB811" s="50"/>
      <c r="CC811" s="50"/>
      <c r="CD811" s="52"/>
      <c r="CE811" s="50"/>
      <c r="CF811" s="50"/>
      <c r="CG811" s="50"/>
      <c r="CH811" s="50"/>
      <c r="CI811" s="50"/>
      <c r="CJ811" s="50"/>
      <c r="CK811" s="50"/>
      <c r="CL811" s="50"/>
      <c r="CM811" s="50"/>
      <c r="CN811" s="50"/>
      <c r="CO811" s="50"/>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c r="FF811" s="3"/>
      <c r="FG811" s="3"/>
      <c r="FH811" s="3"/>
      <c r="FI811" s="3"/>
      <c r="FJ811" s="3"/>
      <c r="FK811" s="3"/>
      <c r="FL811" s="3"/>
      <c r="FM811" s="3"/>
      <c r="FN811" s="3"/>
      <c r="FO811" s="3"/>
      <c r="FP811" s="3"/>
      <c r="FQ811" s="3"/>
      <c r="FR811" s="3"/>
      <c r="FS811" s="3"/>
      <c r="FT811" s="3"/>
      <c r="FU811" s="3"/>
      <c r="FV811" s="3"/>
      <c r="FW811" s="3"/>
      <c r="FX811" s="3"/>
      <c r="FY811" s="3"/>
      <c r="FZ811" s="3"/>
      <c r="GA811" s="3"/>
      <c r="GB811" s="3"/>
      <c r="GC811" s="3"/>
      <c r="GD811" s="3"/>
      <c r="GE811" s="3"/>
      <c r="GF811" s="3"/>
      <c r="GG811" s="3"/>
      <c r="GH811" s="3"/>
      <c r="GI811" s="3"/>
      <c r="GJ811" s="3"/>
      <c r="GK811" s="3"/>
      <c r="GL811" s="3"/>
      <c r="GM811" s="3"/>
      <c r="GN811" s="3"/>
      <c r="GO811" s="3"/>
      <c r="GP811" s="3"/>
      <c r="GQ811" s="3"/>
      <c r="GR811" s="3"/>
      <c r="GS811" s="3"/>
      <c r="GT811" s="3"/>
      <c r="GU811" s="3"/>
      <c r="GV811" s="3"/>
      <c r="GW811" s="3"/>
      <c r="GX811" s="3"/>
      <c r="GY811" s="3"/>
      <c r="GZ811" s="3"/>
      <c r="HA811" s="3"/>
      <c r="HB811" s="3"/>
    </row>
    <row r="812" spans="1:210" ht="15.75" customHeight="1">
      <c r="A812" s="50"/>
      <c r="B812" s="50"/>
      <c r="C812" s="50"/>
      <c r="D812" s="50"/>
      <c r="E812" s="50"/>
      <c r="F812" s="50"/>
      <c r="G812" s="51"/>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c r="AS812" s="50"/>
      <c r="AT812" s="50"/>
      <c r="AU812" s="50"/>
      <c r="AV812" s="50"/>
      <c r="AW812" s="50"/>
      <c r="AX812" s="50"/>
      <c r="AY812" s="50"/>
      <c r="AZ812" s="50"/>
      <c r="BA812" s="50"/>
      <c r="BB812" s="50"/>
      <c r="BC812" s="50"/>
      <c r="BD812" s="50"/>
      <c r="BE812" s="50"/>
      <c r="BF812" s="50"/>
      <c r="BG812" s="50"/>
      <c r="BH812" s="50"/>
      <c r="BI812" s="50"/>
      <c r="BJ812" s="50"/>
      <c r="BK812" s="50"/>
      <c r="BL812" s="50"/>
      <c r="BM812" s="50"/>
      <c r="BN812" s="50"/>
      <c r="BO812" s="50"/>
      <c r="BP812" s="50"/>
      <c r="BQ812" s="50"/>
      <c r="BR812" s="50"/>
      <c r="BS812" s="50"/>
      <c r="BT812" s="50"/>
      <c r="BU812" s="50"/>
      <c r="BV812" s="50"/>
      <c r="BW812" s="50"/>
      <c r="BX812" s="50"/>
      <c r="BY812" s="50"/>
      <c r="BZ812" s="50"/>
      <c r="CA812" s="50"/>
      <c r="CB812" s="50"/>
      <c r="CC812" s="50"/>
      <c r="CD812" s="52"/>
      <c r="CE812" s="50"/>
      <c r="CF812" s="50"/>
      <c r="CG812" s="50"/>
      <c r="CH812" s="50"/>
      <c r="CI812" s="50"/>
      <c r="CJ812" s="50"/>
      <c r="CK812" s="50"/>
      <c r="CL812" s="50"/>
      <c r="CM812" s="50"/>
      <c r="CN812" s="50"/>
      <c r="CO812" s="50"/>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c r="FF812" s="3"/>
      <c r="FG812" s="3"/>
      <c r="FH812" s="3"/>
      <c r="FI812" s="3"/>
      <c r="FJ812" s="3"/>
      <c r="FK812" s="3"/>
      <c r="FL812" s="3"/>
      <c r="FM812" s="3"/>
      <c r="FN812" s="3"/>
      <c r="FO812" s="3"/>
      <c r="FP812" s="3"/>
      <c r="FQ812" s="3"/>
      <c r="FR812" s="3"/>
      <c r="FS812" s="3"/>
      <c r="FT812" s="3"/>
      <c r="FU812" s="3"/>
      <c r="FV812" s="3"/>
      <c r="FW812" s="3"/>
      <c r="FX812" s="3"/>
      <c r="FY812" s="3"/>
      <c r="FZ812" s="3"/>
      <c r="GA812" s="3"/>
      <c r="GB812" s="3"/>
      <c r="GC812" s="3"/>
      <c r="GD812" s="3"/>
      <c r="GE812" s="3"/>
      <c r="GF812" s="3"/>
      <c r="GG812" s="3"/>
      <c r="GH812" s="3"/>
      <c r="GI812" s="3"/>
      <c r="GJ812" s="3"/>
      <c r="GK812" s="3"/>
      <c r="GL812" s="3"/>
      <c r="GM812" s="3"/>
      <c r="GN812" s="3"/>
      <c r="GO812" s="3"/>
      <c r="GP812" s="3"/>
      <c r="GQ812" s="3"/>
      <c r="GR812" s="3"/>
      <c r="GS812" s="3"/>
      <c r="GT812" s="3"/>
      <c r="GU812" s="3"/>
      <c r="GV812" s="3"/>
      <c r="GW812" s="3"/>
      <c r="GX812" s="3"/>
      <c r="GY812" s="3"/>
      <c r="GZ812" s="3"/>
      <c r="HA812" s="3"/>
      <c r="HB812" s="3"/>
    </row>
    <row r="813" spans="1:210" ht="15.75" customHeight="1">
      <c r="A813" s="50"/>
      <c r="B813" s="50"/>
      <c r="C813" s="50"/>
      <c r="D813" s="50"/>
      <c r="E813" s="50"/>
      <c r="F813" s="50"/>
      <c r="G813" s="51"/>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c r="AS813" s="50"/>
      <c r="AT813" s="50"/>
      <c r="AU813" s="50"/>
      <c r="AV813" s="50"/>
      <c r="AW813" s="50"/>
      <c r="AX813" s="50"/>
      <c r="AY813" s="50"/>
      <c r="AZ813" s="50"/>
      <c r="BA813" s="50"/>
      <c r="BB813" s="50"/>
      <c r="BC813" s="50"/>
      <c r="BD813" s="50"/>
      <c r="BE813" s="50"/>
      <c r="BF813" s="50"/>
      <c r="BG813" s="50"/>
      <c r="BH813" s="50"/>
      <c r="BI813" s="50"/>
      <c r="BJ813" s="50"/>
      <c r="BK813" s="50"/>
      <c r="BL813" s="50"/>
      <c r="BM813" s="50"/>
      <c r="BN813" s="50"/>
      <c r="BO813" s="50"/>
      <c r="BP813" s="50"/>
      <c r="BQ813" s="50"/>
      <c r="BR813" s="50"/>
      <c r="BS813" s="50"/>
      <c r="BT813" s="50"/>
      <c r="BU813" s="50"/>
      <c r="BV813" s="50"/>
      <c r="BW813" s="50"/>
      <c r="BX813" s="50"/>
      <c r="BY813" s="50"/>
      <c r="BZ813" s="50"/>
      <c r="CA813" s="50"/>
      <c r="CB813" s="50"/>
      <c r="CC813" s="50"/>
      <c r="CD813" s="52"/>
      <c r="CE813" s="50"/>
      <c r="CF813" s="50"/>
      <c r="CG813" s="50"/>
      <c r="CH813" s="50"/>
      <c r="CI813" s="50"/>
      <c r="CJ813" s="50"/>
      <c r="CK813" s="50"/>
      <c r="CL813" s="50"/>
      <c r="CM813" s="50"/>
      <c r="CN813" s="50"/>
      <c r="CO813" s="50"/>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c r="FF813" s="3"/>
      <c r="FG813" s="3"/>
      <c r="FH813" s="3"/>
      <c r="FI813" s="3"/>
      <c r="FJ813" s="3"/>
      <c r="FK813" s="3"/>
      <c r="FL813" s="3"/>
      <c r="FM813" s="3"/>
      <c r="FN813" s="3"/>
      <c r="FO813" s="3"/>
      <c r="FP813" s="3"/>
      <c r="FQ813" s="3"/>
      <c r="FR813" s="3"/>
      <c r="FS813" s="3"/>
      <c r="FT813" s="3"/>
      <c r="FU813" s="3"/>
      <c r="FV813" s="3"/>
      <c r="FW813" s="3"/>
      <c r="FX813" s="3"/>
      <c r="FY813" s="3"/>
      <c r="FZ813" s="3"/>
      <c r="GA813" s="3"/>
      <c r="GB813" s="3"/>
      <c r="GC813" s="3"/>
      <c r="GD813" s="3"/>
      <c r="GE813" s="3"/>
      <c r="GF813" s="3"/>
      <c r="GG813" s="3"/>
      <c r="GH813" s="3"/>
      <c r="GI813" s="3"/>
      <c r="GJ813" s="3"/>
      <c r="GK813" s="3"/>
      <c r="GL813" s="3"/>
      <c r="GM813" s="3"/>
      <c r="GN813" s="3"/>
      <c r="GO813" s="3"/>
      <c r="GP813" s="3"/>
      <c r="GQ813" s="3"/>
      <c r="GR813" s="3"/>
      <c r="GS813" s="3"/>
      <c r="GT813" s="3"/>
      <c r="GU813" s="3"/>
      <c r="GV813" s="3"/>
      <c r="GW813" s="3"/>
      <c r="GX813" s="3"/>
      <c r="GY813" s="3"/>
      <c r="GZ813" s="3"/>
      <c r="HA813" s="3"/>
      <c r="HB813" s="3"/>
    </row>
    <row r="814" spans="1:210" ht="15.75" customHeight="1">
      <c r="A814" s="50"/>
      <c r="B814" s="50"/>
      <c r="C814" s="50"/>
      <c r="D814" s="50"/>
      <c r="E814" s="50"/>
      <c r="F814" s="50"/>
      <c r="G814" s="51"/>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c r="AS814" s="50"/>
      <c r="AT814" s="50"/>
      <c r="AU814" s="50"/>
      <c r="AV814" s="50"/>
      <c r="AW814" s="50"/>
      <c r="AX814" s="50"/>
      <c r="AY814" s="50"/>
      <c r="AZ814" s="50"/>
      <c r="BA814" s="50"/>
      <c r="BB814" s="50"/>
      <c r="BC814" s="50"/>
      <c r="BD814" s="50"/>
      <c r="BE814" s="50"/>
      <c r="BF814" s="50"/>
      <c r="BG814" s="50"/>
      <c r="BH814" s="50"/>
      <c r="BI814" s="50"/>
      <c r="BJ814" s="50"/>
      <c r="BK814" s="50"/>
      <c r="BL814" s="50"/>
      <c r="BM814" s="50"/>
      <c r="BN814" s="50"/>
      <c r="BO814" s="50"/>
      <c r="BP814" s="50"/>
      <c r="BQ814" s="50"/>
      <c r="BR814" s="50"/>
      <c r="BS814" s="50"/>
      <c r="BT814" s="50"/>
      <c r="BU814" s="50"/>
      <c r="BV814" s="50"/>
      <c r="BW814" s="50"/>
      <c r="BX814" s="50"/>
      <c r="BY814" s="50"/>
      <c r="BZ814" s="50"/>
      <c r="CA814" s="50"/>
      <c r="CB814" s="50"/>
      <c r="CC814" s="50"/>
      <c r="CD814" s="52"/>
      <c r="CE814" s="50"/>
      <c r="CF814" s="50"/>
      <c r="CG814" s="50"/>
      <c r="CH814" s="50"/>
      <c r="CI814" s="50"/>
      <c r="CJ814" s="50"/>
      <c r="CK814" s="50"/>
      <c r="CL814" s="50"/>
      <c r="CM814" s="50"/>
      <c r="CN814" s="50"/>
      <c r="CO814" s="50"/>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c r="FF814" s="3"/>
      <c r="FG814" s="3"/>
      <c r="FH814" s="3"/>
      <c r="FI814" s="3"/>
      <c r="FJ814" s="3"/>
      <c r="FK814" s="3"/>
      <c r="FL814" s="3"/>
      <c r="FM814" s="3"/>
      <c r="FN814" s="3"/>
      <c r="FO814" s="3"/>
      <c r="FP814" s="3"/>
      <c r="FQ814" s="3"/>
      <c r="FR814" s="3"/>
      <c r="FS814" s="3"/>
      <c r="FT814" s="3"/>
      <c r="FU814" s="3"/>
      <c r="FV814" s="3"/>
      <c r="FW814" s="3"/>
      <c r="FX814" s="3"/>
      <c r="FY814" s="3"/>
      <c r="FZ814" s="3"/>
      <c r="GA814" s="3"/>
      <c r="GB814" s="3"/>
      <c r="GC814" s="3"/>
      <c r="GD814" s="3"/>
      <c r="GE814" s="3"/>
      <c r="GF814" s="3"/>
      <c r="GG814" s="3"/>
      <c r="GH814" s="3"/>
      <c r="GI814" s="3"/>
      <c r="GJ814" s="3"/>
      <c r="GK814" s="3"/>
      <c r="GL814" s="3"/>
      <c r="GM814" s="3"/>
      <c r="GN814" s="3"/>
      <c r="GO814" s="3"/>
      <c r="GP814" s="3"/>
      <c r="GQ814" s="3"/>
      <c r="GR814" s="3"/>
      <c r="GS814" s="3"/>
      <c r="GT814" s="3"/>
      <c r="GU814" s="3"/>
      <c r="GV814" s="3"/>
      <c r="GW814" s="3"/>
      <c r="GX814" s="3"/>
      <c r="GY814" s="3"/>
      <c r="GZ814" s="3"/>
      <c r="HA814" s="3"/>
      <c r="HB814" s="3"/>
    </row>
    <row r="815" spans="1:210" ht="15.75" customHeight="1">
      <c r="A815" s="50"/>
      <c r="B815" s="50"/>
      <c r="C815" s="50"/>
      <c r="D815" s="50"/>
      <c r="E815" s="50"/>
      <c r="F815" s="50"/>
      <c r="G815" s="51"/>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c r="AS815" s="50"/>
      <c r="AT815" s="50"/>
      <c r="AU815" s="50"/>
      <c r="AV815" s="50"/>
      <c r="AW815" s="50"/>
      <c r="AX815" s="50"/>
      <c r="AY815" s="50"/>
      <c r="AZ815" s="50"/>
      <c r="BA815" s="50"/>
      <c r="BB815" s="50"/>
      <c r="BC815" s="50"/>
      <c r="BD815" s="50"/>
      <c r="BE815" s="50"/>
      <c r="BF815" s="50"/>
      <c r="BG815" s="50"/>
      <c r="BH815" s="50"/>
      <c r="BI815" s="50"/>
      <c r="BJ815" s="50"/>
      <c r="BK815" s="50"/>
      <c r="BL815" s="50"/>
      <c r="BM815" s="50"/>
      <c r="BN815" s="50"/>
      <c r="BO815" s="50"/>
      <c r="BP815" s="50"/>
      <c r="BQ815" s="50"/>
      <c r="BR815" s="50"/>
      <c r="BS815" s="50"/>
      <c r="BT815" s="50"/>
      <c r="BU815" s="50"/>
      <c r="BV815" s="50"/>
      <c r="BW815" s="50"/>
      <c r="BX815" s="50"/>
      <c r="BY815" s="50"/>
      <c r="BZ815" s="50"/>
      <c r="CA815" s="50"/>
      <c r="CB815" s="50"/>
      <c r="CC815" s="50"/>
      <c r="CD815" s="52"/>
      <c r="CE815" s="50"/>
      <c r="CF815" s="50"/>
      <c r="CG815" s="50"/>
      <c r="CH815" s="50"/>
      <c r="CI815" s="50"/>
      <c r="CJ815" s="50"/>
      <c r="CK815" s="50"/>
      <c r="CL815" s="50"/>
      <c r="CM815" s="50"/>
      <c r="CN815" s="50"/>
      <c r="CO815" s="50"/>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c r="FF815" s="3"/>
      <c r="FG815" s="3"/>
      <c r="FH815" s="3"/>
      <c r="FI815" s="3"/>
      <c r="FJ815" s="3"/>
      <c r="FK815" s="3"/>
      <c r="FL815" s="3"/>
      <c r="FM815" s="3"/>
      <c r="FN815" s="3"/>
      <c r="FO815" s="3"/>
      <c r="FP815" s="3"/>
      <c r="FQ815" s="3"/>
      <c r="FR815" s="3"/>
      <c r="FS815" s="3"/>
      <c r="FT815" s="3"/>
      <c r="FU815" s="3"/>
      <c r="FV815" s="3"/>
      <c r="FW815" s="3"/>
      <c r="FX815" s="3"/>
      <c r="FY815" s="3"/>
      <c r="FZ815" s="3"/>
      <c r="GA815" s="3"/>
      <c r="GB815" s="3"/>
      <c r="GC815" s="3"/>
      <c r="GD815" s="3"/>
      <c r="GE815" s="3"/>
      <c r="GF815" s="3"/>
      <c r="GG815" s="3"/>
      <c r="GH815" s="3"/>
      <c r="GI815" s="3"/>
      <c r="GJ815" s="3"/>
      <c r="GK815" s="3"/>
      <c r="GL815" s="3"/>
      <c r="GM815" s="3"/>
      <c r="GN815" s="3"/>
      <c r="GO815" s="3"/>
      <c r="GP815" s="3"/>
      <c r="GQ815" s="3"/>
      <c r="GR815" s="3"/>
      <c r="GS815" s="3"/>
      <c r="GT815" s="3"/>
      <c r="GU815" s="3"/>
      <c r="GV815" s="3"/>
      <c r="GW815" s="3"/>
      <c r="GX815" s="3"/>
      <c r="GY815" s="3"/>
      <c r="GZ815" s="3"/>
      <c r="HA815" s="3"/>
      <c r="HB815" s="3"/>
    </row>
    <row r="816" spans="1:210" ht="15.75" customHeight="1">
      <c r="A816" s="50"/>
      <c r="B816" s="50"/>
      <c r="C816" s="50"/>
      <c r="D816" s="50"/>
      <c r="E816" s="50"/>
      <c r="F816" s="50"/>
      <c r="G816" s="51"/>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c r="AS816" s="50"/>
      <c r="AT816" s="50"/>
      <c r="AU816" s="50"/>
      <c r="AV816" s="50"/>
      <c r="AW816" s="50"/>
      <c r="AX816" s="50"/>
      <c r="AY816" s="50"/>
      <c r="AZ816" s="50"/>
      <c r="BA816" s="50"/>
      <c r="BB816" s="50"/>
      <c r="BC816" s="50"/>
      <c r="BD816" s="50"/>
      <c r="BE816" s="50"/>
      <c r="BF816" s="50"/>
      <c r="BG816" s="50"/>
      <c r="BH816" s="50"/>
      <c r="BI816" s="50"/>
      <c r="BJ816" s="50"/>
      <c r="BK816" s="50"/>
      <c r="BL816" s="50"/>
      <c r="BM816" s="50"/>
      <c r="BN816" s="50"/>
      <c r="BO816" s="50"/>
      <c r="BP816" s="50"/>
      <c r="BQ816" s="50"/>
      <c r="BR816" s="50"/>
      <c r="BS816" s="50"/>
      <c r="BT816" s="50"/>
      <c r="BU816" s="50"/>
      <c r="BV816" s="50"/>
      <c r="BW816" s="50"/>
      <c r="BX816" s="50"/>
      <c r="BY816" s="50"/>
      <c r="BZ816" s="50"/>
      <c r="CA816" s="50"/>
      <c r="CB816" s="50"/>
      <c r="CC816" s="50"/>
      <c r="CD816" s="52"/>
      <c r="CE816" s="50"/>
      <c r="CF816" s="50"/>
      <c r="CG816" s="50"/>
      <c r="CH816" s="50"/>
      <c r="CI816" s="50"/>
      <c r="CJ816" s="50"/>
      <c r="CK816" s="50"/>
      <c r="CL816" s="50"/>
      <c r="CM816" s="50"/>
      <c r="CN816" s="50"/>
      <c r="CO816" s="50"/>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c r="FF816" s="3"/>
      <c r="FG816" s="3"/>
      <c r="FH816" s="3"/>
      <c r="FI816" s="3"/>
      <c r="FJ816" s="3"/>
      <c r="FK816" s="3"/>
      <c r="FL816" s="3"/>
      <c r="FM816" s="3"/>
      <c r="FN816" s="3"/>
      <c r="FO816" s="3"/>
      <c r="FP816" s="3"/>
      <c r="FQ816" s="3"/>
      <c r="FR816" s="3"/>
      <c r="FS816" s="3"/>
      <c r="FT816" s="3"/>
      <c r="FU816" s="3"/>
      <c r="FV816" s="3"/>
      <c r="FW816" s="3"/>
      <c r="FX816" s="3"/>
      <c r="FY816" s="3"/>
      <c r="FZ816" s="3"/>
      <c r="GA816" s="3"/>
      <c r="GB816" s="3"/>
      <c r="GC816" s="3"/>
      <c r="GD816" s="3"/>
      <c r="GE816" s="3"/>
      <c r="GF816" s="3"/>
      <c r="GG816" s="3"/>
      <c r="GH816" s="3"/>
      <c r="GI816" s="3"/>
      <c r="GJ816" s="3"/>
      <c r="GK816" s="3"/>
      <c r="GL816" s="3"/>
      <c r="GM816" s="3"/>
      <c r="GN816" s="3"/>
      <c r="GO816" s="3"/>
      <c r="GP816" s="3"/>
      <c r="GQ816" s="3"/>
      <c r="GR816" s="3"/>
      <c r="GS816" s="3"/>
      <c r="GT816" s="3"/>
      <c r="GU816" s="3"/>
      <c r="GV816" s="3"/>
      <c r="GW816" s="3"/>
      <c r="GX816" s="3"/>
      <c r="GY816" s="3"/>
      <c r="GZ816" s="3"/>
      <c r="HA816" s="3"/>
      <c r="HB816" s="3"/>
    </row>
    <row r="817" spans="1:210" ht="15.75" customHeight="1">
      <c r="A817" s="50"/>
      <c r="B817" s="50"/>
      <c r="C817" s="50"/>
      <c r="D817" s="50"/>
      <c r="E817" s="50"/>
      <c r="F817" s="50"/>
      <c r="G817" s="51"/>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c r="AR817" s="50"/>
      <c r="AS817" s="50"/>
      <c r="AT817" s="50"/>
      <c r="AU817" s="50"/>
      <c r="AV817" s="50"/>
      <c r="AW817" s="50"/>
      <c r="AX817" s="50"/>
      <c r="AY817" s="50"/>
      <c r="AZ817" s="50"/>
      <c r="BA817" s="50"/>
      <c r="BB817" s="50"/>
      <c r="BC817" s="50"/>
      <c r="BD817" s="50"/>
      <c r="BE817" s="50"/>
      <c r="BF817" s="50"/>
      <c r="BG817" s="50"/>
      <c r="BH817" s="50"/>
      <c r="BI817" s="50"/>
      <c r="BJ817" s="50"/>
      <c r="BK817" s="50"/>
      <c r="BL817" s="50"/>
      <c r="BM817" s="50"/>
      <c r="BN817" s="50"/>
      <c r="BO817" s="50"/>
      <c r="BP817" s="50"/>
      <c r="BQ817" s="50"/>
      <c r="BR817" s="50"/>
      <c r="BS817" s="50"/>
      <c r="BT817" s="50"/>
      <c r="BU817" s="50"/>
      <c r="BV817" s="50"/>
      <c r="BW817" s="50"/>
      <c r="BX817" s="50"/>
      <c r="BY817" s="50"/>
      <c r="BZ817" s="50"/>
      <c r="CA817" s="50"/>
      <c r="CB817" s="50"/>
      <c r="CC817" s="50"/>
      <c r="CD817" s="52"/>
      <c r="CE817" s="50"/>
      <c r="CF817" s="50"/>
      <c r="CG817" s="50"/>
      <c r="CH817" s="50"/>
      <c r="CI817" s="50"/>
      <c r="CJ817" s="50"/>
      <c r="CK817" s="50"/>
      <c r="CL817" s="50"/>
      <c r="CM817" s="50"/>
      <c r="CN817" s="50"/>
      <c r="CO817" s="50"/>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c r="FF817" s="3"/>
      <c r="FG817" s="3"/>
      <c r="FH817" s="3"/>
      <c r="FI817" s="3"/>
      <c r="FJ817" s="3"/>
      <c r="FK817" s="3"/>
      <c r="FL817" s="3"/>
      <c r="FM817" s="3"/>
      <c r="FN817" s="3"/>
      <c r="FO817" s="3"/>
      <c r="FP817" s="3"/>
      <c r="FQ817" s="3"/>
      <c r="FR817" s="3"/>
      <c r="FS817" s="3"/>
      <c r="FT817" s="3"/>
      <c r="FU817" s="3"/>
      <c r="FV817" s="3"/>
      <c r="FW817" s="3"/>
      <c r="FX817" s="3"/>
      <c r="FY817" s="3"/>
      <c r="FZ817" s="3"/>
      <c r="GA817" s="3"/>
      <c r="GB817" s="3"/>
      <c r="GC817" s="3"/>
      <c r="GD817" s="3"/>
      <c r="GE817" s="3"/>
      <c r="GF817" s="3"/>
      <c r="GG817" s="3"/>
      <c r="GH817" s="3"/>
      <c r="GI817" s="3"/>
      <c r="GJ817" s="3"/>
      <c r="GK817" s="3"/>
      <c r="GL817" s="3"/>
      <c r="GM817" s="3"/>
      <c r="GN817" s="3"/>
      <c r="GO817" s="3"/>
      <c r="GP817" s="3"/>
      <c r="GQ817" s="3"/>
      <c r="GR817" s="3"/>
      <c r="GS817" s="3"/>
      <c r="GT817" s="3"/>
      <c r="GU817" s="3"/>
      <c r="GV817" s="3"/>
      <c r="GW817" s="3"/>
      <c r="GX817" s="3"/>
      <c r="GY817" s="3"/>
      <c r="GZ817" s="3"/>
      <c r="HA817" s="3"/>
      <c r="HB817" s="3"/>
    </row>
    <row r="818" spans="1:210" ht="15.75" customHeight="1">
      <c r="A818" s="50"/>
      <c r="B818" s="50"/>
      <c r="C818" s="50"/>
      <c r="D818" s="50"/>
      <c r="E818" s="50"/>
      <c r="F818" s="50"/>
      <c r="G818" s="51"/>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c r="AS818" s="50"/>
      <c r="AT818" s="50"/>
      <c r="AU818" s="50"/>
      <c r="AV818" s="50"/>
      <c r="AW818" s="50"/>
      <c r="AX818" s="50"/>
      <c r="AY818" s="50"/>
      <c r="AZ818" s="50"/>
      <c r="BA818" s="50"/>
      <c r="BB818" s="50"/>
      <c r="BC818" s="50"/>
      <c r="BD818" s="50"/>
      <c r="BE818" s="50"/>
      <c r="BF818" s="50"/>
      <c r="BG818" s="50"/>
      <c r="BH818" s="50"/>
      <c r="BI818" s="50"/>
      <c r="BJ818" s="50"/>
      <c r="BK818" s="50"/>
      <c r="BL818" s="50"/>
      <c r="BM818" s="50"/>
      <c r="BN818" s="50"/>
      <c r="BO818" s="50"/>
      <c r="BP818" s="50"/>
      <c r="BQ818" s="50"/>
      <c r="BR818" s="50"/>
      <c r="BS818" s="50"/>
      <c r="BT818" s="50"/>
      <c r="BU818" s="50"/>
      <c r="BV818" s="50"/>
      <c r="BW818" s="50"/>
      <c r="BX818" s="50"/>
      <c r="BY818" s="50"/>
      <c r="BZ818" s="50"/>
      <c r="CA818" s="50"/>
      <c r="CB818" s="50"/>
      <c r="CC818" s="50"/>
      <c r="CD818" s="52"/>
      <c r="CE818" s="50"/>
      <c r="CF818" s="50"/>
      <c r="CG818" s="50"/>
      <c r="CH818" s="50"/>
      <c r="CI818" s="50"/>
      <c r="CJ818" s="50"/>
      <c r="CK818" s="50"/>
      <c r="CL818" s="50"/>
      <c r="CM818" s="50"/>
      <c r="CN818" s="50"/>
      <c r="CO818" s="50"/>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c r="FF818" s="3"/>
      <c r="FG818" s="3"/>
      <c r="FH818" s="3"/>
      <c r="FI818" s="3"/>
      <c r="FJ818" s="3"/>
      <c r="FK818" s="3"/>
      <c r="FL818" s="3"/>
      <c r="FM818" s="3"/>
      <c r="FN818" s="3"/>
      <c r="FO818" s="3"/>
      <c r="FP818" s="3"/>
      <c r="FQ818" s="3"/>
      <c r="FR818" s="3"/>
      <c r="FS818" s="3"/>
      <c r="FT818" s="3"/>
      <c r="FU818" s="3"/>
      <c r="FV818" s="3"/>
      <c r="FW818" s="3"/>
      <c r="FX818" s="3"/>
      <c r="FY818" s="3"/>
      <c r="FZ818" s="3"/>
      <c r="GA818" s="3"/>
      <c r="GB818" s="3"/>
      <c r="GC818" s="3"/>
      <c r="GD818" s="3"/>
      <c r="GE818" s="3"/>
      <c r="GF818" s="3"/>
      <c r="GG818" s="3"/>
      <c r="GH818" s="3"/>
      <c r="GI818" s="3"/>
      <c r="GJ818" s="3"/>
      <c r="GK818" s="3"/>
      <c r="GL818" s="3"/>
      <c r="GM818" s="3"/>
      <c r="GN818" s="3"/>
      <c r="GO818" s="3"/>
      <c r="GP818" s="3"/>
      <c r="GQ818" s="3"/>
      <c r="GR818" s="3"/>
      <c r="GS818" s="3"/>
      <c r="GT818" s="3"/>
      <c r="GU818" s="3"/>
      <c r="GV818" s="3"/>
      <c r="GW818" s="3"/>
      <c r="GX818" s="3"/>
      <c r="GY818" s="3"/>
      <c r="GZ818" s="3"/>
      <c r="HA818" s="3"/>
      <c r="HB818" s="3"/>
    </row>
    <row r="819" spans="1:210" ht="15.75" customHeight="1">
      <c r="A819" s="50"/>
      <c r="B819" s="50"/>
      <c r="C819" s="50"/>
      <c r="D819" s="50"/>
      <c r="E819" s="50"/>
      <c r="F819" s="50"/>
      <c r="G819" s="51"/>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c r="BS819" s="50"/>
      <c r="BT819" s="50"/>
      <c r="BU819" s="50"/>
      <c r="BV819" s="50"/>
      <c r="BW819" s="50"/>
      <c r="BX819" s="50"/>
      <c r="BY819" s="50"/>
      <c r="BZ819" s="50"/>
      <c r="CA819" s="50"/>
      <c r="CB819" s="50"/>
      <c r="CC819" s="50"/>
      <c r="CD819" s="52"/>
      <c r="CE819" s="50"/>
      <c r="CF819" s="50"/>
      <c r="CG819" s="50"/>
      <c r="CH819" s="50"/>
      <c r="CI819" s="50"/>
      <c r="CJ819" s="50"/>
      <c r="CK819" s="50"/>
      <c r="CL819" s="50"/>
      <c r="CM819" s="50"/>
      <c r="CN819" s="50"/>
      <c r="CO819" s="50"/>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c r="FF819" s="3"/>
      <c r="FG819" s="3"/>
      <c r="FH819" s="3"/>
      <c r="FI819" s="3"/>
      <c r="FJ819" s="3"/>
      <c r="FK819" s="3"/>
      <c r="FL819" s="3"/>
      <c r="FM819" s="3"/>
      <c r="FN819" s="3"/>
      <c r="FO819" s="3"/>
      <c r="FP819" s="3"/>
      <c r="FQ819" s="3"/>
      <c r="FR819" s="3"/>
      <c r="FS819" s="3"/>
      <c r="FT819" s="3"/>
      <c r="FU819" s="3"/>
      <c r="FV819" s="3"/>
      <c r="FW819" s="3"/>
      <c r="FX819" s="3"/>
      <c r="FY819" s="3"/>
      <c r="FZ819" s="3"/>
      <c r="GA819" s="3"/>
      <c r="GB819" s="3"/>
      <c r="GC819" s="3"/>
      <c r="GD819" s="3"/>
      <c r="GE819" s="3"/>
      <c r="GF819" s="3"/>
      <c r="GG819" s="3"/>
      <c r="GH819" s="3"/>
      <c r="GI819" s="3"/>
      <c r="GJ819" s="3"/>
      <c r="GK819" s="3"/>
      <c r="GL819" s="3"/>
      <c r="GM819" s="3"/>
      <c r="GN819" s="3"/>
      <c r="GO819" s="3"/>
      <c r="GP819" s="3"/>
      <c r="GQ819" s="3"/>
      <c r="GR819" s="3"/>
      <c r="GS819" s="3"/>
      <c r="GT819" s="3"/>
      <c r="GU819" s="3"/>
      <c r="GV819" s="3"/>
      <c r="GW819" s="3"/>
      <c r="GX819" s="3"/>
      <c r="GY819" s="3"/>
      <c r="GZ819" s="3"/>
      <c r="HA819" s="3"/>
      <c r="HB819" s="3"/>
    </row>
    <row r="820" spans="1:210" ht="15.75" customHeight="1">
      <c r="A820" s="50"/>
      <c r="B820" s="50"/>
      <c r="C820" s="50"/>
      <c r="D820" s="50"/>
      <c r="E820" s="50"/>
      <c r="F820" s="50"/>
      <c r="G820" s="51"/>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c r="BS820" s="50"/>
      <c r="BT820" s="50"/>
      <c r="BU820" s="50"/>
      <c r="BV820" s="50"/>
      <c r="BW820" s="50"/>
      <c r="BX820" s="50"/>
      <c r="BY820" s="50"/>
      <c r="BZ820" s="50"/>
      <c r="CA820" s="50"/>
      <c r="CB820" s="50"/>
      <c r="CC820" s="50"/>
      <c r="CD820" s="52"/>
      <c r="CE820" s="50"/>
      <c r="CF820" s="50"/>
      <c r="CG820" s="50"/>
      <c r="CH820" s="50"/>
      <c r="CI820" s="50"/>
      <c r="CJ820" s="50"/>
      <c r="CK820" s="50"/>
      <c r="CL820" s="50"/>
      <c r="CM820" s="50"/>
      <c r="CN820" s="50"/>
      <c r="CO820" s="50"/>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c r="FF820" s="3"/>
      <c r="FG820" s="3"/>
      <c r="FH820" s="3"/>
      <c r="FI820" s="3"/>
      <c r="FJ820" s="3"/>
      <c r="FK820" s="3"/>
      <c r="FL820" s="3"/>
      <c r="FM820" s="3"/>
      <c r="FN820" s="3"/>
      <c r="FO820" s="3"/>
      <c r="FP820" s="3"/>
      <c r="FQ820" s="3"/>
      <c r="FR820" s="3"/>
      <c r="FS820" s="3"/>
      <c r="FT820" s="3"/>
      <c r="FU820" s="3"/>
      <c r="FV820" s="3"/>
      <c r="FW820" s="3"/>
      <c r="FX820" s="3"/>
      <c r="FY820" s="3"/>
      <c r="FZ820" s="3"/>
      <c r="GA820" s="3"/>
      <c r="GB820" s="3"/>
      <c r="GC820" s="3"/>
      <c r="GD820" s="3"/>
      <c r="GE820" s="3"/>
      <c r="GF820" s="3"/>
      <c r="GG820" s="3"/>
      <c r="GH820" s="3"/>
      <c r="GI820" s="3"/>
      <c r="GJ820" s="3"/>
      <c r="GK820" s="3"/>
      <c r="GL820" s="3"/>
      <c r="GM820" s="3"/>
      <c r="GN820" s="3"/>
      <c r="GO820" s="3"/>
      <c r="GP820" s="3"/>
      <c r="GQ820" s="3"/>
      <c r="GR820" s="3"/>
      <c r="GS820" s="3"/>
      <c r="GT820" s="3"/>
      <c r="GU820" s="3"/>
      <c r="GV820" s="3"/>
      <c r="GW820" s="3"/>
      <c r="GX820" s="3"/>
      <c r="GY820" s="3"/>
      <c r="GZ820" s="3"/>
      <c r="HA820" s="3"/>
      <c r="HB820" s="3"/>
    </row>
    <row r="821" spans="1:210" ht="15.75" customHeight="1">
      <c r="A821" s="50"/>
      <c r="B821" s="50"/>
      <c r="C821" s="50"/>
      <c r="D821" s="50"/>
      <c r="E821" s="50"/>
      <c r="F821" s="50"/>
      <c r="G821" s="51"/>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c r="BS821" s="50"/>
      <c r="BT821" s="50"/>
      <c r="BU821" s="50"/>
      <c r="BV821" s="50"/>
      <c r="BW821" s="50"/>
      <c r="BX821" s="50"/>
      <c r="BY821" s="50"/>
      <c r="BZ821" s="50"/>
      <c r="CA821" s="50"/>
      <c r="CB821" s="50"/>
      <c r="CC821" s="50"/>
      <c r="CD821" s="52"/>
      <c r="CE821" s="50"/>
      <c r="CF821" s="50"/>
      <c r="CG821" s="50"/>
      <c r="CH821" s="50"/>
      <c r="CI821" s="50"/>
      <c r="CJ821" s="50"/>
      <c r="CK821" s="50"/>
      <c r="CL821" s="50"/>
      <c r="CM821" s="50"/>
      <c r="CN821" s="50"/>
      <c r="CO821" s="50"/>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c r="FF821" s="3"/>
      <c r="FG821" s="3"/>
      <c r="FH821" s="3"/>
      <c r="FI821" s="3"/>
      <c r="FJ821" s="3"/>
      <c r="FK821" s="3"/>
      <c r="FL821" s="3"/>
      <c r="FM821" s="3"/>
      <c r="FN821" s="3"/>
      <c r="FO821" s="3"/>
      <c r="FP821" s="3"/>
      <c r="FQ821" s="3"/>
      <c r="FR821" s="3"/>
      <c r="FS821" s="3"/>
      <c r="FT821" s="3"/>
      <c r="FU821" s="3"/>
      <c r="FV821" s="3"/>
      <c r="FW821" s="3"/>
      <c r="FX821" s="3"/>
      <c r="FY821" s="3"/>
      <c r="FZ821" s="3"/>
      <c r="GA821" s="3"/>
      <c r="GB821" s="3"/>
      <c r="GC821" s="3"/>
      <c r="GD821" s="3"/>
      <c r="GE821" s="3"/>
      <c r="GF821" s="3"/>
      <c r="GG821" s="3"/>
      <c r="GH821" s="3"/>
      <c r="GI821" s="3"/>
      <c r="GJ821" s="3"/>
      <c r="GK821" s="3"/>
      <c r="GL821" s="3"/>
      <c r="GM821" s="3"/>
      <c r="GN821" s="3"/>
      <c r="GO821" s="3"/>
      <c r="GP821" s="3"/>
      <c r="GQ821" s="3"/>
      <c r="GR821" s="3"/>
      <c r="GS821" s="3"/>
      <c r="GT821" s="3"/>
      <c r="GU821" s="3"/>
      <c r="GV821" s="3"/>
      <c r="GW821" s="3"/>
      <c r="GX821" s="3"/>
      <c r="GY821" s="3"/>
      <c r="GZ821" s="3"/>
      <c r="HA821" s="3"/>
      <c r="HB821" s="3"/>
    </row>
    <row r="822" spans="1:210" ht="15.75" customHeight="1">
      <c r="A822" s="50"/>
      <c r="B822" s="50"/>
      <c r="C822" s="50"/>
      <c r="D822" s="50"/>
      <c r="E822" s="50"/>
      <c r="F822" s="50"/>
      <c r="G822" s="51"/>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c r="BS822" s="50"/>
      <c r="BT822" s="50"/>
      <c r="BU822" s="50"/>
      <c r="BV822" s="50"/>
      <c r="BW822" s="50"/>
      <c r="BX822" s="50"/>
      <c r="BY822" s="50"/>
      <c r="BZ822" s="50"/>
      <c r="CA822" s="50"/>
      <c r="CB822" s="50"/>
      <c r="CC822" s="50"/>
      <c r="CD822" s="52"/>
      <c r="CE822" s="50"/>
      <c r="CF822" s="50"/>
      <c r="CG822" s="50"/>
      <c r="CH822" s="50"/>
      <c r="CI822" s="50"/>
      <c r="CJ822" s="50"/>
      <c r="CK822" s="50"/>
      <c r="CL822" s="50"/>
      <c r="CM822" s="50"/>
      <c r="CN822" s="50"/>
      <c r="CO822" s="50"/>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c r="FF822" s="3"/>
      <c r="FG822" s="3"/>
      <c r="FH822" s="3"/>
      <c r="FI822" s="3"/>
      <c r="FJ822" s="3"/>
      <c r="FK822" s="3"/>
      <c r="FL822" s="3"/>
      <c r="FM822" s="3"/>
      <c r="FN822" s="3"/>
      <c r="FO822" s="3"/>
      <c r="FP822" s="3"/>
      <c r="FQ822" s="3"/>
      <c r="FR822" s="3"/>
      <c r="FS822" s="3"/>
      <c r="FT822" s="3"/>
      <c r="FU822" s="3"/>
      <c r="FV822" s="3"/>
      <c r="FW822" s="3"/>
      <c r="FX822" s="3"/>
      <c r="FY822" s="3"/>
      <c r="FZ822" s="3"/>
      <c r="GA822" s="3"/>
      <c r="GB822" s="3"/>
      <c r="GC822" s="3"/>
      <c r="GD822" s="3"/>
      <c r="GE822" s="3"/>
      <c r="GF822" s="3"/>
      <c r="GG822" s="3"/>
      <c r="GH822" s="3"/>
      <c r="GI822" s="3"/>
      <c r="GJ822" s="3"/>
      <c r="GK822" s="3"/>
      <c r="GL822" s="3"/>
      <c r="GM822" s="3"/>
      <c r="GN822" s="3"/>
      <c r="GO822" s="3"/>
      <c r="GP822" s="3"/>
      <c r="GQ822" s="3"/>
      <c r="GR822" s="3"/>
      <c r="GS822" s="3"/>
      <c r="GT822" s="3"/>
      <c r="GU822" s="3"/>
      <c r="GV822" s="3"/>
      <c r="GW822" s="3"/>
      <c r="GX822" s="3"/>
      <c r="GY822" s="3"/>
      <c r="GZ822" s="3"/>
      <c r="HA822" s="3"/>
      <c r="HB822" s="3"/>
    </row>
    <row r="823" spans="1:210" ht="15.75" customHeight="1">
      <c r="A823" s="50"/>
      <c r="B823" s="50"/>
      <c r="C823" s="50"/>
      <c r="D823" s="50"/>
      <c r="E823" s="50"/>
      <c r="F823" s="50"/>
      <c r="G823" s="51"/>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c r="BS823" s="50"/>
      <c r="BT823" s="50"/>
      <c r="BU823" s="50"/>
      <c r="BV823" s="50"/>
      <c r="BW823" s="50"/>
      <c r="BX823" s="50"/>
      <c r="BY823" s="50"/>
      <c r="BZ823" s="50"/>
      <c r="CA823" s="50"/>
      <c r="CB823" s="50"/>
      <c r="CC823" s="50"/>
      <c r="CD823" s="52"/>
      <c r="CE823" s="50"/>
      <c r="CF823" s="50"/>
      <c r="CG823" s="50"/>
      <c r="CH823" s="50"/>
      <c r="CI823" s="50"/>
      <c r="CJ823" s="50"/>
      <c r="CK823" s="50"/>
      <c r="CL823" s="50"/>
      <c r="CM823" s="50"/>
      <c r="CN823" s="50"/>
      <c r="CO823" s="50"/>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c r="FF823" s="3"/>
      <c r="FG823" s="3"/>
      <c r="FH823" s="3"/>
      <c r="FI823" s="3"/>
      <c r="FJ823" s="3"/>
      <c r="FK823" s="3"/>
      <c r="FL823" s="3"/>
      <c r="FM823" s="3"/>
      <c r="FN823" s="3"/>
      <c r="FO823" s="3"/>
      <c r="FP823" s="3"/>
      <c r="FQ823" s="3"/>
      <c r="FR823" s="3"/>
      <c r="FS823" s="3"/>
      <c r="FT823" s="3"/>
      <c r="FU823" s="3"/>
      <c r="FV823" s="3"/>
      <c r="FW823" s="3"/>
      <c r="FX823" s="3"/>
      <c r="FY823" s="3"/>
      <c r="FZ823" s="3"/>
      <c r="GA823" s="3"/>
      <c r="GB823" s="3"/>
      <c r="GC823" s="3"/>
      <c r="GD823" s="3"/>
      <c r="GE823" s="3"/>
      <c r="GF823" s="3"/>
      <c r="GG823" s="3"/>
      <c r="GH823" s="3"/>
      <c r="GI823" s="3"/>
      <c r="GJ823" s="3"/>
      <c r="GK823" s="3"/>
      <c r="GL823" s="3"/>
      <c r="GM823" s="3"/>
      <c r="GN823" s="3"/>
      <c r="GO823" s="3"/>
      <c r="GP823" s="3"/>
      <c r="GQ823" s="3"/>
      <c r="GR823" s="3"/>
      <c r="GS823" s="3"/>
      <c r="GT823" s="3"/>
      <c r="GU823" s="3"/>
      <c r="GV823" s="3"/>
      <c r="GW823" s="3"/>
      <c r="GX823" s="3"/>
      <c r="GY823" s="3"/>
      <c r="GZ823" s="3"/>
      <c r="HA823" s="3"/>
      <c r="HB823" s="3"/>
    </row>
    <row r="824" spans="1:210" ht="15.75" customHeight="1">
      <c r="A824" s="50"/>
      <c r="B824" s="50"/>
      <c r="C824" s="50"/>
      <c r="D824" s="50"/>
      <c r="E824" s="50"/>
      <c r="F824" s="50"/>
      <c r="G824" s="51"/>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c r="BB824" s="50"/>
      <c r="BC824" s="50"/>
      <c r="BD824" s="50"/>
      <c r="BE824" s="50"/>
      <c r="BF824" s="50"/>
      <c r="BG824" s="50"/>
      <c r="BH824" s="50"/>
      <c r="BI824" s="50"/>
      <c r="BJ824" s="50"/>
      <c r="BK824" s="50"/>
      <c r="BL824" s="50"/>
      <c r="BM824" s="50"/>
      <c r="BN824" s="50"/>
      <c r="BO824" s="50"/>
      <c r="BP824" s="50"/>
      <c r="BQ824" s="50"/>
      <c r="BR824" s="50"/>
      <c r="BS824" s="50"/>
      <c r="BT824" s="50"/>
      <c r="BU824" s="50"/>
      <c r="BV824" s="50"/>
      <c r="BW824" s="50"/>
      <c r="BX824" s="50"/>
      <c r="BY824" s="50"/>
      <c r="BZ824" s="50"/>
      <c r="CA824" s="50"/>
      <c r="CB824" s="50"/>
      <c r="CC824" s="50"/>
      <c r="CD824" s="52"/>
      <c r="CE824" s="50"/>
      <c r="CF824" s="50"/>
      <c r="CG824" s="50"/>
      <c r="CH824" s="50"/>
      <c r="CI824" s="50"/>
      <c r="CJ824" s="50"/>
      <c r="CK824" s="50"/>
      <c r="CL824" s="50"/>
      <c r="CM824" s="50"/>
      <c r="CN824" s="50"/>
      <c r="CO824" s="50"/>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c r="FF824" s="3"/>
      <c r="FG824" s="3"/>
      <c r="FH824" s="3"/>
      <c r="FI824" s="3"/>
      <c r="FJ824" s="3"/>
      <c r="FK824" s="3"/>
      <c r="FL824" s="3"/>
      <c r="FM824" s="3"/>
      <c r="FN824" s="3"/>
      <c r="FO824" s="3"/>
      <c r="FP824" s="3"/>
      <c r="FQ824" s="3"/>
      <c r="FR824" s="3"/>
      <c r="FS824" s="3"/>
      <c r="FT824" s="3"/>
      <c r="FU824" s="3"/>
      <c r="FV824" s="3"/>
      <c r="FW824" s="3"/>
      <c r="FX824" s="3"/>
      <c r="FY824" s="3"/>
      <c r="FZ824" s="3"/>
      <c r="GA824" s="3"/>
      <c r="GB824" s="3"/>
      <c r="GC824" s="3"/>
      <c r="GD824" s="3"/>
      <c r="GE824" s="3"/>
      <c r="GF824" s="3"/>
      <c r="GG824" s="3"/>
      <c r="GH824" s="3"/>
      <c r="GI824" s="3"/>
      <c r="GJ824" s="3"/>
      <c r="GK824" s="3"/>
      <c r="GL824" s="3"/>
      <c r="GM824" s="3"/>
      <c r="GN824" s="3"/>
      <c r="GO824" s="3"/>
      <c r="GP824" s="3"/>
      <c r="GQ824" s="3"/>
      <c r="GR824" s="3"/>
      <c r="GS824" s="3"/>
      <c r="GT824" s="3"/>
      <c r="GU824" s="3"/>
      <c r="GV824" s="3"/>
      <c r="GW824" s="3"/>
      <c r="GX824" s="3"/>
      <c r="GY824" s="3"/>
      <c r="GZ824" s="3"/>
      <c r="HA824" s="3"/>
      <c r="HB824" s="3"/>
    </row>
    <row r="825" spans="1:210" ht="15.75" customHeight="1">
      <c r="A825" s="50"/>
      <c r="B825" s="50"/>
      <c r="C825" s="50"/>
      <c r="D825" s="50"/>
      <c r="E825" s="50"/>
      <c r="F825" s="50"/>
      <c r="G825" s="51"/>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c r="BS825" s="50"/>
      <c r="BT825" s="50"/>
      <c r="BU825" s="50"/>
      <c r="BV825" s="50"/>
      <c r="BW825" s="50"/>
      <c r="BX825" s="50"/>
      <c r="BY825" s="50"/>
      <c r="BZ825" s="50"/>
      <c r="CA825" s="50"/>
      <c r="CB825" s="50"/>
      <c r="CC825" s="50"/>
      <c r="CD825" s="52"/>
      <c r="CE825" s="50"/>
      <c r="CF825" s="50"/>
      <c r="CG825" s="50"/>
      <c r="CH825" s="50"/>
      <c r="CI825" s="50"/>
      <c r="CJ825" s="50"/>
      <c r="CK825" s="50"/>
      <c r="CL825" s="50"/>
      <c r="CM825" s="50"/>
      <c r="CN825" s="50"/>
      <c r="CO825" s="50"/>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c r="FF825" s="3"/>
      <c r="FG825" s="3"/>
      <c r="FH825" s="3"/>
      <c r="FI825" s="3"/>
      <c r="FJ825" s="3"/>
      <c r="FK825" s="3"/>
      <c r="FL825" s="3"/>
      <c r="FM825" s="3"/>
      <c r="FN825" s="3"/>
      <c r="FO825" s="3"/>
      <c r="FP825" s="3"/>
      <c r="FQ825" s="3"/>
      <c r="FR825" s="3"/>
      <c r="FS825" s="3"/>
      <c r="FT825" s="3"/>
      <c r="FU825" s="3"/>
      <c r="FV825" s="3"/>
      <c r="FW825" s="3"/>
      <c r="FX825" s="3"/>
      <c r="FY825" s="3"/>
      <c r="FZ825" s="3"/>
      <c r="GA825" s="3"/>
      <c r="GB825" s="3"/>
      <c r="GC825" s="3"/>
      <c r="GD825" s="3"/>
      <c r="GE825" s="3"/>
      <c r="GF825" s="3"/>
      <c r="GG825" s="3"/>
      <c r="GH825" s="3"/>
      <c r="GI825" s="3"/>
      <c r="GJ825" s="3"/>
      <c r="GK825" s="3"/>
      <c r="GL825" s="3"/>
      <c r="GM825" s="3"/>
      <c r="GN825" s="3"/>
      <c r="GO825" s="3"/>
      <c r="GP825" s="3"/>
      <c r="GQ825" s="3"/>
      <c r="GR825" s="3"/>
      <c r="GS825" s="3"/>
      <c r="GT825" s="3"/>
      <c r="GU825" s="3"/>
      <c r="GV825" s="3"/>
      <c r="GW825" s="3"/>
      <c r="GX825" s="3"/>
      <c r="GY825" s="3"/>
      <c r="GZ825" s="3"/>
      <c r="HA825" s="3"/>
      <c r="HB825" s="3"/>
    </row>
    <row r="826" spans="1:210" ht="15.75" customHeight="1">
      <c r="A826" s="50"/>
      <c r="B826" s="50"/>
      <c r="C826" s="50"/>
      <c r="D826" s="50"/>
      <c r="E826" s="50"/>
      <c r="F826" s="50"/>
      <c r="G826" s="51"/>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c r="BS826" s="50"/>
      <c r="BT826" s="50"/>
      <c r="BU826" s="50"/>
      <c r="BV826" s="50"/>
      <c r="BW826" s="50"/>
      <c r="BX826" s="50"/>
      <c r="BY826" s="50"/>
      <c r="BZ826" s="50"/>
      <c r="CA826" s="50"/>
      <c r="CB826" s="50"/>
      <c r="CC826" s="50"/>
      <c r="CD826" s="52"/>
      <c r="CE826" s="50"/>
      <c r="CF826" s="50"/>
      <c r="CG826" s="50"/>
      <c r="CH826" s="50"/>
      <c r="CI826" s="50"/>
      <c r="CJ826" s="50"/>
      <c r="CK826" s="50"/>
      <c r="CL826" s="50"/>
      <c r="CM826" s="50"/>
      <c r="CN826" s="50"/>
      <c r="CO826" s="50"/>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c r="FF826" s="3"/>
      <c r="FG826" s="3"/>
      <c r="FH826" s="3"/>
      <c r="FI826" s="3"/>
      <c r="FJ826" s="3"/>
      <c r="FK826" s="3"/>
      <c r="FL826" s="3"/>
      <c r="FM826" s="3"/>
      <c r="FN826" s="3"/>
      <c r="FO826" s="3"/>
      <c r="FP826" s="3"/>
      <c r="FQ826" s="3"/>
      <c r="FR826" s="3"/>
      <c r="FS826" s="3"/>
      <c r="FT826" s="3"/>
      <c r="FU826" s="3"/>
      <c r="FV826" s="3"/>
      <c r="FW826" s="3"/>
      <c r="FX826" s="3"/>
      <c r="FY826" s="3"/>
      <c r="FZ826" s="3"/>
      <c r="GA826" s="3"/>
      <c r="GB826" s="3"/>
      <c r="GC826" s="3"/>
      <c r="GD826" s="3"/>
      <c r="GE826" s="3"/>
      <c r="GF826" s="3"/>
      <c r="GG826" s="3"/>
      <c r="GH826" s="3"/>
      <c r="GI826" s="3"/>
      <c r="GJ826" s="3"/>
      <c r="GK826" s="3"/>
      <c r="GL826" s="3"/>
      <c r="GM826" s="3"/>
      <c r="GN826" s="3"/>
      <c r="GO826" s="3"/>
      <c r="GP826" s="3"/>
      <c r="GQ826" s="3"/>
      <c r="GR826" s="3"/>
      <c r="GS826" s="3"/>
      <c r="GT826" s="3"/>
      <c r="GU826" s="3"/>
      <c r="GV826" s="3"/>
      <c r="GW826" s="3"/>
      <c r="GX826" s="3"/>
      <c r="GY826" s="3"/>
      <c r="GZ826" s="3"/>
      <c r="HA826" s="3"/>
      <c r="HB826" s="3"/>
    </row>
    <row r="827" spans="1:210" ht="15.75" customHeight="1">
      <c r="A827" s="50"/>
      <c r="B827" s="50"/>
      <c r="C827" s="50"/>
      <c r="D827" s="50"/>
      <c r="E827" s="50"/>
      <c r="F827" s="50"/>
      <c r="G827" s="51"/>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c r="BS827" s="50"/>
      <c r="BT827" s="50"/>
      <c r="BU827" s="50"/>
      <c r="BV827" s="50"/>
      <c r="BW827" s="50"/>
      <c r="BX827" s="50"/>
      <c r="BY827" s="50"/>
      <c r="BZ827" s="50"/>
      <c r="CA827" s="50"/>
      <c r="CB827" s="50"/>
      <c r="CC827" s="50"/>
      <c r="CD827" s="52"/>
      <c r="CE827" s="50"/>
      <c r="CF827" s="50"/>
      <c r="CG827" s="50"/>
      <c r="CH827" s="50"/>
      <c r="CI827" s="50"/>
      <c r="CJ827" s="50"/>
      <c r="CK827" s="50"/>
      <c r="CL827" s="50"/>
      <c r="CM827" s="50"/>
      <c r="CN827" s="50"/>
      <c r="CO827" s="50"/>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c r="FF827" s="3"/>
      <c r="FG827" s="3"/>
      <c r="FH827" s="3"/>
      <c r="FI827" s="3"/>
      <c r="FJ827" s="3"/>
      <c r="FK827" s="3"/>
      <c r="FL827" s="3"/>
      <c r="FM827" s="3"/>
      <c r="FN827" s="3"/>
      <c r="FO827" s="3"/>
      <c r="FP827" s="3"/>
      <c r="FQ827" s="3"/>
      <c r="FR827" s="3"/>
      <c r="FS827" s="3"/>
      <c r="FT827" s="3"/>
      <c r="FU827" s="3"/>
      <c r="FV827" s="3"/>
      <c r="FW827" s="3"/>
      <c r="FX827" s="3"/>
      <c r="FY827" s="3"/>
      <c r="FZ827" s="3"/>
      <c r="GA827" s="3"/>
      <c r="GB827" s="3"/>
      <c r="GC827" s="3"/>
      <c r="GD827" s="3"/>
      <c r="GE827" s="3"/>
      <c r="GF827" s="3"/>
      <c r="GG827" s="3"/>
      <c r="GH827" s="3"/>
      <c r="GI827" s="3"/>
      <c r="GJ827" s="3"/>
      <c r="GK827" s="3"/>
      <c r="GL827" s="3"/>
      <c r="GM827" s="3"/>
      <c r="GN827" s="3"/>
      <c r="GO827" s="3"/>
      <c r="GP827" s="3"/>
      <c r="GQ827" s="3"/>
      <c r="GR827" s="3"/>
      <c r="GS827" s="3"/>
      <c r="GT827" s="3"/>
      <c r="GU827" s="3"/>
      <c r="GV827" s="3"/>
      <c r="GW827" s="3"/>
      <c r="GX827" s="3"/>
      <c r="GY827" s="3"/>
      <c r="GZ827" s="3"/>
      <c r="HA827" s="3"/>
      <c r="HB827" s="3"/>
    </row>
    <row r="828" spans="1:210" ht="15.75" customHeight="1">
      <c r="A828" s="50"/>
      <c r="B828" s="50"/>
      <c r="C828" s="50"/>
      <c r="D828" s="50"/>
      <c r="E828" s="50"/>
      <c r="F828" s="50"/>
      <c r="G828" s="51"/>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c r="BS828" s="50"/>
      <c r="BT828" s="50"/>
      <c r="BU828" s="50"/>
      <c r="BV828" s="50"/>
      <c r="BW828" s="50"/>
      <c r="BX828" s="50"/>
      <c r="BY828" s="50"/>
      <c r="BZ828" s="50"/>
      <c r="CA828" s="50"/>
      <c r="CB828" s="50"/>
      <c r="CC828" s="50"/>
      <c r="CD828" s="52"/>
      <c r="CE828" s="50"/>
      <c r="CF828" s="50"/>
      <c r="CG828" s="50"/>
      <c r="CH828" s="50"/>
      <c r="CI828" s="50"/>
      <c r="CJ828" s="50"/>
      <c r="CK828" s="50"/>
      <c r="CL828" s="50"/>
      <c r="CM828" s="50"/>
      <c r="CN828" s="50"/>
      <c r="CO828" s="50"/>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c r="FF828" s="3"/>
      <c r="FG828" s="3"/>
      <c r="FH828" s="3"/>
      <c r="FI828" s="3"/>
      <c r="FJ828" s="3"/>
      <c r="FK828" s="3"/>
      <c r="FL828" s="3"/>
      <c r="FM828" s="3"/>
      <c r="FN828" s="3"/>
      <c r="FO828" s="3"/>
      <c r="FP828" s="3"/>
      <c r="FQ828" s="3"/>
      <c r="FR828" s="3"/>
      <c r="FS828" s="3"/>
      <c r="FT828" s="3"/>
      <c r="FU828" s="3"/>
      <c r="FV828" s="3"/>
      <c r="FW828" s="3"/>
      <c r="FX828" s="3"/>
      <c r="FY828" s="3"/>
      <c r="FZ828" s="3"/>
      <c r="GA828" s="3"/>
      <c r="GB828" s="3"/>
      <c r="GC828" s="3"/>
      <c r="GD828" s="3"/>
      <c r="GE828" s="3"/>
      <c r="GF828" s="3"/>
      <c r="GG828" s="3"/>
      <c r="GH828" s="3"/>
      <c r="GI828" s="3"/>
      <c r="GJ828" s="3"/>
      <c r="GK828" s="3"/>
      <c r="GL828" s="3"/>
      <c r="GM828" s="3"/>
      <c r="GN828" s="3"/>
      <c r="GO828" s="3"/>
      <c r="GP828" s="3"/>
      <c r="GQ828" s="3"/>
      <c r="GR828" s="3"/>
      <c r="GS828" s="3"/>
      <c r="GT828" s="3"/>
      <c r="GU828" s="3"/>
      <c r="GV828" s="3"/>
      <c r="GW828" s="3"/>
      <c r="GX828" s="3"/>
      <c r="GY828" s="3"/>
      <c r="GZ828" s="3"/>
      <c r="HA828" s="3"/>
      <c r="HB828" s="3"/>
    </row>
    <row r="829" spans="1:210" ht="15.75" customHeight="1">
      <c r="A829" s="50"/>
      <c r="B829" s="50"/>
      <c r="C829" s="50"/>
      <c r="D829" s="50"/>
      <c r="E829" s="50"/>
      <c r="F829" s="50"/>
      <c r="G829" s="51"/>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c r="BS829" s="50"/>
      <c r="BT829" s="50"/>
      <c r="BU829" s="50"/>
      <c r="BV829" s="50"/>
      <c r="BW829" s="50"/>
      <c r="BX829" s="50"/>
      <c r="BY829" s="50"/>
      <c r="BZ829" s="50"/>
      <c r="CA829" s="50"/>
      <c r="CB829" s="50"/>
      <c r="CC829" s="50"/>
      <c r="CD829" s="52"/>
      <c r="CE829" s="50"/>
      <c r="CF829" s="50"/>
      <c r="CG829" s="50"/>
      <c r="CH829" s="50"/>
      <c r="CI829" s="50"/>
      <c r="CJ829" s="50"/>
      <c r="CK829" s="50"/>
      <c r="CL829" s="50"/>
      <c r="CM829" s="50"/>
      <c r="CN829" s="50"/>
      <c r="CO829" s="50"/>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c r="FF829" s="3"/>
      <c r="FG829" s="3"/>
      <c r="FH829" s="3"/>
      <c r="FI829" s="3"/>
      <c r="FJ829" s="3"/>
      <c r="FK829" s="3"/>
      <c r="FL829" s="3"/>
      <c r="FM829" s="3"/>
      <c r="FN829" s="3"/>
      <c r="FO829" s="3"/>
      <c r="FP829" s="3"/>
      <c r="FQ829" s="3"/>
      <c r="FR829" s="3"/>
      <c r="FS829" s="3"/>
      <c r="FT829" s="3"/>
      <c r="FU829" s="3"/>
      <c r="FV829" s="3"/>
      <c r="FW829" s="3"/>
      <c r="FX829" s="3"/>
      <c r="FY829" s="3"/>
      <c r="FZ829" s="3"/>
      <c r="GA829" s="3"/>
      <c r="GB829" s="3"/>
      <c r="GC829" s="3"/>
      <c r="GD829" s="3"/>
      <c r="GE829" s="3"/>
      <c r="GF829" s="3"/>
      <c r="GG829" s="3"/>
      <c r="GH829" s="3"/>
      <c r="GI829" s="3"/>
      <c r="GJ829" s="3"/>
      <c r="GK829" s="3"/>
      <c r="GL829" s="3"/>
      <c r="GM829" s="3"/>
      <c r="GN829" s="3"/>
      <c r="GO829" s="3"/>
      <c r="GP829" s="3"/>
      <c r="GQ829" s="3"/>
      <c r="GR829" s="3"/>
      <c r="GS829" s="3"/>
      <c r="GT829" s="3"/>
      <c r="GU829" s="3"/>
      <c r="GV829" s="3"/>
      <c r="GW829" s="3"/>
      <c r="GX829" s="3"/>
      <c r="GY829" s="3"/>
      <c r="GZ829" s="3"/>
      <c r="HA829" s="3"/>
      <c r="HB829" s="3"/>
    </row>
    <row r="830" spans="1:210" ht="15.75" customHeight="1">
      <c r="A830" s="50"/>
      <c r="B830" s="50"/>
      <c r="C830" s="50"/>
      <c r="D830" s="50"/>
      <c r="E830" s="50"/>
      <c r="F830" s="50"/>
      <c r="G830" s="51"/>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c r="AV830" s="50"/>
      <c r="AW830" s="50"/>
      <c r="AX830" s="50"/>
      <c r="AY830" s="50"/>
      <c r="AZ830" s="50"/>
      <c r="BA830" s="50"/>
      <c r="BB830" s="50"/>
      <c r="BC830" s="50"/>
      <c r="BD830" s="50"/>
      <c r="BE830" s="50"/>
      <c r="BF830" s="50"/>
      <c r="BG830" s="50"/>
      <c r="BH830" s="50"/>
      <c r="BI830" s="50"/>
      <c r="BJ830" s="50"/>
      <c r="BK830" s="50"/>
      <c r="BL830" s="50"/>
      <c r="BM830" s="50"/>
      <c r="BN830" s="50"/>
      <c r="BO830" s="50"/>
      <c r="BP830" s="50"/>
      <c r="BQ830" s="50"/>
      <c r="BR830" s="50"/>
      <c r="BS830" s="50"/>
      <c r="BT830" s="50"/>
      <c r="BU830" s="50"/>
      <c r="BV830" s="50"/>
      <c r="BW830" s="50"/>
      <c r="BX830" s="50"/>
      <c r="BY830" s="50"/>
      <c r="BZ830" s="50"/>
      <c r="CA830" s="50"/>
      <c r="CB830" s="50"/>
      <c r="CC830" s="50"/>
      <c r="CD830" s="52"/>
      <c r="CE830" s="50"/>
      <c r="CF830" s="50"/>
      <c r="CG830" s="50"/>
      <c r="CH830" s="50"/>
      <c r="CI830" s="50"/>
      <c r="CJ830" s="50"/>
      <c r="CK830" s="50"/>
      <c r="CL830" s="50"/>
      <c r="CM830" s="50"/>
      <c r="CN830" s="50"/>
      <c r="CO830" s="50"/>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c r="FF830" s="3"/>
      <c r="FG830" s="3"/>
      <c r="FH830" s="3"/>
      <c r="FI830" s="3"/>
      <c r="FJ830" s="3"/>
      <c r="FK830" s="3"/>
      <c r="FL830" s="3"/>
      <c r="FM830" s="3"/>
      <c r="FN830" s="3"/>
      <c r="FO830" s="3"/>
      <c r="FP830" s="3"/>
      <c r="FQ830" s="3"/>
      <c r="FR830" s="3"/>
      <c r="FS830" s="3"/>
      <c r="FT830" s="3"/>
      <c r="FU830" s="3"/>
      <c r="FV830" s="3"/>
      <c r="FW830" s="3"/>
      <c r="FX830" s="3"/>
      <c r="FY830" s="3"/>
      <c r="FZ830" s="3"/>
      <c r="GA830" s="3"/>
      <c r="GB830" s="3"/>
      <c r="GC830" s="3"/>
      <c r="GD830" s="3"/>
      <c r="GE830" s="3"/>
      <c r="GF830" s="3"/>
      <c r="GG830" s="3"/>
      <c r="GH830" s="3"/>
      <c r="GI830" s="3"/>
      <c r="GJ830" s="3"/>
      <c r="GK830" s="3"/>
      <c r="GL830" s="3"/>
      <c r="GM830" s="3"/>
      <c r="GN830" s="3"/>
      <c r="GO830" s="3"/>
      <c r="GP830" s="3"/>
      <c r="GQ830" s="3"/>
      <c r="GR830" s="3"/>
      <c r="GS830" s="3"/>
      <c r="GT830" s="3"/>
      <c r="GU830" s="3"/>
      <c r="GV830" s="3"/>
      <c r="GW830" s="3"/>
      <c r="GX830" s="3"/>
      <c r="GY830" s="3"/>
      <c r="GZ830" s="3"/>
      <c r="HA830" s="3"/>
      <c r="HB830" s="3"/>
    </row>
    <row r="831" spans="1:210" ht="15.75" customHeight="1">
      <c r="A831" s="50"/>
      <c r="B831" s="50"/>
      <c r="C831" s="50"/>
      <c r="D831" s="50"/>
      <c r="E831" s="50"/>
      <c r="F831" s="50"/>
      <c r="G831" s="51"/>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c r="AV831" s="50"/>
      <c r="AW831" s="50"/>
      <c r="AX831" s="50"/>
      <c r="AY831" s="50"/>
      <c r="AZ831" s="50"/>
      <c r="BA831" s="50"/>
      <c r="BB831" s="50"/>
      <c r="BC831" s="50"/>
      <c r="BD831" s="50"/>
      <c r="BE831" s="50"/>
      <c r="BF831" s="50"/>
      <c r="BG831" s="50"/>
      <c r="BH831" s="50"/>
      <c r="BI831" s="50"/>
      <c r="BJ831" s="50"/>
      <c r="BK831" s="50"/>
      <c r="BL831" s="50"/>
      <c r="BM831" s="50"/>
      <c r="BN831" s="50"/>
      <c r="BO831" s="50"/>
      <c r="BP831" s="50"/>
      <c r="BQ831" s="50"/>
      <c r="BR831" s="50"/>
      <c r="BS831" s="50"/>
      <c r="BT831" s="50"/>
      <c r="BU831" s="50"/>
      <c r="BV831" s="50"/>
      <c r="BW831" s="50"/>
      <c r="BX831" s="50"/>
      <c r="BY831" s="50"/>
      <c r="BZ831" s="50"/>
      <c r="CA831" s="50"/>
      <c r="CB831" s="50"/>
      <c r="CC831" s="50"/>
      <c r="CD831" s="52"/>
      <c r="CE831" s="50"/>
      <c r="CF831" s="50"/>
      <c r="CG831" s="50"/>
      <c r="CH831" s="50"/>
      <c r="CI831" s="50"/>
      <c r="CJ831" s="50"/>
      <c r="CK831" s="50"/>
      <c r="CL831" s="50"/>
      <c r="CM831" s="50"/>
      <c r="CN831" s="50"/>
      <c r="CO831" s="50"/>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c r="FF831" s="3"/>
      <c r="FG831" s="3"/>
      <c r="FH831" s="3"/>
      <c r="FI831" s="3"/>
      <c r="FJ831" s="3"/>
      <c r="FK831" s="3"/>
      <c r="FL831" s="3"/>
      <c r="FM831" s="3"/>
      <c r="FN831" s="3"/>
      <c r="FO831" s="3"/>
      <c r="FP831" s="3"/>
      <c r="FQ831" s="3"/>
      <c r="FR831" s="3"/>
      <c r="FS831" s="3"/>
      <c r="FT831" s="3"/>
      <c r="FU831" s="3"/>
      <c r="FV831" s="3"/>
      <c r="FW831" s="3"/>
      <c r="FX831" s="3"/>
      <c r="FY831" s="3"/>
      <c r="FZ831" s="3"/>
      <c r="GA831" s="3"/>
      <c r="GB831" s="3"/>
      <c r="GC831" s="3"/>
      <c r="GD831" s="3"/>
      <c r="GE831" s="3"/>
      <c r="GF831" s="3"/>
      <c r="GG831" s="3"/>
      <c r="GH831" s="3"/>
      <c r="GI831" s="3"/>
      <c r="GJ831" s="3"/>
      <c r="GK831" s="3"/>
      <c r="GL831" s="3"/>
      <c r="GM831" s="3"/>
      <c r="GN831" s="3"/>
      <c r="GO831" s="3"/>
      <c r="GP831" s="3"/>
      <c r="GQ831" s="3"/>
      <c r="GR831" s="3"/>
      <c r="GS831" s="3"/>
      <c r="GT831" s="3"/>
      <c r="GU831" s="3"/>
      <c r="GV831" s="3"/>
      <c r="GW831" s="3"/>
      <c r="GX831" s="3"/>
      <c r="GY831" s="3"/>
      <c r="GZ831" s="3"/>
      <c r="HA831" s="3"/>
      <c r="HB831" s="3"/>
    </row>
    <row r="832" spans="1:210" ht="15.75" customHeight="1">
      <c r="A832" s="50"/>
      <c r="B832" s="50"/>
      <c r="C832" s="50"/>
      <c r="D832" s="50"/>
      <c r="E832" s="50"/>
      <c r="F832" s="50"/>
      <c r="G832" s="51"/>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c r="AV832" s="50"/>
      <c r="AW832" s="50"/>
      <c r="AX832" s="50"/>
      <c r="AY832" s="50"/>
      <c r="AZ832" s="50"/>
      <c r="BA832" s="50"/>
      <c r="BB832" s="50"/>
      <c r="BC832" s="50"/>
      <c r="BD832" s="50"/>
      <c r="BE832" s="50"/>
      <c r="BF832" s="50"/>
      <c r="BG832" s="50"/>
      <c r="BH832" s="50"/>
      <c r="BI832" s="50"/>
      <c r="BJ832" s="50"/>
      <c r="BK832" s="50"/>
      <c r="BL832" s="50"/>
      <c r="BM832" s="50"/>
      <c r="BN832" s="50"/>
      <c r="BO832" s="50"/>
      <c r="BP832" s="50"/>
      <c r="BQ832" s="50"/>
      <c r="BR832" s="50"/>
      <c r="BS832" s="50"/>
      <c r="BT832" s="50"/>
      <c r="BU832" s="50"/>
      <c r="BV832" s="50"/>
      <c r="BW832" s="50"/>
      <c r="BX832" s="50"/>
      <c r="BY832" s="50"/>
      <c r="BZ832" s="50"/>
      <c r="CA832" s="50"/>
      <c r="CB832" s="50"/>
      <c r="CC832" s="50"/>
      <c r="CD832" s="52"/>
      <c r="CE832" s="50"/>
      <c r="CF832" s="50"/>
      <c r="CG832" s="50"/>
      <c r="CH832" s="50"/>
      <c r="CI832" s="50"/>
      <c r="CJ832" s="50"/>
      <c r="CK832" s="50"/>
      <c r="CL832" s="50"/>
      <c r="CM832" s="50"/>
      <c r="CN832" s="50"/>
      <c r="CO832" s="50"/>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c r="FF832" s="3"/>
      <c r="FG832" s="3"/>
      <c r="FH832" s="3"/>
      <c r="FI832" s="3"/>
      <c r="FJ832" s="3"/>
      <c r="FK832" s="3"/>
      <c r="FL832" s="3"/>
      <c r="FM832" s="3"/>
      <c r="FN832" s="3"/>
      <c r="FO832" s="3"/>
      <c r="FP832" s="3"/>
      <c r="FQ832" s="3"/>
      <c r="FR832" s="3"/>
      <c r="FS832" s="3"/>
      <c r="FT832" s="3"/>
      <c r="FU832" s="3"/>
      <c r="FV832" s="3"/>
      <c r="FW832" s="3"/>
      <c r="FX832" s="3"/>
      <c r="FY832" s="3"/>
      <c r="FZ832" s="3"/>
      <c r="GA832" s="3"/>
      <c r="GB832" s="3"/>
      <c r="GC832" s="3"/>
      <c r="GD832" s="3"/>
      <c r="GE832" s="3"/>
      <c r="GF832" s="3"/>
      <c r="GG832" s="3"/>
      <c r="GH832" s="3"/>
      <c r="GI832" s="3"/>
      <c r="GJ832" s="3"/>
      <c r="GK832" s="3"/>
      <c r="GL832" s="3"/>
      <c r="GM832" s="3"/>
      <c r="GN832" s="3"/>
      <c r="GO832" s="3"/>
      <c r="GP832" s="3"/>
      <c r="GQ832" s="3"/>
      <c r="GR832" s="3"/>
      <c r="GS832" s="3"/>
      <c r="GT832" s="3"/>
      <c r="GU832" s="3"/>
      <c r="GV832" s="3"/>
      <c r="GW832" s="3"/>
      <c r="GX832" s="3"/>
      <c r="GY832" s="3"/>
      <c r="GZ832" s="3"/>
      <c r="HA832" s="3"/>
      <c r="HB832" s="3"/>
    </row>
    <row r="833" spans="1:210" ht="15.75" customHeight="1">
      <c r="A833" s="50"/>
      <c r="B833" s="50"/>
      <c r="C833" s="50"/>
      <c r="D833" s="50"/>
      <c r="E833" s="50"/>
      <c r="F833" s="50"/>
      <c r="G833" s="51"/>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c r="AV833" s="50"/>
      <c r="AW833" s="50"/>
      <c r="AX833" s="50"/>
      <c r="AY833" s="50"/>
      <c r="AZ833" s="50"/>
      <c r="BA833" s="50"/>
      <c r="BB833" s="50"/>
      <c r="BC833" s="50"/>
      <c r="BD833" s="50"/>
      <c r="BE833" s="50"/>
      <c r="BF833" s="50"/>
      <c r="BG833" s="50"/>
      <c r="BH833" s="50"/>
      <c r="BI833" s="50"/>
      <c r="BJ833" s="50"/>
      <c r="BK833" s="50"/>
      <c r="BL833" s="50"/>
      <c r="BM833" s="50"/>
      <c r="BN833" s="50"/>
      <c r="BO833" s="50"/>
      <c r="BP833" s="50"/>
      <c r="BQ833" s="50"/>
      <c r="BR833" s="50"/>
      <c r="BS833" s="50"/>
      <c r="BT833" s="50"/>
      <c r="BU833" s="50"/>
      <c r="BV833" s="50"/>
      <c r="BW833" s="50"/>
      <c r="BX833" s="50"/>
      <c r="BY833" s="50"/>
      <c r="BZ833" s="50"/>
      <c r="CA833" s="50"/>
      <c r="CB833" s="50"/>
      <c r="CC833" s="50"/>
      <c r="CD833" s="52"/>
      <c r="CE833" s="50"/>
      <c r="CF833" s="50"/>
      <c r="CG833" s="50"/>
      <c r="CH833" s="50"/>
      <c r="CI833" s="50"/>
      <c r="CJ833" s="50"/>
      <c r="CK833" s="50"/>
      <c r="CL833" s="50"/>
      <c r="CM833" s="50"/>
      <c r="CN833" s="50"/>
      <c r="CO833" s="50"/>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c r="FF833" s="3"/>
      <c r="FG833" s="3"/>
      <c r="FH833" s="3"/>
      <c r="FI833" s="3"/>
      <c r="FJ833" s="3"/>
      <c r="FK833" s="3"/>
      <c r="FL833" s="3"/>
      <c r="FM833" s="3"/>
      <c r="FN833" s="3"/>
      <c r="FO833" s="3"/>
      <c r="FP833" s="3"/>
      <c r="FQ833" s="3"/>
      <c r="FR833" s="3"/>
      <c r="FS833" s="3"/>
      <c r="FT833" s="3"/>
      <c r="FU833" s="3"/>
      <c r="FV833" s="3"/>
      <c r="FW833" s="3"/>
      <c r="FX833" s="3"/>
      <c r="FY833" s="3"/>
      <c r="FZ833" s="3"/>
      <c r="GA833" s="3"/>
      <c r="GB833" s="3"/>
      <c r="GC833" s="3"/>
      <c r="GD833" s="3"/>
      <c r="GE833" s="3"/>
      <c r="GF833" s="3"/>
      <c r="GG833" s="3"/>
      <c r="GH833" s="3"/>
      <c r="GI833" s="3"/>
      <c r="GJ833" s="3"/>
      <c r="GK833" s="3"/>
      <c r="GL833" s="3"/>
      <c r="GM833" s="3"/>
      <c r="GN833" s="3"/>
      <c r="GO833" s="3"/>
      <c r="GP833" s="3"/>
      <c r="GQ833" s="3"/>
      <c r="GR833" s="3"/>
      <c r="GS833" s="3"/>
      <c r="GT833" s="3"/>
      <c r="GU833" s="3"/>
      <c r="GV833" s="3"/>
      <c r="GW833" s="3"/>
      <c r="GX833" s="3"/>
      <c r="GY833" s="3"/>
      <c r="GZ833" s="3"/>
      <c r="HA833" s="3"/>
      <c r="HB833" s="3"/>
    </row>
    <row r="834" spans="1:210" ht="15.75" customHeight="1">
      <c r="A834" s="50"/>
      <c r="B834" s="50"/>
      <c r="C834" s="50"/>
      <c r="D834" s="50"/>
      <c r="E834" s="50"/>
      <c r="F834" s="50"/>
      <c r="G834" s="51"/>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c r="AV834" s="50"/>
      <c r="AW834" s="50"/>
      <c r="AX834" s="50"/>
      <c r="AY834" s="50"/>
      <c r="AZ834" s="50"/>
      <c r="BA834" s="50"/>
      <c r="BB834" s="50"/>
      <c r="BC834" s="50"/>
      <c r="BD834" s="50"/>
      <c r="BE834" s="50"/>
      <c r="BF834" s="50"/>
      <c r="BG834" s="50"/>
      <c r="BH834" s="50"/>
      <c r="BI834" s="50"/>
      <c r="BJ834" s="50"/>
      <c r="BK834" s="50"/>
      <c r="BL834" s="50"/>
      <c r="BM834" s="50"/>
      <c r="BN834" s="50"/>
      <c r="BO834" s="50"/>
      <c r="BP834" s="50"/>
      <c r="BQ834" s="50"/>
      <c r="BR834" s="50"/>
      <c r="BS834" s="50"/>
      <c r="BT834" s="50"/>
      <c r="BU834" s="50"/>
      <c r="BV834" s="50"/>
      <c r="BW834" s="50"/>
      <c r="BX834" s="50"/>
      <c r="BY834" s="50"/>
      <c r="BZ834" s="50"/>
      <c r="CA834" s="50"/>
      <c r="CB834" s="50"/>
      <c r="CC834" s="50"/>
      <c r="CD834" s="52"/>
      <c r="CE834" s="50"/>
      <c r="CF834" s="50"/>
      <c r="CG834" s="50"/>
      <c r="CH834" s="50"/>
      <c r="CI834" s="50"/>
      <c r="CJ834" s="50"/>
      <c r="CK834" s="50"/>
      <c r="CL834" s="50"/>
      <c r="CM834" s="50"/>
      <c r="CN834" s="50"/>
      <c r="CO834" s="50"/>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c r="FF834" s="3"/>
      <c r="FG834" s="3"/>
      <c r="FH834" s="3"/>
      <c r="FI834" s="3"/>
      <c r="FJ834" s="3"/>
      <c r="FK834" s="3"/>
      <c r="FL834" s="3"/>
      <c r="FM834" s="3"/>
      <c r="FN834" s="3"/>
      <c r="FO834" s="3"/>
      <c r="FP834" s="3"/>
      <c r="FQ834" s="3"/>
      <c r="FR834" s="3"/>
      <c r="FS834" s="3"/>
      <c r="FT834" s="3"/>
      <c r="FU834" s="3"/>
      <c r="FV834" s="3"/>
      <c r="FW834" s="3"/>
      <c r="FX834" s="3"/>
      <c r="FY834" s="3"/>
      <c r="FZ834" s="3"/>
      <c r="GA834" s="3"/>
      <c r="GB834" s="3"/>
      <c r="GC834" s="3"/>
      <c r="GD834" s="3"/>
      <c r="GE834" s="3"/>
      <c r="GF834" s="3"/>
      <c r="GG834" s="3"/>
      <c r="GH834" s="3"/>
      <c r="GI834" s="3"/>
      <c r="GJ834" s="3"/>
      <c r="GK834" s="3"/>
      <c r="GL834" s="3"/>
      <c r="GM834" s="3"/>
      <c r="GN834" s="3"/>
      <c r="GO834" s="3"/>
      <c r="GP834" s="3"/>
      <c r="GQ834" s="3"/>
      <c r="GR834" s="3"/>
      <c r="GS834" s="3"/>
      <c r="GT834" s="3"/>
      <c r="GU834" s="3"/>
      <c r="GV834" s="3"/>
      <c r="GW834" s="3"/>
      <c r="GX834" s="3"/>
      <c r="GY834" s="3"/>
      <c r="GZ834" s="3"/>
      <c r="HA834" s="3"/>
      <c r="HB834" s="3"/>
    </row>
    <row r="835" spans="1:210" ht="15.75" customHeight="1">
      <c r="A835" s="50"/>
      <c r="B835" s="50"/>
      <c r="C835" s="50"/>
      <c r="D835" s="50"/>
      <c r="E835" s="50"/>
      <c r="F835" s="50"/>
      <c r="G835" s="51"/>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c r="AV835" s="50"/>
      <c r="AW835" s="50"/>
      <c r="AX835" s="50"/>
      <c r="AY835" s="50"/>
      <c r="AZ835" s="50"/>
      <c r="BA835" s="50"/>
      <c r="BB835" s="50"/>
      <c r="BC835" s="50"/>
      <c r="BD835" s="50"/>
      <c r="BE835" s="50"/>
      <c r="BF835" s="50"/>
      <c r="BG835" s="50"/>
      <c r="BH835" s="50"/>
      <c r="BI835" s="50"/>
      <c r="BJ835" s="50"/>
      <c r="BK835" s="50"/>
      <c r="BL835" s="50"/>
      <c r="BM835" s="50"/>
      <c r="BN835" s="50"/>
      <c r="BO835" s="50"/>
      <c r="BP835" s="50"/>
      <c r="BQ835" s="50"/>
      <c r="BR835" s="50"/>
      <c r="BS835" s="50"/>
      <c r="BT835" s="50"/>
      <c r="BU835" s="50"/>
      <c r="BV835" s="50"/>
      <c r="BW835" s="50"/>
      <c r="BX835" s="50"/>
      <c r="BY835" s="50"/>
      <c r="BZ835" s="50"/>
      <c r="CA835" s="50"/>
      <c r="CB835" s="50"/>
      <c r="CC835" s="50"/>
      <c r="CD835" s="52"/>
      <c r="CE835" s="50"/>
      <c r="CF835" s="50"/>
      <c r="CG835" s="50"/>
      <c r="CH835" s="50"/>
      <c r="CI835" s="50"/>
      <c r="CJ835" s="50"/>
      <c r="CK835" s="50"/>
      <c r="CL835" s="50"/>
      <c r="CM835" s="50"/>
      <c r="CN835" s="50"/>
      <c r="CO835" s="50"/>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c r="FF835" s="3"/>
      <c r="FG835" s="3"/>
      <c r="FH835" s="3"/>
      <c r="FI835" s="3"/>
      <c r="FJ835" s="3"/>
      <c r="FK835" s="3"/>
      <c r="FL835" s="3"/>
      <c r="FM835" s="3"/>
      <c r="FN835" s="3"/>
      <c r="FO835" s="3"/>
      <c r="FP835" s="3"/>
      <c r="FQ835" s="3"/>
      <c r="FR835" s="3"/>
      <c r="FS835" s="3"/>
      <c r="FT835" s="3"/>
      <c r="FU835" s="3"/>
      <c r="FV835" s="3"/>
      <c r="FW835" s="3"/>
      <c r="FX835" s="3"/>
      <c r="FY835" s="3"/>
      <c r="FZ835" s="3"/>
      <c r="GA835" s="3"/>
      <c r="GB835" s="3"/>
      <c r="GC835" s="3"/>
      <c r="GD835" s="3"/>
      <c r="GE835" s="3"/>
      <c r="GF835" s="3"/>
      <c r="GG835" s="3"/>
      <c r="GH835" s="3"/>
      <c r="GI835" s="3"/>
      <c r="GJ835" s="3"/>
      <c r="GK835" s="3"/>
      <c r="GL835" s="3"/>
      <c r="GM835" s="3"/>
      <c r="GN835" s="3"/>
      <c r="GO835" s="3"/>
      <c r="GP835" s="3"/>
      <c r="GQ835" s="3"/>
      <c r="GR835" s="3"/>
      <c r="GS835" s="3"/>
      <c r="GT835" s="3"/>
      <c r="GU835" s="3"/>
      <c r="GV835" s="3"/>
      <c r="GW835" s="3"/>
      <c r="GX835" s="3"/>
      <c r="GY835" s="3"/>
      <c r="GZ835" s="3"/>
      <c r="HA835" s="3"/>
      <c r="HB835" s="3"/>
    </row>
    <row r="836" spans="1:210" ht="15.75" customHeight="1">
      <c r="A836" s="50"/>
      <c r="B836" s="50"/>
      <c r="C836" s="50"/>
      <c r="D836" s="50"/>
      <c r="E836" s="50"/>
      <c r="F836" s="50"/>
      <c r="G836" s="51"/>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50"/>
      <c r="BJ836" s="50"/>
      <c r="BK836" s="50"/>
      <c r="BL836" s="50"/>
      <c r="BM836" s="50"/>
      <c r="BN836" s="50"/>
      <c r="BO836" s="50"/>
      <c r="BP836" s="50"/>
      <c r="BQ836" s="50"/>
      <c r="BR836" s="50"/>
      <c r="BS836" s="50"/>
      <c r="BT836" s="50"/>
      <c r="BU836" s="50"/>
      <c r="BV836" s="50"/>
      <c r="BW836" s="50"/>
      <c r="BX836" s="50"/>
      <c r="BY836" s="50"/>
      <c r="BZ836" s="50"/>
      <c r="CA836" s="50"/>
      <c r="CB836" s="50"/>
      <c r="CC836" s="50"/>
      <c r="CD836" s="52"/>
      <c r="CE836" s="50"/>
      <c r="CF836" s="50"/>
      <c r="CG836" s="50"/>
      <c r="CH836" s="50"/>
      <c r="CI836" s="50"/>
      <c r="CJ836" s="50"/>
      <c r="CK836" s="50"/>
      <c r="CL836" s="50"/>
      <c r="CM836" s="50"/>
      <c r="CN836" s="50"/>
      <c r="CO836" s="50"/>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c r="FF836" s="3"/>
      <c r="FG836" s="3"/>
      <c r="FH836" s="3"/>
      <c r="FI836" s="3"/>
      <c r="FJ836" s="3"/>
      <c r="FK836" s="3"/>
      <c r="FL836" s="3"/>
      <c r="FM836" s="3"/>
      <c r="FN836" s="3"/>
      <c r="FO836" s="3"/>
      <c r="FP836" s="3"/>
      <c r="FQ836" s="3"/>
      <c r="FR836" s="3"/>
      <c r="FS836" s="3"/>
      <c r="FT836" s="3"/>
      <c r="FU836" s="3"/>
      <c r="FV836" s="3"/>
      <c r="FW836" s="3"/>
      <c r="FX836" s="3"/>
      <c r="FY836" s="3"/>
      <c r="FZ836" s="3"/>
      <c r="GA836" s="3"/>
      <c r="GB836" s="3"/>
      <c r="GC836" s="3"/>
      <c r="GD836" s="3"/>
      <c r="GE836" s="3"/>
      <c r="GF836" s="3"/>
      <c r="GG836" s="3"/>
      <c r="GH836" s="3"/>
      <c r="GI836" s="3"/>
      <c r="GJ836" s="3"/>
      <c r="GK836" s="3"/>
      <c r="GL836" s="3"/>
      <c r="GM836" s="3"/>
      <c r="GN836" s="3"/>
      <c r="GO836" s="3"/>
      <c r="GP836" s="3"/>
      <c r="GQ836" s="3"/>
      <c r="GR836" s="3"/>
      <c r="GS836" s="3"/>
      <c r="GT836" s="3"/>
      <c r="GU836" s="3"/>
      <c r="GV836" s="3"/>
      <c r="GW836" s="3"/>
      <c r="GX836" s="3"/>
      <c r="GY836" s="3"/>
      <c r="GZ836" s="3"/>
      <c r="HA836" s="3"/>
      <c r="HB836" s="3"/>
    </row>
    <row r="837" spans="1:210" ht="15.75" customHeight="1">
      <c r="A837" s="50"/>
      <c r="B837" s="50"/>
      <c r="C837" s="50"/>
      <c r="D837" s="50"/>
      <c r="E837" s="50"/>
      <c r="F837" s="50"/>
      <c r="G837" s="51"/>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50"/>
      <c r="BJ837" s="50"/>
      <c r="BK837" s="50"/>
      <c r="BL837" s="50"/>
      <c r="BM837" s="50"/>
      <c r="BN837" s="50"/>
      <c r="BO837" s="50"/>
      <c r="BP837" s="50"/>
      <c r="BQ837" s="50"/>
      <c r="BR837" s="50"/>
      <c r="BS837" s="50"/>
      <c r="BT837" s="50"/>
      <c r="BU837" s="50"/>
      <c r="BV837" s="50"/>
      <c r="BW837" s="50"/>
      <c r="BX837" s="50"/>
      <c r="BY837" s="50"/>
      <c r="BZ837" s="50"/>
      <c r="CA837" s="50"/>
      <c r="CB837" s="50"/>
      <c r="CC837" s="50"/>
      <c r="CD837" s="52"/>
      <c r="CE837" s="50"/>
      <c r="CF837" s="50"/>
      <c r="CG837" s="50"/>
      <c r="CH837" s="50"/>
      <c r="CI837" s="50"/>
      <c r="CJ837" s="50"/>
      <c r="CK837" s="50"/>
      <c r="CL837" s="50"/>
      <c r="CM837" s="50"/>
      <c r="CN837" s="50"/>
      <c r="CO837" s="50"/>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c r="FF837" s="3"/>
      <c r="FG837" s="3"/>
      <c r="FH837" s="3"/>
      <c r="FI837" s="3"/>
      <c r="FJ837" s="3"/>
      <c r="FK837" s="3"/>
      <c r="FL837" s="3"/>
      <c r="FM837" s="3"/>
      <c r="FN837" s="3"/>
      <c r="FO837" s="3"/>
      <c r="FP837" s="3"/>
      <c r="FQ837" s="3"/>
      <c r="FR837" s="3"/>
      <c r="FS837" s="3"/>
      <c r="FT837" s="3"/>
      <c r="FU837" s="3"/>
      <c r="FV837" s="3"/>
      <c r="FW837" s="3"/>
      <c r="FX837" s="3"/>
      <c r="FY837" s="3"/>
      <c r="FZ837" s="3"/>
      <c r="GA837" s="3"/>
      <c r="GB837" s="3"/>
      <c r="GC837" s="3"/>
      <c r="GD837" s="3"/>
      <c r="GE837" s="3"/>
      <c r="GF837" s="3"/>
      <c r="GG837" s="3"/>
      <c r="GH837" s="3"/>
      <c r="GI837" s="3"/>
      <c r="GJ837" s="3"/>
      <c r="GK837" s="3"/>
      <c r="GL837" s="3"/>
      <c r="GM837" s="3"/>
      <c r="GN837" s="3"/>
      <c r="GO837" s="3"/>
      <c r="GP837" s="3"/>
      <c r="GQ837" s="3"/>
      <c r="GR837" s="3"/>
      <c r="GS837" s="3"/>
      <c r="GT837" s="3"/>
      <c r="GU837" s="3"/>
      <c r="GV837" s="3"/>
      <c r="GW837" s="3"/>
      <c r="GX837" s="3"/>
      <c r="GY837" s="3"/>
      <c r="GZ837" s="3"/>
      <c r="HA837" s="3"/>
      <c r="HB837" s="3"/>
    </row>
    <row r="838" spans="1:210" ht="15.75" customHeight="1">
      <c r="A838" s="50"/>
      <c r="B838" s="50"/>
      <c r="C838" s="50"/>
      <c r="D838" s="50"/>
      <c r="E838" s="50"/>
      <c r="F838" s="50"/>
      <c r="G838" s="51"/>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50"/>
      <c r="BJ838" s="50"/>
      <c r="BK838" s="50"/>
      <c r="BL838" s="50"/>
      <c r="BM838" s="50"/>
      <c r="BN838" s="50"/>
      <c r="BO838" s="50"/>
      <c r="BP838" s="50"/>
      <c r="BQ838" s="50"/>
      <c r="BR838" s="50"/>
      <c r="BS838" s="50"/>
      <c r="BT838" s="50"/>
      <c r="BU838" s="50"/>
      <c r="BV838" s="50"/>
      <c r="BW838" s="50"/>
      <c r="BX838" s="50"/>
      <c r="BY838" s="50"/>
      <c r="BZ838" s="50"/>
      <c r="CA838" s="50"/>
      <c r="CB838" s="50"/>
      <c r="CC838" s="50"/>
      <c r="CD838" s="52"/>
      <c r="CE838" s="50"/>
      <c r="CF838" s="50"/>
      <c r="CG838" s="50"/>
      <c r="CH838" s="50"/>
      <c r="CI838" s="50"/>
      <c r="CJ838" s="50"/>
      <c r="CK838" s="50"/>
      <c r="CL838" s="50"/>
      <c r="CM838" s="50"/>
      <c r="CN838" s="50"/>
      <c r="CO838" s="50"/>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c r="FF838" s="3"/>
      <c r="FG838" s="3"/>
      <c r="FH838" s="3"/>
      <c r="FI838" s="3"/>
      <c r="FJ838" s="3"/>
      <c r="FK838" s="3"/>
      <c r="FL838" s="3"/>
      <c r="FM838" s="3"/>
      <c r="FN838" s="3"/>
      <c r="FO838" s="3"/>
      <c r="FP838" s="3"/>
      <c r="FQ838" s="3"/>
      <c r="FR838" s="3"/>
      <c r="FS838" s="3"/>
      <c r="FT838" s="3"/>
      <c r="FU838" s="3"/>
      <c r="FV838" s="3"/>
      <c r="FW838" s="3"/>
      <c r="FX838" s="3"/>
      <c r="FY838" s="3"/>
      <c r="FZ838" s="3"/>
      <c r="GA838" s="3"/>
      <c r="GB838" s="3"/>
      <c r="GC838" s="3"/>
      <c r="GD838" s="3"/>
      <c r="GE838" s="3"/>
      <c r="GF838" s="3"/>
      <c r="GG838" s="3"/>
      <c r="GH838" s="3"/>
      <c r="GI838" s="3"/>
      <c r="GJ838" s="3"/>
      <c r="GK838" s="3"/>
      <c r="GL838" s="3"/>
      <c r="GM838" s="3"/>
      <c r="GN838" s="3"/>
      <c r="GO838" s="3"/>
      <c r="GP838" s="3"/>
      <c r="GQ838" s="3"/>
      <c r="GR838" s="3"/>
      <c r="GS838" s="3"/>
      <c r="GT838" s="3"/>
      <c r="GU838" s="3"/>
      <c r="GV838" s="3"/>
      <c r="GW838" s="3"/>
      <c r="GX838" s="3"/>
      <c r="GY838" s="3"/>
      <c r="GZ838" s="3"/>
      <c r="HA838" s="3"/>
      <c r="HB838" s="3"/>
    </row>
    <row r="839" spans="1:210" ht="15.75" customHeight="1">
      <c r="A839" s="50"/>
      <c r="B839" s="50"/>
      <c r="C839" s="50"/>
      <c r="D839" s="50"/>
      <c r="E839" s="50"/>
      <c r="F839" s="50"/>
      <c r="G839" s="51"/>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50"/>
      <c r="BJ839" s="50"/>
      <c r="BK839" s="50"/>
      <c r="BL839" s="50"/>
      <c r="BM839" s="50"/>
      <c r="BN839" s="50"/>
      <c r="BO839" s="50"/>
      <c r="BP839" s="50"/>
      <c r="BQ839" s="50"/>
      <c r="BR839" s="50"/>
      <c r="BS839" s="50"/>
      <c r="BT839" s="50"/>
      <c r="BU839" s="50"/>
      <c r="BV839" s="50"/>
      <c r="BW839" s="50"/>
      <c r="BX839" s="50"/>
      <c r="BY839" s="50"/>
      <c r="BZ839" s="50"/>
      <c r="CA839" s="50"/>
      <c r="CB839" s="50"/>
      <c r="CC839" s="50"/>
      <c r="CD839" s="52"/>
      <c r="CE839" s="50"/>
      <c r="CF839" s="50"/>
      <c r="CG839" s="50"/>
      <c r="CH839" s="50"/>
      <c r="CI839" s="50"/>
      <c r="CJ839" s="50"/>
      <c r="CK839" s="50"/>
      <c r="CL839" s="50"/>
      <c r="CM839" s="50"/>
      <c r="CN839" s="50"/>
      <c r="CO839" s="50"/>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c r="FF839" s="3"/>
      <c r="FG839" s="3"/>
      <c r="FH839" s="3"/>
      <c r="FI839" s="3"/>
      <c r="FJ839" s="3"/>
      <c r="FK839" s="3"/>
      <c r="FL839" s="3"/>
      <c r="FM839" s="3"/>
      <c r="FN839" s="3"/>
      <c r="FO839" s="3"/>
      <c r="FP839" s="3"/>
      <c r="FQ839" s="3"/>
      <c r="FR839" s="3"/>
      <c r="FS839" s="3"/>
      <c r="FT839" s="3"/>
      <c r="FU839" s="3"/>
      <c r="FV839" s="3"/>
      <c r="FW839" s="3"/>
      <c r="FX839" s="3"/>
      <c r="FY839" s="3"/>
      <c r="FZ839" s="3"/>
      <c r="GA839" s="3"/>
      <c r="GB839" s="3"/>
      <c r="GC839" s="3"/>
      <c r="GD839" s="3"/>
      <c r="GE839" s="3"/>
      <c r="GF839" s="3"/>
      <c r="GG839" s="3"/>
      <c r="GH839" s="3"/>
      <c r="GI839" s="3"/>
      <c r="GJ839" s="3"/>
      <c r="GK839" s="3"/>
      <c r="GL839" s="3"/>
      <c r="GM839" s="3"/>
      <c r="GN839" s="3"/>
      <c r="GO839" s="3"/>
      <c r="GP839" s="3"/>
      <c r="GQ839" s="3"/>
      <c r="GR839" s="3"/>
      <c r="GS839" s="3"/>
      <c r="GT839" s="3"/>
      <c r="GU839" s="3"/>
      <c r="GV839" s="3"/>
      <c r="GW839" s="3"/>
      <c r="GX839" s="3"/>
      <c r="GY839" s="3"/>
      <c r="GZ839" s="3"/>
      <c r="HA839" s="3"/>
      <c r="HB839" s="3"/>
    </row>
    <row r="840" spans="1:210" ht="15.75" customHeight="1">
      <c r="A840" s="50"/>
      <c r="B840" s="50"/>
      <c r="C840" s="50"/>
      <c r="D840" s="50"/>
      <c r="E840" s="50"/>
      <c r="F840" s="50"/>
      <c r="G840" s="51"/>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50"/>
      <c r="BJ840" s="50"/>
      <c r="BK840" s="50"/>
      <c r="BL840" s="50"/>
      <c r="BM840" s="50"/>
      <c r="BN840" s="50"/>
      <c r="BO840" s="50"/>
      <c r="BP840" s="50"/>
      <c r="BQ840" s="50"/>
      <c r="BR840" s="50"/>
      <c r="BS840" s="50"/>
      <c r="BT840" s="50"/>
      <c r="BU840" s="50"/>
      <c r="BV840" s="50"/>
      <c r="BW840" s="50"/>
      <c r="BX840" s="50"/>
      <c r="BY840" s="50"/>
      <c r="BZ840" s="50"/>
      <c r="CA840" s="50"/>
      <c r="CB840" s="50"/>
      <c r="CC840" s="50"/>
      <c r="CD840" s="52"/>
      <c r="CE840" s="50"/>
      <c r="CF840" s="50"/>
      <c r="CG840" s="50"/>
      <c r="CH840" s="50"/>
      <c r="CI840" s="50"/>
      <c r="CJ840" s="50"/>
      <c r="CK840" s="50"/>
      <c r="CL840" s="50"/>
      <c r="CM840" s="50"/>
      <c r="CN840" s="50"/>
      <c r="CO840" s="50"/>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c r="FF840" s="3"/>
      <c r="FG840" s="3"/>
      <c r="FH840" s="3"/>
      <c r="FI840" s="3"/>
      <c r="FJ840" s="3"/>
      <c r="FK840" s="3"/>
      <c r="FL840" s="3"/>
      <c r="FM840" s="3"/>
      <c r="FN840" s="3"/>
      <c r="FO840" s="3"/>
      <c r="FP840" s="3"/>
      <c r="FQ840" s="3"/>
      <c r="FR840" s="3"/>
      <c r="FS840" s="3"/>
      <c r="FT840" s="3"/>
      <c r="FU840" s="3"/>
      <c r="FV840" s="3"/>
      <c r="FW840" s="3"/>
      <c r="FX840" s="3"/>
      <c r="FY840" s="3"/>
      <c r="FZ840" s="3"/>
      <c r="GA840" s="3"/>
      <c r="GB840" s="3"/>
      <c r="GC840" s="3"/>
      <c r="GD840" s="3"/>
      <c r="GE840" s="3"/>
      <c r="GF840" s="3"/>
      <c r="GG840" s="3"/>
      <c r="GH840" s="3"/>
      <c r="GI840" s="3"/>
      <c r="GJ840" s="3"/>
      <c r="GK840" s="3"/>
      <c r="GL840" s="3"/>
      <c r="GM840" s="3"/>
      <c r="GN840" s="3"/>
      <c r="GO840" s="3"/>
      <c r="GP840" s="3"/>
      <c r="GQ840" s="3"/>
      <c r="GR840" s="3"/>
      <c r="GS840" s="3"/>
      <c r="GT840" s="3"/>
      <c r="GU840" s="3"/>
      <c r="GV840" s="3"/>
      <c r="GW840" s="3"/>
      <c r="GX840" s="3"/>
      <c r="GY840" s="3"/>
      <c r="GZ840" s="3"/>
      <c r="HA840" s="3"/>
      <c r="HB840" s="3"/>
    </row>
    <row r="841" spans="1:210" ht="15.75" customHeight="1">
      <c r="A841" s="50"/>
      <c r="B841" s="50"/>
      <c r="C841" s="50"/>
      <c r="D841" s="50"/>
      <c r="E841" s="50"/>
      <c r="F841" s="50"/>
      <c r="G841" s="51"/>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50"/>
      <c r="BJ841" s="50"/>
      <c r="BK841" s="50"/>
      <c r="BL841" s="50"/>
      <c r="BM841" s="50"/>
      <c r="BN841" s="50"/>
      <c r="BO841" s="50"/>
      <c r="BP841" s="50"/>
      <c r="BQ841" s="50"/>
      <c r="BR841" s="50"/>
      <c r="BS841" s="50"/>
      <c r="BT841" s="50"/>
      <c r="BU841" s="50"/>
      <c r="BV841" s="50"/>
      <c r="BW841" s="50"/>
      <c r="BX841" s="50"/>
      <c r="BY841" s="50"/>
      <c r="BZ841" s="50"/>
      <c r="CA841" s="50"/>
      <c r="CB841" s="50"/>
      <c r="CC841" s="50"/>
      <c r="CD841" s="52"/>
      <c r="CE841" s="50"/>
      <c r="CF841" s="50"/>
      <c r="CG841" s="50"/>
      <c r="CH841" s="50"/>
      <c r="CI841" s="50"/>
      <c r="CJ841" s="50"/>
      <c r="CK841" s="50"/>
      <c r="CL841" s="50"/>
      <c r="CM841" s="50"/>
      <c r="CN841" s="50"/>
      <c r="CO841" s="50"/>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c r="FF841" s="3"/>
      <c r="FG841" s="3"/>
      <c r="FH841" s="3"/>
      <c r="FI841" s="3"/>
      <c r="FJ841" s="3"/>
      <c r="FK841" s="3"/>
      <c r="FL841" s="3"/>
      <c r="FM841" s="3"/>
      <c r="FN841" s="3"/>
      <c r="FO841" s="3"/>
      <c r="FP841" s="3"/>
      <c r="FQ841" s="3"/>
      <c r="FR841" s="3"/>
      <c r="FS841" s="3"/>
      <c r="FT841" s="3"/>
      <c r="FU841" s="3"/>
      <c r="FV841" s="3"/>
      <c r="FW841" s="3"/>
      <c r="FX841" s="3"/>
      <c r="FY841" s="3"/>
      <c r="FZ841" s="3"/>
      <c r="GA841" s="3"/>
      <c r="GB841" s="3"/>
      <c r="GC841" s="3"/>
      <c r="GD841" s="3"/>
      <c r="GE841" s="3"/>
      <c r="GF841" s="3"/>
      <c r="GG841" s="3"/>
      <c r="GH841" s="3"/>
      <c r="GI841" s="3"/>
      <c r="GJ841" s="3"/>
      <c r="GK841" s="3"/>
      <c r="GL841" s="3"/>
      <c r="GM841" s="3"/>
      <c r="GN841" s="3"/>
      <c r="GO841" s="3"/>
      <c r="GP841" s="3"/>
      <c r="GQ841" s="3"/>
      <c r="GR841" s="3"/>
      <c r="GS841" s="3"/>
      <c r="GT841" s="3"/>
      <c r="GU841" s="3"/>
      <c r="GV841" s="3"/>
      <c r="GW841" s="3"/>
      <c r="GX841" s="3"/>
      <c r="GY841" s="3"/>
      <c r="GZ841" s="3"/>
      <c r="HA841" s="3"/>
      <c r="HB841" s="3"/>
    </row>
    <row r="842" spans="1:210" ht="15.75" customHeight="1">
      <c r="A842" s="50"/>
      <c r="B842" s="50"/>
      <c r="C842" s="50"/>
      <c r="D842" s="50"/>
      <c r="E842" s="50"/>
      <c r="F842" s="50"/>
      <c r="G842" s="51"/>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50"/>
      <c r="BJ842" s="50"/>
      <c r="BK842" s="50"/>
      <c r="BL842" s="50"/>
      <c r="BM842" s="50"/>
      <c r="BN842" s="50"/>
      <c r="BO842" s="50"/>
      <c r="BP842" s="50"/>
      <c r="BQ842" s="50"/>
      <c r="BR842" s="50"/>
      <c r="BS842" s="50"/>
      <c r="BT842" s="50"/>
      <c r="BU842" s="50"/>
      <c r="BV842" s="50"/>
      <c r="BW842" s="50"/>
      <c r="BX842" s="50"/>
      <c r="BY842" s="50"/>
      <c r="BZ842" s="50"/>
      <c r="CA842" s="50"/>
      <c r="CB842" s="50"/>
      <c r="CC842" s="50"/>
      <c r="CD842" s="52"/>
      <c r="CE842" s="50"/>
      <c r="CF842" s="50"/>
      <c r="CG842" s="50"/>
      <c r="CH842" s="50"/>
      <c r="CI842" s="50"/>
      <c r="CJ842" s="50"/>
      <c r="CK842" s="50"/>
      <c r="CL842" s="50"/>
      <c r="CM842" s="50"/>
      <c r="CN842" s="50"/>
      <c r="CO842" s="50"/>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c r="FF842" s="3"/>
      <c r="FG842" s="3"/>
      <c r="FH842" s="3"/>
      <c r="FI842" s="3"/>
      <c r="FJ842" s="3"/>
      <c r="FK842" s="3"/>
      <c r="FL842" s="3"/>
      <c r="FM842" s="3"/>
      <c r="FN842" s="3"/>
      <c r="FO842" s="3"/>
      <c r="FP842" s="3"/>
      <c r="FQ842" s="3"/>
      <c r="FR842" s="3"/>
      <c r="FS842" s="3"/>
      <c r="FT842" s="3"/>
      <c r="FU842" s="3"/>
      <c r="FV842" s="3"/>
      <c r="FW842" s="3"/>
      <c r="FX842" s="3"/>
      <c r="FY842" s="3"/>
      <c r="FZ842" s="3"/>
      <c r="GA842" s="3"/>
      <c r="GB842" s="3"/>
      <c r="GC842" s="3"/>
      <c r="GD842" s="3"/>
      <c r="GE842" s="3"/>
      <c r="GF842" s="3"/>
      <c r="GG842" s="3"/>
      <c r="GH842" s="3"/>
      <c r="GI842" s="3"/>
      <c r="GJ842" s="3"/>
      <c r="GK842" s="3"/>
      <c r="GL842" s="3"/>
      <c r="GM842" s="3"/>
      <c r="GN842" s="3"/>
      <c r="GO842" s="3"/>
      <c r="GP842" s="3"/>
      <c r="GQ842" s="3"/>
      <c r="GR842" s="3"/>
      <c r="GS842" s="3"/>
      <c r="GT842" s="3"/>
      <c r="GU842" s="3"/>
      <c r="GV842" s="3"/>
      <c r="GW842" s="3"/>
      <c r="GX842" s="3"/>
      <c r="GY842" s="3"/>
      <c r="GZ842" s="3"/>
      <c r="HA842" s="3"/>
      <c r="HB842" s="3"/>
    </row>
    <row r="843" spans="1:210" ht="15.75" customHeight="1">
      <c r="A843" s="50"/>
      <c r="B843" s="50"/>
      <c r="C843" s="50"/>
      <c r="D843" s="50"/>
      <c r="E843" s="50"/>
      <c r="F843" s="50"/>
      <c r="G843" s="51"/>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50"/>
      <c r="BJ843" s="50"/>
      <c r="BK843" s="50"/>
      <c r="BL843" s="50"/>
      <c r="BM843" s="50"/>
      <c r="BN843" s="50"/>
      <c r="BO843" s="50"/>
      <c r="BP843" s="50"/>
      <c r="BQ843" s="50"/>
      <c r="BR843" s="50"/>
      <c r="BS843" s="50"/>
      <c r="BT843" s="50"/>
      <c r="BU843" s="50"/>
      <c r="BV843" s="50"/>
      <c r="BW843" s="50"/>
      <c r="BX843" s="50"/>
      <c r="BY843" s="50"/>
      <c r="BZ843" s="50"/>
      <c r="CA843" s="50"/>
      <c r="CB843" s="50"/>
      <c r="CC843" s="50"/>
      <c r="CD843" s="52"/>
      <c r="CE843" s="50"/>
      <c r="CF843" s="50"/>
      <c r="CG843" s="50"/>
      <c r="CH843" s="50"/>
      <c r="CI843" s="50"/>
      <c r="CJ843" s="50"/>
      <c r="CK843" s="50"/>
      <c r="CL843" s="50"/>
      <c r="CM843" s="50"/>
      <c r="CN843" s="50"/>
      <c r="CO843" s="50"/>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c r="FF843" s="3"/>
      <c r="FG843" s="3"/>
      <c r="FH843" s="3"/>
      <c r="FI843" s="3"/>
      <c r="FJ843" s="3"/>
      <c r="FK843" s="3"/>
      <c r="FL843" s="3"/>
      <c r="FM843" s="3"/>
      <c r="FN843" s="3"/>
      <c r="FO843" s="3"/>
      <c r="FP843" s="3"/>
      <c r="FQ843" s="3"/>
      <c r="FR843" s="3"/>
      <c r="FS843" s="3"/>
      <c r="FT843" s="3"/>
      <c r="FU843" s="3"/>
      <c r="FV843" s="3"/>
      <c r="FW843" s="3"/>
      <c r="FX843" s="3"/>
      <c r="FY843" s="3"/>
      <c r="FZ843" s="3"/>
      <c r="GA843" s="3"/>
      <c r="GB843" s="3"/>
      <c r="GC843" s="3"/>
      <c r="GD843" s="3"/>
      <c r="GE843" s="3"/>
      <c r="GF843" s="3"/>
      <c r="GG843" s="3"/>
      <c r="GH843" s="3"/>
      <c r="GI843" s="3"/>
      <c r="GJ843" s="3"/>
      <c r="GK843" s="3"/>
      <c r="GL843" s="3"/>
      <c r="GM843" s="3"/>
      <c r="GN843" s="3"/>
      <c r="GO843" s="3"/>
      <c r="GP843" s="3"/>
      <c r="GQ843" s="3"/>
      <c r="GR843" s="3"/>
      <c r="GS843" s="3"/>
      <c r="GT843" s="3"/>
      <c r="GU843" s="3"/>
      <c r="GV843" s="3"/>
      <c r="GW843" s="3"/>
      <c r="GX843" s="3"/>
      <c r="GY843" s="3"/>
      <c r="GZ843" s="3"/>
      <c r="HA843" s="3"/>
      <c r="HB843" s="3"/>
    </row>
    <row r="844" spans="1:210" ht="15.75" customHeight="1">
      <c r="A844" s="50"/>
      <c r="B844" s="50"/>
      <c r="C844" s="50"/>
      <c r="D844" s="50"/>
      <c r="E844" s="50"/>
      <c r="F844" s="50"/>
      <c r="G844" s="51"/>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50"/>
      <c r="BJ844" s="50"/>
      <c r="BK844" s="50"/>
      <c r="BL844" s="50"/>
      <c r="BM844" s="50"/>
      <c r="BN844" s="50"/>
      <c r="BO844" s="50"/>
      <c r="BP844" s="50"/>
      <c r="BQ844" s="50"/>
      <c r="BR844" s="50"/>
      <c r="BS844" s="50"/>
      <c r="BT844" s="50"/>
      <c r="BU844" s="50"/>
      <c r="BV844" s="50"/>
      <c r="BW844" s="50"/>
      <c r="BX844" s="50"/>
      <c r="BY844" s="50"/>
      <c r="BZ844" s="50"/>
      <c r="CA844" s="50"/>
      <c r="CB844" s="50"/>
      <c r="CC844" s="50"/>
      <c r="CD844" s="52"/>
      <c r="CE844" s="50"/>
      <c r="CF844" s="50"/>
      <c r="CG844" s="50"/>
      <c r="CH844" s="50"/>
      <c r="CI844" s="50"/>
      <c r="CJ844" s="50"/>
      <c r="CK844" s="50"/>
      <c r="CL844" s="50"/>
      <c r="CM844" s="50"/>
      <c r="CN844" s="50"/>
      <c r="CO844" s="50"/>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c r="FF844" s="3"/>
      <c r="FG844" s="3"/>
      <c r="FH844" s="3"/>
      <c r="FI844" s="3"/>
      <c r="FJ844" s="3"/>
      <c r="FK844" s="3"/>
      <c r="FL844" s="3"/>
      <c r="FM844" s="3"/>
      <c r="FN844" s="3"/>
      <c r="FO844" s="3"/>
      <c r="FP844" s="3"/>
      <c r="FQ844" s="3"/>
      <c r="FR844" s="3"/>
      <c r="FS844" s="3"/>
      <c r="FT844" s="3"/>
      <c r="FU844" s="3"/>
      <c r="FV844" s="3"/>
      <c r="FW844" s="3"/>
      <c r="FX844" s="3"/>
      <c r="FY844" s="3"/>
      <c r="FZ844" s="3"/>
      <c r="GA844" s="3"/>
      <c r="GB844" s="3"/>
      <c r="GC844" s="3"/>
      <c r="GD844" s="3"/>
      <c r="GE844" s="3"/>
      <c r="GF844" s="3"/>
      <c r="GG844" s="3"/>
      <c r="GH844" s="3"/>
      <c r="GI844" s="3"/>
      <c r="GJ844" s="3"/>
      <c r="GK844" s="3"/>
      <c r="GL844" s="3"/>
      <c r="GM844" s="3"/>
      <c r="GN844" s="3"/>
      <c r="GO844" s="3"/>
      <c r="GP844" s="3"/>
      <c r="GQ844" s="3"/>
      <c r="GR844" s="3"/>
      <c r="GS844" s="3"/>
      <c r="GT844" s="3"/>
      <c r="GU844" s="3"/>
      <c r="GV844" s="3"/>
      <c r="GW844" s="3"/>
      <c r="GX844" s="3"/>
      <c r="GY844" s="3"/>
      <c r="GZ844" s="3"/>
      <c r="HA844" s="3"/>
      <c r="HB844" s="3"/>
    </row>
    <row r="845" spans="1:210" ht="15.75" customHeight="1">
      <c r="A845" s="50"/>
      <c r="B845" s="50"/>
      <c r="C845" s="50"/>
      <c r="D845" s="50"/>
      <c r="E845" s="50"/>
      <c r="F845" s="50"/>
      <c r="G845" s="51"/>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50"/>
      <c r="BJ845" s="50"/>
      <c r="BK845" s="50"/>
      <c r="BL845" s="50"/>
      <c r="BM845" s="50"/>
      <c r="BN845" s="50"/>
      <c r="BO845" s="50"/>
      <c r="BP845" s="50"/>
      <c r="BQ845" s="50"/>
      <c r="BR845" s="50"/>
      <c r="BS845" s="50"/>
      <c r="BT845" s="50"/>
      <c r="BU845" s="50"/>
      <c r="BV845" s="50"/>
      <c r="BW845" s="50"/>
      <c r="BX845" s="50"/>
      <c r="BY845" s="50"/>
      <c r="BZ845" s="50"/>
      <c r="CA845" s="50"/>
      <c r="CB845" s="50"/>
      <c r="CC845" s="50"/>
      <c r="CD845" s="52"/>
      <c r="CE845" s="50"/>
      <c r="CF845" s="50"/>
      <c r="CG845" s="50"/>
      <c r="CH845" s="50"/>
      <c r="CI845" s="50"/>
      <c r="CJ845" s="50"/>
      <c r="CK845" s="50"/>
      <c r="CL845" s="50"/>
      <c r="CM845" s="50"/>
      <c r="CN845" s="50"/>
      <c r="CO845" s="50"/>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c r="FF845" s="3"/>
      <c r="FG845" s="3"/>
      <c r="FH845" s="3"/>
      <c r="FI845" s="3"/>
      <c r="FJ845" s="3"/>
      <c r="FK845" s="3"/>
      <c r="FL845" s="3"/>
      <c r="FM845" s="3"/>
      <c r="FN845" s="3"/>
      <c r="FO845" s="3"/>
      <c r="FP845" s="3"/>
      <c r="FQ845" s="3"/>
      <c r="FR845" s="3"/>
      <c r="FS845" s="3"/>
      <c r="FT845" s="3"/>
      <c r="FU845" s="3"/>
      <c r="FV845" s="3"/>
      <c r="FW845" s="3"/>
      <c r="FX845" s="3"/>
      <c r="FY845" s="3"/>
      <c r="FZ845" s="3"/>
      <c r="GA845" s="3"/>
      <c r="GB845" s="3"/>
      <c r="GC845" s="3"/>
      <c r="GD845" s="3"/>
      <c r="GE845" s="3"/>
      <c r="GF845" s="3"/>
      <c r="GG845" s="3"/>
      <c r="GH845" s="3"/>
      <c r="GI845" s="3"/>
      <c r="GJ845" s="3"/>
      <c r="GK845" s="3"/>
      <c r="GL845" s="3"/>
      <c r="GM845" s="3"/>
      <c r="GN845" s="3"/>
      <c r="GO845" s="3"/>
      <c r="GP845" s="3"/>
      <c r="GQ845" s="3"/>
      <c r="GR845" s="3"/>
      <c r="GS845" s="3"/>
      <c r="GT845" s="3"/>
      <c r="GU845" s="3"/>
      <c r="GV845" s="3"/>
      <c r="GW845" s="3"/>
      <c r="GX845" s="3"/>
      <c r="GY845" s="3"/>
      <c r="GZ845" s="3"/>
      <c r="HA845" s="3"/>
      <c r="HB845" s="3"/>
    </row>
    <row r="846" spans="1:210" ht="15.75" customHeight="1">
      <c r="A846" s="50"/>
      <c r="B846" s="50"/>
      <c r="C846" s="50"/>
      <c r="D846" s="50"/>
      <c r="E846" s="50"/>
      <c r="F846" s="50"/>
      <c r="G846" s="51"/>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50"/>
      <c r="BJ846" s="50"/>
      <c r="BK846" s="50"/>
      <c r="BL846" s="50"/>
      <c r="BM846" s="50"/>
      <c r="BN846" s="50"/>
      <c r="BO846" s="50"/>
      <c r="BP846" s="50"/>
      <c r="BQ846" s="50"/>
      <c r="BR846" s="50"/>
      <c r="BS846" s="50"/>
      <c r="BT846" s="50"/>
      <c r="BU846" s="50"/>
      <c r="BV846" s="50"/>
      <c r="BW846" s="50"/>
      <c r="BX846" s="50"/>
      <c r="BY846" s="50"/>
      <c r="BZ846" s="50"/>
      <c r="CA846" s="50"/>
      <c r="CB846" s="50"/>
      <c r="CC846" s="50"/>
      <c r="CD846" s="52"/>
      <c r="CE846" s="50"/>
      <c r="CF846" s="50"/>
      <c r="CG846" s="50"/>
      <c r="CH846" s="50"/>
      <c r="CI846" s="50"/>
      <c r="CJ846" s="50"/>
      <c r="CK846" s="50"/>
      <c r="CL846" s="50"/>
      <c r="CM846" s="50"/>
      <c r="CN846" s="50"/>
      <c r="CO846" s="50"/>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c r="FF846" s="3"/>
      <c r="FG846" s="3"/>
      <c r="FH846" s="3"/>
      <c r="FI846" s="3"/>
      <c r="FJ846" s="3"/>
      <c r="FK846" s="3"/>
      <c r="FL846" s="3"/>
      <c r="FM846" s="3"/>
      <c r="FN846" s="3"/>
      <c r="FO846" s="3"/>
      <c r="FP846" s="3"/>
      <c r="FQ846" s="3"/>
      <c r="FR846" s="3"/>
      <c r="FS846" s="3"/>
      <c r="FT846" s="3"/>
      <c r="FU846" s="3"/>
      <c r="FV846" s="3"/>
      <c r="FW846" s="3"/>
      <c r="FX846" s="3"/>
      <c r="FY846" s="3"/>
      <c r="FZ846" s="3"/>
      <c r="GA846" s="3"/>
      <c r="GB846" s="3"/>
      <c r="GC846" s="3"/>
      <c r="GD846" s="3"/>
      <c r="GE846" s="3"/>
      <c r="GF846" s="3"/>
      <c r="GG846" s="3"/>
      <c r="GH846" s="3"/>
      <c r="GI846" s="3"/>
      <c r="GJ846" s="3"/>
      <c r="GK846" s="3"/>
      <c r="GL846" s="3"/>
      <c r="GM846" s="3"/>
      <c r="GN846" s="3"/>
      <c r="GO846" s="3"/>
      <c r="GP846" s="3"/>
      <c r="GQ846" s="3"/>
      <c r="GR846" s="3"/>
      <c r="GS846" s="3"/>
      <c r="GT846" s="3"/>
      <c r="GU846" s="3"/>
      <c r="GV846" s="3"/>
      <c r="GW846" s="3"/>
      <c r="GX846" s="3"/>
      <c r="GY846" s="3"/>
      <c r="GZ846" s="3"/>
      <c r="HA846" s="3"/>
      <c r="HB846" s="3"/>
    </row>
    <row r="847" spans="1:210" ht="15.75" customHeight="1">
      <c r="A847" s="50"/>
      <c r="B847" s="50"/>
      <c r="C847" s="50"/>
      <c r="D847" s="50"/>
      <c r="E847" s="50"/>
      <c r="F847" s="50"/>
      <c r="G847" s="51"/>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50"/>
      <c r="BJ847" s="50"/>
      <c r="BK847" s="50"/>
      <c r="BL847" s="50"/>
      <c r="BM847" s="50"/>
      <c r="BN847" s="50"/>
      <c r="BO847" s="50"/>
      <c r="BP847" s="50"/>
      <c r="BQ847" s="50"/>
      <c r="BR847" s="50"/>
      <c r="BS847" s="50"/>
      <c r="BT847" s="50"/>
      <c r="BU847" s="50"/>
      <c r="BV847" s="50"/>
      <c r="BW847" s="50"/>
      <c r="BX847" s="50"/>
      <c r="BY847" s="50"/>
      <c r="BZ847" s="50"/>
      <c r="CA847" s="50"/>
      <c r="CB847" s="50"/>
      <c r="CC847" s="50"/>
      <c r="CD847" s="52"/>
      <c r="CE847" s="50"/>
      <c r="CF847" s="50"/>
      <c r="CG847" s="50"/>
      <c r="CH847" s="50"/>
      <c r="CI847" s="50"/>
      <c r="CJ847" s="50"/>
      <c r="CK847" s="50"/>
      <c r="CL847" s="50"/>
      <c r="CM847" s="50"/>
      <c r="CN847" s="50"/>
      <c r="CO847" s="50"/>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c r="FF847" s="3"/>
      <c r="FG847" s="3"/>
      <c r="FH847" s="3"/>
      <c r="FI847" s="3"/>
      <c r="FJ847" s="3"/>
      <c r="FK847" s="3"/>
      <c r="FL847" s="3"/>
      <c r="FM847" s="3"/>
      <c r="FN847" s="3"/>
      <c r="FO847" s="3"/>
      <c r="FP847" s="3"/>
      <c r="FQ847" s="3"/>
      <c r="FR847" s="3"/>
      <c r="FS847" s="3"/>
      <c r="FT847" s="3"/>
      <c r="FU847" s="3"/>
      <c r="FV847" s="3"/>
      <c r="FW847" s="3"/>
      <c r="FX847" s="3"/>
      <c r="FY847" s="3"/>
      <c r="FZ847" s="3"/>
      <c r="GA847" s="3"/>
      <c r="GB847" s="3"/>
      <c r="GC847" s="3"/>
      <c r="GD847" s="3"/>
      <c r="GE847" s="3"/>
      <c r="GF847" s="3"/>
      <c r="GG847" s="3"/>
      <c r="GH847" s="3"/>
      <c r="GI847" s="3"/>
      <c r="GJ847" s="3"/>
      <c r="GK847" s="3"/>
      <c r="GL847" s="3"/>
      <c r="GM847" s="3"/>
      <c r="GN847" s="3"/>
      <c r="GO847" s="3"/>
      <c r="GP847" s="3"/>
      <c r="GQ847" s="3"/>
      <c r="GR847" s="3"/>
      <c r="GS847" s="3"/>
      <c r="GT847" s="3"/>
      <c r="GU847" s="3"/>
      <c r="GV847" s="3"/>
      <c r="GW847" s="3"/>
      <c r="GX847" s="3"/>
      <c r="GY847" s="3"/>
      <c r="GZ847" s="3"/>
      <c r="HA847" s="3"/>
      <c r="HB847" s="3"/>
    </row>
    <row r="848" spans="1:210" ht="15.75" customHeight="1">
      <c r="A848" s="50"/>
      <c r="B848" s="50"/>
      <c r="C848" s="50"/>
      <c r="D848" s="50"/>
      <c r="E848" s="50"/>
      <c r="F848" s="50"/>
      <c r="G848" s="51"/>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c r="AV848" s="50"/>
      <c r="AW848" s="50"/>
      <c r="AX848" s="50"/>
      <c r="AY848" s="50"/>
      <c r="AZ848" s="50"/>
      <c r="BA848" s="50"/>
      <c r="BB848" s="50"/>
      <c r="BC848" s="50"/>
      <c r="BD848" s="50"/>
      <c r="BE848" s="50"/>
      <c r="BF848" s="50"/>
      <c r="BG848" s="50"/>
      <c r="BH848" s="50"/>
      <c r="BI848" s="50"/>
      <c r="BJ848" s="50"/>
      <c r="BK848" s="50"/>
      <c r="BL848" s="50"/>
      <c r="BM848" s="50"/>
      <c r="BN848" s="50"/>
      <c r="BO848" s="50"/>
      <c r="BP848" s="50"/>
      <c r="BQ848" s="50"/>
      <c r="BR848" s="50"/>
      <c r="BS848" s="50"/>
      <c r="BT848" s="50"/>
      <c r="BU848" s="50"/>
      <c r="BV848" s="50"/>
      <c r="BW848" s="50"/>
      <c r="BX848" s="50"/>
      <c r="BY848" s="50"/>
      <c r="BZ848" s="50"/>
      <c r="CA848" s="50"/>
      <c r="CB848" s="50"/>
      <c r="CC848" s="50"/>
      <c r="CD848" s="52"/>
      <c r="CE848" s="50"/>
      <c r="CF848" s="50"/>
      <c r="CG848" s="50"/>
      <c r="CH848" s="50"/>
      <c r="CI848" s="50"/>
      <c r="CJ848" s="50"/>
      <c r="CK848" s="50"/>
      <c r="CL848" s="50"/>
      <c r="CM848" s="50"/>
      <c r="CN848" s="50"/>
      <c r="CO848" s="50"/>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c r="FF848" s="3"/>
      <c r="FG848" s="3"/>
      <c r="FH848" s="3"/>
      <c r="FI848" s="3"/>
      <c r="FJ848" s="3"/>
      <c r="FK848" s="3"/>
      <c r="FL848" s="3"/>
      <c r="FM848" s="3"/>
      <c r="FN848" s="3"/>
      <c r="FO848" s="3"/>
      <c r="FP848" s="3"/>
      <c r="FQ848" s="3"/>
      <c r="FR848" s="3"/>
      <c r="FS848" s="3"/>
      <c r="FT848" s="3"/>
      <c r="FU848" s="3"/>
      <c r="FV848" s="3"/>
      <c r="FW848" s="3"/>
      <c r="FX848" s="3"/>
      <c r="FY848" s="3"/>
      <c r="FZ848" s="3"/>
      <c r="GA848" s="3"/>
      <c r="GB848" s="3"/>
      <c r="GC848" s="3"/>
      <c r="GD848" s="3"/>
      <c r="GE848" s="3"/>
      <c r="GF848" s="3"/>
      <c r="GG848" s="3"/>
      <c r="GH848" s="3"/>
      <c r="GI848" s="3"/>
      <c r="GJ848" s="3"/>
      <c r="GK848" s="3"/>
      <c r="GL848" s="3"/>
      <c r="GM848" s="3"/>
      <c r="GN848" s="3"/>
      <c r="GO848" s="3"/>
      <c r="GP848" s="3"/>
      <c r="GQ848" s="3"/>
      <c r="GR848" s="3"/>
      <c r="GS848" s="3"/>
      <c r="GT848" s="3"/>
      <c r="GU848" s="3"/>
      <c r="GV848" s="3"/>
      <c r="GW848" s="3"/>
      <c r="GX848" s="3"/>
      <c r="GY848" s="3"/>
      <c r="GZ848" s="3"/>
      <c r="HA848" s="3"/>
      <c r="HB848" s="3"/>
    </row>
    <row r="849" spans="1:210" ht="15.75" customHeight="1">
      <c r="A849" s="50"/>
      <c r="B849" s="50"/>
      <c r="C849" s="50"/>
      <c r="D849" s="50"/>
      <c r="E849" s="50"/>
      <c r="F849" s="50"/>
      <c r="G849" s="51"/>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50"/>
      <c r="BJ849" s="50"/>
      <c r="BK849" s="50"/>
      <c r="BL849" s="50"/>
      <c r="BM849" s="50"/>
      <c r="BN849" s="50"/>
      <c r="BO849" s="50"/>
      <c r="BP849" s="50"/>
      <c r="BQ849" s="50"/>
      <c r="BR849" s="50"/>
      <c r="BS849" s="50"/>
      <c r="BT849" s="50"/>
      <c r="BU849" s="50"/>
      <c r="BV849" s="50"/>
      <c r="BW849" s="50"/>
      <c r="BX849" s="50"/>
      <c r="BY849" s="50"/>
      <c r="BZ849" s="50"/>
      <c r="CA849" s="50"/>
      <c r="CB849" s="50"/>
      <c r="CC849" s="50"/>
      <c r="CD849" s="52"/>
      <c r="CE849" s="50"/>
      <c r="CF849" s="50"/>
      <c r="CG849" s="50"/>
      <c r="CH849" s="50"/>
      <c r="CI849" s="50"/>
      <c r="CJ849" s="50"/>
      <c r="CK849" s="50"/>
      <c r="CL849" s="50"/>
      <c r="CM849" s="50"/>
      <c r="CN849" s="50"/>
      <c r="CO849" s="50"/>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c r="FF849" s="3"/>
      <c r="FG849" s="3"/>
      <c r="FH849" s="3"/>
      <c r="FI849" s="3"/>
      <c r="FJ849" s="3"/>
      <c r="FK849" s="3"/>
      <c r="FL849" s="3"/>
      <c r="FM849" s="3"/>
      <c r="FN849" s="3"/>
      <c r="FO849" s="3"/>
      <c r="FP849" s="3"/>
      <c r="FQ849" s="3"/>
      <c r="FR849" s="3"/>
      <c r="FS849" s="3"/>
      <c r="FT849" s="3"/>
      <c r="FU849" s="3"/>
      <c r="FV849" s="3"/>
      <c r="FW849" s="3"/>
      <c r="FX849" s="3"/>
      <c r="FY849" s="3"/>
      <c r="FZ849" s="3"/>
      <c r="GA849" s="3"/>
      <c r="GB849" s="3"/>
      <c r="GC849" s="3"/>
      <c r="GD849" s="3"/>
      <c r="GE849" s="3"/>
      <c r="GF849" s="3"/>
      <c r="GG849" s="3"/>
      <c r="GH849" s="3"/>
      <c r="GI849" s="3"/>
      <c r="GJ849" s="3"/>
      <c r="GK849" s="3"/>
      <c r="GL849" s="3"/>
      <c r="GM849" s="3"/>
      <c r="GN849" s="3"/>
      <c r="GO849" s="3"/>
      <c r="GP849" s="3"/>
      <c r="GQ849" s="3"/>
      <c r="GR849" s="3"/>
      <c r="GS849" s="3"/>
      <c r="GT849" s="3"/>
      <c r="GU849" s="3"/>
      <c r="GV849" s="3"/>
      <c r="GW849" s="3"/>
      <c r="GX849" s="3"/>
      <c r="GY849" s="3"/>
      <c r="GZ849" s="3"/>
      <c r="HA849" s="3"/>
      <c r="HB849" s="3"/>
    </row>
    <row r="850" spans="1:210" ht="15.75" customHeight="1">
      <c r="A850" s="50"/>
      <c r="B850" s="50"/>
      <c r="C850" s="50"/>
      <c r="D850" s="50"/>
      <c r="E850" s="50"/>
      <c r="F850" s="50"/>
      <c r="G850" s="51"/>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50"/>
      <c r="BJ850" s="50"/>
      <c r="BK850" s="50"/>
      <c r="BL850" s="50"/>
      <c r="BM850" s="50"/>
      <c r="BN850" s="50"/>
      <c r="BO850" s="50"/>
      <c r="BP850" s="50"/>
      <c r="BQ850" s="50"/>
      <c r="BR850" s="50"/>
      <c r="BS850" s="50"/>
      <c r="BT850" s="50"/>
      <c r="BU850" s="50"/>
      <c r="BV850" s="50"/>
      <c r="BW850" s="50"/>
      <c r="BX850" s="50"/>
      <c r="BY850" s="50"/>
      <c r="BZ850" s="50"/>
      <c r="CA850" s="50"/>
      <c r="CB850" s="50"/>
      <c r="CC850" s="50"/>
      <c r="CD850" s="52"/>
      <c r="CE850" s="50"/>
      <c r="CF850" s="50"/>
      <c r="CG850" s="50"/>
      <c r="CH850" s="50"/>
      <c r="CI850" s="50"/>
      <c r="CJ850" s="50"/>
      <c r="CK850" s="50"/>
      <c r="CL850" s="50"/>
      <c r="CM850" s="50"/>
      <c r="CN850" s="50"/>
      <c r="CO850" s="50"/>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c r="FF850" s="3"/>
      <c r="FG850" s="3"/>
      <c r="FH850" s="3"/>
      <c r="FI850" s="3"/>
      <c r="FJ850" s="3"/>
      <c r="FK850" s="3"/>
      <c r="FL850" s="3"/>
      <c r="FM850" s="3"/>
      <c r="FN850" s="3"/>
      <c r="FO850" s="3"/>
      <c r="FP850" s="3"/>
      <c r="FQ850" s="3"/>
      <c r="FR850" s="3"/>
      <c r="FS850" s="3"/>
      <c r="FT850" s="3"/>
      <c r="FU850" s="3"/>
      <c r="FV850" s="3"/>
      <c r="FW850" s="3"/>
      <c r="FX850" s="3"/>
      <c r="FY850" s="3"/>
      <c r="FZ850" s="3"/>
      <c r="GA850" s="3"/>
      <c r="GB850" s="3"/>
      <c r="GC850" s="3"/>
      <c r="GD850" s="3"/>
      <c r="GE850" s="3"/>
      <c r="GF850" s="3"/>
      <c r="GG850" s="3"/>
      <c r="GH850" s="3"/>
      <c r="GI850" s="3"/>
      <c r="GJ850" s="3"/>
      <c r="GK850" s="3"/>
      <c r="GL850" s="3"/>
      <c r="GM850" s="3"/>
      <c r="GN850" s="3"/>
      <c r="GO850" s="3"/>
      <c r="GP850" s="3"/>
      <c r="GQ850" s="3"/>
      <c r="GR850" s="3"/>
      <c r="GS850" s="3"/>
      <c r="GT850" s="3"/>
      <c r="GU850" s="3"/>
      <c r="GV850" s="3"/>
      <c r="GW850" s="3"/>
      <c r="GX850" s="3"/>
      <c r="GY850" s="3"/>
      <c r="GZ850" s="3"/>
      <c r="HA850" s="3"/>
      <c r="HB850" s="3"/>
    </row>
    <row r="851" spans="1:210" ht="15.75" customHeight="1">
      <c r="A851" s="50"/>
      <c r="B851" s="50"/>
      <c r="C851" s="50"/>
      <c r="D851" s="50"/>
      <c r="E851" s="50"/>
      <c r="F851" s="50"/>
      <c r="G851" s="51"/>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50"/>
      <c r="BJ851" s="50"/>
      <c r="BK851" s="50"/>
      <c r="BL851" s="50"/>
      <c r="BM851" s="50"/>
      <c r="BN851" s="50"/>
      <c r="BO851" s="50"/>
      <c r="BP851" s="50"/>
      <c r="BQ851" s="50"/>
      <c r="BR851" s="50"/>
      <c r="BS851" s="50"/>
      <c r="BT851" s="50"/>
      <c r="BU851" s="50"/>
      <c r="BV851" s="50"/>
      <c r="BW851" s="50"/>
      <c r="BX851" s="50"/>
      <c r="BY851" s="50"/>
      <c r="BZ851" s="50"/>
      <c r="CA851" s="50"/>
      <c r="CB851" s="50"/>
      <c r="CC851" s="50"/>
      <c r="CD851" s="52"/>
      <c r="CE851" s="50"/>
      <c r="CF851" s="50"/>
      <c r="CG851" s="50"/>
      <c r="CH851" s="50"/>
      <c r="CI851" s="50"/>
      <c r="CJ851" s="50"/>
      <c r="CK851" s="50"/>
      <c r="CL851" s="50"/>
      <c r="CM851" s="50"/>
      <c r="CN851" s="50"/>
      <c r="CO851" s="50"/>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c r="FF851" s="3"/>
      <c r="FG851" s="3"/>
      <c r="FH851" s="3"/>
      <c r="FI851" s="3"/>
      <c r="FJ851" s="3"/>
      <c r="FK851" s="3"/>
      <c r="FL851" s="3"/>
      <c r="FM851" s="3"/>
      <c r="FN851" s="3"/>
      <c r="FO851" s="3"/>
      <c r="FP851" s="3"/>
      <c r="FQ851" s="3"/>
      <c r="FR851" s="3"/>
      <c r="FS851" s="3"/>
      <c r="FT851" s="3"/>
      <c r="FU851" s="3"/>
      <c r="FV851" s="3"/>
      <c r="FW851" s="3"/>
      <c r="FX851" s="3"/>
      <c r="FY851" s="3"/>
      <c r="FZ851" s="3"/>
      <c r="GA851" s="3"/>
      <c r="GB851" s="3"/>
      <c r="GC851" s="3"/>
      <c r="GD851" s="3"/>
      <c r="GE851" s="3"/>
      <c r="GF851" s="3"/>
      <c r="GG851" s="3"/>
      <c r="GH851" s="3"/>
      <c r="GI851" s="3"/>
      <c r="GJ851" s="3"/>
      <c r="GK851" s="3"/>
      <c r="GL851" s="3"/>
      <c r="GM851" s="3"/>
      <c r="GN851" s="3"/>
      <c r="GO851" s="3"/>
      <c r="GP851" s="3"/>
      <c r="GQ851" s="3"/>
      <c r="GR851" s="3"/>
      <c r="GS851" s="3"/>
      <c r="GT851" s="3"/>
      <c r="GU851" s="3"/>
      <c r="GV851" s="3"/>
      <c r="GW851" s="3"/>
      <c r="GX851" s="3"/>
      <c r="GY851" s="3"/>
      <c r="GZ851" s="3"/>
      <c r="HA851" s="3"/>
      <c r="HB851" s="3"/>
    </row>
    <row r="852" spans="1:210" ht="15.75" customHeight="1">
      <c r="A852" s="50"/>
      <c r="B852" s="50"/>
      <c r="C852" s="50"/>
      <c r="D852" s="50"/>
      <c r="E852" s="50"/>
      <c r="F852" s="50"/>
      <c r="G852" s="51"/>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50"/>
      <c r="BJ852" s="50"/>
      <c r="BK852" s="50"/>
      <c r="BL852" s="50"/>
      <c r="BM852" s="50"/>
      <c r="BN852" s="50"/>
      <c r="BO852" s="50"/>
      <c r="BP852" s="50"/>
      <c r="BQ852" s="50"/>
      <c r="BR852" s="50"/>
      <c r="BS852" s="50"/>
      <c r="BT852" s="50"/>
      <c r="BU852" s="50"/>
      <c r="BV852" s="50"/>
      <c r="BW852" s="50"/>
      <c r="BX852" s="50"/>
      <c r="BY852" s="50"/>
      <c r="BZ852" s="50"/>
      <c r="CA852" s="50"/>
      <c r="CB852" s="50"/>
      <c r="CC852" s="50"/>
      <c r="CD852" s="52"/>
      <c r="CE852" s="50"/>
      <c r="CF852" s="50"/>
      <c r="CG852" s="50"/>
      <c r="CH852" s="50"/>
      <c r="CI852" s="50"/>
      <c r="CJ852" s="50"/>
      <c r="CK852" s="50"/>
      <c r="CL852" s="50"/>
      <c r="CM852" s="50"/>
      <c r="CN852" s="50"/>
      <c r="CO852" s="50"/>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c r="FF852" s="3"/>
      <c r="FG852" s="3"/>
      <c r="FH852" s="3"/>
      <c r="FI852" s="3"/>
      <c r="FJ852" s="3"/>
      <c r="FK852" s="3"/>
      <c r="FL852" s="3"/>
      <c r="FM852" s="3"/>
      <c r="FN852" s="3"/>
      <c r="FO852" s="3"/>
      <c r="FP852" s="3"/>
      <c r="FQ852" s="3"/>
      <c r="FR852" s="3"/>
      <c r="FS852" s="3"/>
      <c r="FT852" s="3"/>
      <c r="FU852" s="3"/>
      <c r="FV852" s="3"/>
      <c r="FW852" s="3"/>
      <c r="FX852" s="3"/>
      <c r="FY852" s="3"/>
      <c r="FZ852" s="3"/>
      <c r="GA852" s="3"/>
      <c r="GB852" s="3"/>
      <c r="GC852" s="3"/>
      <c r="GD852" s="3"/>
      <c r="GE852" s="3"/>
      <c r="GF852" s="3"/>
      <c r="GG852" s="3"/>
      <c r="GH852" s="3"/>
      <c r="GI852" s="3"/>
      <c r="GJ852" s="3"/>
      <c r="GK852" s="3"/>
      <c r="GL852" s="3"/>
      <c r="GM852" s="3"/>
      <c r="GN852" s="3"/>
      <c r="GO852" s="3"/>
      <c r="GP852" s="3"/>
      <c r="GQ852" s="3"/>
      <c r="GR852" s="3"/>
      <c r="GS852" s="3"/>
      <c r="GT852" s="3"/>
      <c r="GU852" s="3"/>
      <c r="GV852" s="3"/>
      <c r="GW852" s="3"/>
      <c r="GX852" s="3"/>
      <c r="GY852" s="3"/>
      <c r="GZ852" s="3"/>
      <c r="HA852" s="3"/>
      <c r="HB852" s="3"/>
    </row>
    <row r="853" spans="1:210" ht="15.75" customHeight="1">
      <c r="A853" s="50"/>
      <c r="B853" s="50"/>
      <c r="C853" s="50"/>
      <c r="D853" s="50"/>
      <c r="E853" s="50"/>
      <c r="F853" s="50"/>
      <c r="G853" s="51"/>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50"/>
      <c r="BJ853" s="50"/>
      <c r="BK853" s="50"/>
      <c r="BL853" s="50"/>
      <c r="BM853" s="50"/>
      <c r="BN853" s="50"/>
      <c r="BO853" s="50"/>
      <c r="BP853" s="50"/>
      <c r="BQ853" s="50"/>
      <c r="BR853" s="50"/>
      <c r="BS853" s="50"/>
      <c r="BT853" s="50"/>
      <c r="BU853" s="50"/>
      <c r="BV853" s="50"/>
      <c r="BW853" s="50"/>
      <c r="BX853" s="50"/>
      <c r="BY853" s="50"/>
      <c r="BZ853" s="50"/>
      <c r="CA853" s="50"/>
      <c r="CB853" s="50"/>
      <c r="CC853" s="50"/>
      <c r="CD853" s="52"/>
      <c r="CE853" s="50"/>
      <c r="CF853" s="50"/>
      <c r="CG853" s="50"/>
      <c r="CH853" s="50"/>
      <c r="CI853" s="50"/>
      <c r="CJ853" s="50"/>
      <c r="CK853" s="50"/>
      <c r="CL853" s="50"/>
      <c r="CM853" s="50"/>
      <c r="CN853" s="50"/>
      <c r="CO853" s="50"/>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c r="FF853" s="3"/>
      <c r="FG853" s="3"/>
      <c r="FH853" s="3"/>
      <c r="FI853" s="3"/>
      <c r="FJ853" s="3"/>
      <c r="FK853" s="3"/>
      <c r="FL853" s="3"/>
      <c r="FM853" s="3"/>
      <c r="FN853" s="3"/>
      <c r="FO853" s="3"/>
      <c r="FP853" s="3"/>
      <c r="FQ853" s="3"/>
      <c r="FR853" s="3"/>
      <c r="FS853" s="3"/>
      <c r="FT853" s="3"/>
      <c r="FU853" s="3"/>
      <c r="FV853" s="3"/>
      <c r="FW853" s="3"/>
      <c r="FX853" s="3"/>
      <c r="FY853" s="3"/>
      <c r="FZ853" s="3"/>
      <c r="GA853" s="3"/>
      <c r="GB853" s="3"/>
      <c r="GC853" s="3"/>
      <c r="GD853" s="3"/>
      <c r="GE853" s="3"/>
      <c r="GF853" s="3"/>
      <c r="GG853" s="3"/>
      <c r="GH853" s="3"/>
      <c r="GI853" s="3"/>
      <c r="GJ853" s="3"/>
      <c r="GK853" s="3"/>
      <c r="GL853" s="3"/>
      <c r="GM853" s="3"/>
      <c r="GN853" s="3"/>
      <c r="GO853" s="3"/>
      <c r="GP853" s="3"/>
      <c r="GQ853" s="3"/>
      <c r="GR853" s="3"/>
      <c r="GS853" s="3"/>
      <c r="GT853" s="3"/>
      <c r="GU853" s="3"/>
      <c r="GV853" s="3"/>
      <c r="GW853" s="3"/>
      <c r="GX853" s="3"/>
      <c r="GY853" s="3"/>
      <c r="GZ853" s="3"/>
      <c r="HA853" s="3"/>
      <c r="HB853" s="3"/>
    </row>
    <row r="854" spans="1:210" ht="15.75" customHeight="1">
      <c r="A854" s="50"/>
      <c r="B854" s="50"/>
      <c r="C854" s="50"/>
      <c r="D854" s="50"/>
      <c r="E854" s="50"/>
      <c r="F854" s="50"/>
      <c r="G854" s="51"/>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c r="AV854" s="50"/>
      <c r="AW854" s="50"/>
      <c r="AX854" s="50"/>
      <c r="AY854" s="50"/>
      <c r="AZ854" s="50"/>
      <c r="BA854" s="50"/>
      <c r="BB854" s="50"/>
      <c r="BC854" s="50"/>
      <c r="BD854" s="50"/>
      <c r="BE854" s="50"/>
      <c r="BF854" s="50"/>
      <c r="BG854" s="50"/>
      <c r="BH854" s="50"/>
      <c r="BI854" s="50"/>
      <c r="BJ854" s="50"/>
      <c r="BK854" s="50"/>
      <c r="BL854" s="50"/>
      <c r="BM854" s="50"/>
      <c r="BN854" s="50"/>
      <c r="BO854" s="50"/>
      <c r="BP854" s="50"/>
      <c r="BQ854" s="50"/>
      <c r="BR854" s="50"/>
      <c r="BS854" s="50"/>
      <c r="BT854" s="50"/>
      <c r="BU854" s="50"/>
      <c r="BV854" s="50"/>
      <c r="BW854" s="50"/>
      <c r="BX854" s="50"/>
      <c r="BY854" s="50"/>
      <c r="BZ854" s="50"/>
      <c r="CA854" s="50"/>
      <c r="CB854" s="50"/>
      <c r="CC854" s="50"/>
      <c r="CD854" s="52"/>
      <c r="CE854" s="50"/>
      <c r="CF854" s="50"/>
      <c r="CG854" s="50"/>
      <c r="CH854" s="50"/>
      <c r="CI854" s="50"/>
      <c r="CJ854" s="50"/>
      <c r="CK854" s="50"/>
      <c r="CL854" s="50"/>
      <c r="CM854" s="50"/>
      <c r="CN854" s="50"/>
      <c r="CO854" s="50"/>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c r="FF854" s="3"/>
      <c r="FG854" s="3"/>
      <c r="FH854" s="3"/>
      <c r="FI854" s="3"/>
      <c r="FJ854" s="3"/>
      <c r="FK854" s="3"/>
      <c r="FL854" s="3"/>
      <c r="FM854" s="3"/>
      <c r="FN854" s="3"/>
      <c r="FO854" s="3"/>
      <c r="FP854" s="3"/>
      <c r="FQ854" s="3"/>
      <c r="FR854" s="3"/>
      <c r="FS854" s="3"/>
      <c r="FT854" s="3"/>
      <c r="FU854" s="3"/>
      <c r="FV854" s="3"/>
      <c r="FW854" s="3"/>
      <c r="FX854" s="3"/>
      <c r="FY854" s="3"/>
      <c r="FZ854" s="3"/>
      <c r="GA854" s="3"/>
      <c r="GB854" s="3"/>
      <c r="GC854" s="3"/>
      <c r="GD854" s="3"/>
      <c r="GE854" s="3"/>
      <c r="GF854" s="3"/>
      <c r="GG854" s="3"/>
      <c r="GH854" s="3"/>
      <c r="GI854" s="3"/>
      <c r="GJ854" s="3"/>
      <c r="GK854" s="3"/>
      <c r="GL854" s="3"/>
      <c r="GM854" s="3"/>
      <c r="GN854" s="3"/>
      <c r="GO854" s="3"/>
      <c r="GP854" s="3"/>
      <c r="GQ854" s="3"/>
      <c r="GR854" s="3"/>
      <c r="GS854" s="3"/>
      <c r="GT854" s="3"/>
      <c r="GU854" s="3"/>
      <c r="GV854" s="3"/>
      <c r="GW854" s="3"/>
      <c r="GX854" s="3"/>
      <c r="GY854" s="3"/>
      <c r="GZ854" s="3"/>
      <c r="HA854" s="3"/>
      <c r="HB854" s="3"/>
    </row>
    <row r="855" spans="1:210" ht="15.75" customHeight="1">
      <c r="A855" s="50"/>
      <c r="B855" s="50"/>
      <c r="C855" s="50"/>
      <c r="D855" s="50"/>
      <c r="E855" s="50"/>
      <c r="F855" s="50"/>
      <c r="G855" s="51"/>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50"/>
      <c r="BJ855" s="50"/>
      <c r="BK855" s="50"/>
      <c r="BL855" s="50"/>
      <c r="BM855" s="50"/>
      <c r="BN855" s="50"/>
      <c r="BO855" s="50"/>
      <c r="BP855" s="50"/>
      <c r="BQ855" s="50"/>
      <c r="BR855" s="50"/>
      <c r="BS855" s="50"/>
      <c r="BT855" s="50"/>
      <c r="BU855" s="50"/>
      <c r="BV855" s="50"/>
      <c r="BW855" s="50"/>
      <c r="BX855" s="50"/>
      <c r="BY855" s="50"/>
      <c r="BZ855" s="50"/>
      <c r="CA855" s="50"/>
      <c r="CB855" s="50"/>
      <c r="CC855" s="50"/>
      <c r="CD855" s="52"/>
      <c r="CE855" s="50"/>
      <c r="CF855" s="50"/>
      <c r="CG855" s="50"/>
      <c r="CH855" s="50"/>
      <c r="CI855" s="50"/>
      <c r="CJ855" s="50"/>
      <c r="CK855" s="50"/>
      <c r="CL855" s="50"/>
      <c r="CM855" s="50"/>
      <c r="CN855" s="50"/>
      <c r="CO855" s="50"/>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c r="FF855" s="3"/>
      <c r="FG855" s="3"/>
      <c r="FH855" s="3"/>
      <c r="FI855" s="3"/>
      <c r="FJ855" s="3"/>
      <c r="FK855" s="3"/>
      <c r="FL855" s="3"/>
      <c r="FM855" s="3"/>
      <c r="FN855" s="3"/>
      <c r="FO855" s="3"/>
      <c r="FP855" s="3"/>
      <c r="FQ855" s="3"/>
      <c r="FR855" s="3"/>
      <c r="FS855" s="3"/>
      <c r="FT855" s="3"/>
      <c r="FU855" s="3"/>
      <c r="FV855" s="3"/>
      <c r="FW855" s="3"/>
      <c r="FX855" s="3"/>
      <c r="FY855" s="3"/>
      <c r="FZ855" s="3"/>
      <c r="GA855" s="3"/>
      <c r="GB855" s="3"/>
      <c r="GC855" s="3"/>
      <c r="GD855" s="3"/>
      <c r="GE855" s="3"/>
      <c r="GF855" s="3"/>
      <c r="GG855" s="3"/>
      <c r="GH855" s="3"/>
      <c r="GI855" s="3"/>
      <c r="GJ855" s="3"/>
      <c r="GK855" s="3"/>
      <c r="GL855" s="3"/>
      <c r="GM855" s="3"/>
      <c r="GN855" s="3"/>
      <c r="GO855" s="3"/>
      <c r="GP855" s="3"/>
      <c r="GQ855" s="3"/>
      <c r="GR855" s="3"/>
      <c r="GS855" s="3"/>
      <c r="GT855" s="3"/>
      <c r="GU855" s="3"/>
      <c r="GV855" s="3"/>
      <c r="GW855" s="3"/>
      <c r="GX855" s="3"/>
      <c r="GY855" s="3"/>
      <c r="GZ855" s="3"/>
      <c r="HA855" s="3"/>
      <c r="HB855" s="3"/>
    </row>
    <row r="856" spans="1:210" ht="15.75" customHeight="1">
      <c r="A856" s="50"/>
      <c r="B856" s="50"/>
      <c r="C856" s="50"/>
      <c r="D856" s="50"/>
      <c r="E856" s="50"/>
      <c r="F856" s="50"/>
      <c r="G856" s="51"/>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50"/>
      <c r="BJ856" s="50"/>
      <c r="BK856" s="50"/>
      <c r="BL856" s="50"/>
      <c r="BM856" s="50"/>
      <c r="BN856" s="50"/>
      <c r="BO856" s="50"/>
      <c r="BP856" s="50"/>
      <c r="BQ856" s="50"/>
      <c r="BR856" s="50"/>
      <c r="BS856" s="50"/>
      <c r="BT856" s="50"/>
      <c r="BU856" s="50"/>
      <c r="BV856" s="50"/>
      <c r="BW856" s="50"/>
      <c r="BX856" s="50"/>
      <c r="BY856" s="50"/>
      <c r="BZ856" s="50"/>
      <c r="CA856" s="50"/>
      <c r="CB856" s="50"/>
      <c r="CC856" s="50"/>
      <c r="CD856" s="52"/>
      <c r="CE856" s="50"/>
      <c r="CF856" s="50"/>
      <c r="CG856" s="50"/>
      <c r="CH856" s="50"/>
      <c r="CI856" s="50"/>
      <c r="CJ856" s="50"/>
      <c r="CK856" s="50"/>
      <c r="CL856" s="50"/>
      <c r="CM856" s="50"/>
      <c r="CN856" s="50"/>
      <c r="CO856" s="50"/>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c r="FF856" s="3"/>
      <c r="FG856" s="3"/>
      <c r="FH856" s="3"/>
      <c r="FI856" s="3"/>
      <c r="FJ856" s="3"/>
      <c r="FK856" s="3"/>
      <c r="FL856" s="3"/>
      <c r="FM856" s="3"/>
      <c r="FN856" s="3"/>
      <c r="FO856" s="3"/>
      <c r="FP856" s="3"/>
      <c r="FQ856" s="3"/>
      <c r="FR856" s="3"/>
      <c r="FS856" s="3"/>
      <c r="FT856" s="3"/>
      <c r="FU856" s="3"/>
      <c r="FV856" s="3"/>
      <c r="FW856" s="3"/>
      <c r="FX856" s="3"/>
      <c r="FY856" s="3"/>
      <c r="FZ856" s="3"/>
      <c r="GA856" s="3"/>
      <c r="GB856" s="3"/>
      <c r="GC856" s="3"/>
      <c r="GD856" s="3"/>
      <c r="GE856" s="3"/>
      <c r="GF856" s="3"/>
      <c r="GG856" s="3"/>
      <c r="GH856" s="3"/>
      <c r="GI856" s="3"/>
      <c r="GJ856" s="3"/>
      <c r="GK856" s="3"/>
      <c r="GL856" s="3"/>
      <c r="GM856" s="3"/>
      <c r="GN856" s="3"/>
      <c r="GO856" s="3"/>
      <c r="GP856" s="3"/>
      <c r="GQ856" s="3"/>
      <c r="GR856" s="3"/>
      <c r="GS856" s="3"/>
      <c r="GT856" s="3"/>
      <c r="GU856" s="3"/>
      <c r="GV856" s="3"/>
      <c r="GW856" s="3"/>
      <c r="GX856" s="3"/>
      <c r="GY856" s="3"/>
      <c r="GZ856" s="3"/>
      <c r="HA856" s="3"/>
      <c r="HB856" s="3"/>
    </row>
    <row r="857" spans="1:210" ht="15.75" customHeight="1">
      <c r="A857" s="50"/>
      <c r="B857" s="50"/>
      <c r="C857" s="50"/>
      <c r="D857" s="50"/>
      <c r="E857" s="50"/>
      <c r="F857" s="50"/>
      <c r="G857" s="51"/>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50"/>
      <c r="BJ857" s="50"/>
      <c r="BK857" s="50"/>
      <c r="BL857" s="50"/>
      <c r="BM857" s="50"/>
      <c r="BN857" s="50"/>
      <c r="BO857" s="50"/>
      <c r="BP857" s="50"/>
      <c r="BQ857" s="50"/>
      <c r="BR857" s="50"/>
      <c r="BS857" s="50"/>
      <c r="BT857" s="50"/>
      <c r="BU857" s="50"/>
      <c r="BV857" s="50"/>
      <c r="BW857" s="50"/>
      <c r="BX857" s="50"/>
      <c r="BY857" s="50"/>
      <c r="BZ857" s="50"/>
      <c r="CA857" s="50"/>
      <c r="CB857" s="50"/>
      <c r="CC857" s="50"/>
      <c r="CD857" s="52"/>
      <c r="CE857" s="50"/>
      <c r="CF857" s="50"/>
      <c r="CG857" s="50"/>
      <c r="CH857" s="50"/>
      <c r="CI857" s="50"/>
      <c r="CJ857" s="50"/>
      <c r="CK857" s="50"/>
      <c r="CL857" s="50"/>
      <c r="CM857" s="50"/>
      <c r="CN857" s="50"/>
      <c r="CO857" s="50"/>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c r="FF857" s="3"/>
      <c r="FG857" s="3"/>
      <c r="FH857" s="3"/>
      <c r="FI857" s="3"/>
      <c r="FJ857" s="3"/>
      <c r="FK857" s="3"/>
      <c r="FL857" s="3"/>
      <c r="FM857" s="3"/>
      <c r="FN857" s="3"/>
      <c r="FO857" s="3"/>
      <c r="FP857" s="3"/>
      <c r="FQ857" s="3"/>
      <c r="FR857" s="3"/>
      <c r="FS857" s="3"/>
      <c r="FT857" s="3"/>
      <c r="FU857" s="3"/>
      <c r="FV857" s="3"/>
      <c r="FW857" s="3"/>
      <c r="FX857" s="3"/>
      <c r="FY857" s="3"/>
      <c r="FZ857" s="3"/>
      <c r="GA857" s="3"/>
      <c r="GB857" s="3"/>
      <c r="GC857" s="3"/>
      <c r="GD857" s="3"/>
      <c r="GE857" s="3"/>
      <c r="GF857" s="3"/>
      <c r="GG857" s="3"/>
      <c r="GH857" s="3"/>
      <c r="GI857" s="3"/>
      <c r="GJ857" s="3"/>
      <c r="GK857" s="3"/>
      <c r="GL857" s="3"/>
      <c r="GM857" s="3"/>
      <c r="GN857" s="3"/>
      <c r="GO857" s="3"/>
      <c r="GP857" s="3"/>
      <c r="GQ857" s="3"/>
      <c r="GR857" s="3"/>
      <c r="GS857" s="3"/>
      <c r="GT857" s="3"/>
      <c r="GU857" s="3"/>
      <c r="GV857" s="3"/>
      <c r="GW857" s="3"/>
      <c r="GX857" s="3"/>
      <c r="GY857" s="3"/>
      <c r="GZ857" s="3"/>
      <c r="HA857" s="3"/>
      <c r="HB857" s="3"/>
    </row>
    <row r="858" spans="1:210" ht="15.75" customHeight="1">
      <c r="A858" s="50"/>
      <c r="B858" s="50"/>
      <c r="C858" s="50"/>
      <c r="D858" s="50"/>
      <c r="E858" s="50"/>
      <c r="F858" s="50"/>
      <c r="G858" s="51"/>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c r="AV858" s="50"/>
      <c r="AW858" s="50"/>
      <c r="AX858" s="50"/>
      <c r="AY858" s="50"/>
      <c r="AZ858" s="50"/>
      <c r="BA858" s="50"/>
      <c r="BB858" s="50"/>
      <c r="BC858" s="50"/>
      <c r="BD858" s="50"/>
      <c r="BE858" s="50"/>
      <c r="BF858" s="50"/>
      <c r="BG858" s="50"/>
      <c r="BH858" s="50"/>
      <c r="BI858" s="50"/>
      <c r="BJ858" s="50"/>
      <c r="BK858" s="50"/>
      <c r="BL858" s="50"/>
      <c r="BM858" s="50"/>
      <c r="BN858" s="50"/>
      <c r="BO858" s="50"/>
      <c r="BP858" s="50"/>
      <c r="BQ858" s="50"/>
      <c r="BR858" s="50"/>
      <c r="BS858" s="50"/>
      <c r="BT858" s="50"/>
      <c r="BU858" s="50"/>
      <c r="BV858" s="50"/>
      <c r="BW858" s="50"/>
      <c r="BX858" s="50"/>
      <c r="BY858" s="50"/>
      <c r="BZ858" s="50"/>
      <c r="CA858" s="50"/>
      <c r="CB858" s="50"/>
      <c r="CC858" s="50"/>
      <c r="CD858" s="52"/>
      <c r="CE858" s="50"/>
      <c r="CF858" s="50"/>
      <c r="CG858" s="50"/>
      <c r="CH858" s="50"/>
      <c r="CI858" s="50"/>
      <c r="CJ858" s="50"/>
      <c r="CK858" s="50"/>
      <c r="CL858" s="50"/>
      <c r="CM858" s="50"/>
      <c r="CN858" s="50"/>
      <c r="CO858" s="50"/>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c r="GE858" s="3"/>
      <c r="GF858" s="3"/>
      <c r="GG858" s="3"/>
      <c r="GH858" s="3"/>
      <c r="GI858" s="3"/>
      <c r="GJ858" s="3"/>
      <c r="GK858" s="3"/>
      <c r="GL858" s="3"/>
      <c r="GM858" s="3"/>
      <c r="GN858" s="3"/>
      <c r="GO858" s="3"/>
      <c r="GP858" s="3"/>
      <c r="GQ858" s="3"/>
      <c r="GR858" s="3"/>
      <c r="GS858" s="3"/>
      <c r="GT858" s="3"/>
      <c r="GU858" s="3"/>
      <c r="GV858" s="3"/>
      <c r="GW858" s="3"/>
      <c r="GX858" s="3"/>
      <c r="GY858" s="3"/>
      <c r="GZ858" s="3"/>
      <c r="HA858" s="3"/>
      <c r="HB858" s="3"/>
    </row>
    <row r="859" spans="1:210" ht="15.75" customHeight="1">
      <c r="A859" s="50"/>
      <c r="B859" s="50"/>
      <c r="C859" s="50"/>
      <c r="D859" s="50"/>
      <c r="E859" s="50"/>
      <c r="F859" s="50"/>
      <c r="G859" s="51"/>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c r="BS859" s="50"/>
      <c r="BT859" s="50"/>
      <c r="BU859" s="50"/>
      <c r="BV859" s="50"/>
      <c r="BW859" s="50"/>
      <c r="BX859" s="50"/>
      <c r="BY859" s="50"/>
      <c r="BZ859" s="50"/>
      <c r="CA859" s="50"/>
      <c r="CB859" s="50"/>
      <c r="CC859" s="50"/>
      <c r="CD859" s="52"/>
      <c r="CE859" s="50"/>
      <c r="CF859" s="50"/>
      <c r="CG859" s="50"/>
      <c r="CH859" s="50"/>
      <c r="CI859" s="50"/>
      <c r="CJ859" s="50"/>
      <c r="CK859" s="50"/>
      <c r="CL859" s="50"/>
      <c r="CM859" s="50"/>
      <c r="CN859" s="50"/>
      <c r="CO859" s="50"/>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c r="GE859" s="3"/>
      <c r="GF859" s="3"/>
      <c r="GG859" s="3"/>
      <c r="GH859" s="3"/>
      <c r="GI859" s="3"/>
      <c r="GJ859" s="3"/>
      <c r="GK859" s="3"/>
      <c r="GL859" s="3"/>
      <c r="GM859" s="3"/>
      <c r="GN859" s="3"/>
      <c r="GO859" s="3"/>
      <c r="GP859" s="3"/>
      <c r="GQ859" s="3"/>
      <c r="GR859" s="3"/>
      <c r="GS859" s="3"/>
      <c r="GT859" s="3"/>
      <c r="GU859" s="3"/>
      <c r="GV859" s="3"/>
      <c r="GW859" s="3"/>
      <c r="GX859" s="3"/>
      <c r="GY859" s="3"/>
      <c r="GZ859" s="3"/>
      <c r="HA859" s="3"/>
      <c r="HB859" s="3"/>
    </row>
    <row r="860" spans="1:210" ht="15.75" customHeight="1">
      <c r="A860" s="50"/>
      <c r="B860" s="50"/>
      <c r="C860" s="50"/>
      <c r="D860" s="50"/>
      <c r="E860" s="50"/>
      <c r="F860" s="50"/>
      <c r="G860" s="51"/>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c r="BS860" s="50"/>
      <c r="BT860" s="50"/>
      <c r="BU860" s="50"/>
      <c r="BV860" s="50"/>
      <c r="BW860" s="50"/>
      <c r="BX860" s="50"/>
      <c r="BY860" s="50"/>
      <c r="BZ860" s="50"/>
      <c r="CA860" s="50"/>
      <c r="CB860" s="50"/>
      <c r="CC860" s="50"/>
      <c r="CD860" s="52"/>
      <c r="CE860" s="50"/>
      <c r="CF860" s="50"/>
      <c r="CG860" s="50"/>
      <c r="CH860" s="50"/>
      <c r="CI860" s="50"/>
      <c r="CJ860" s="50"/>
      <c r="CK860" s="50"/>
      <c r="CL860" s="50"/>
      <c r="CM860" s="50"/>
      <c r="CN860" s="50"/>
      <c r="CO860" s="50"/>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c r="GE860" s="3"/>
      <c r="GF860" s="3"/>
      <c r="GG860" s="3"/>
      <c r="GH860" s="3"/>
      <c r="GI860" s="3"/>
      <c r="GJ860" s="3"/>
      <c r="GK860" s="3"/>
      <c r="GL860" s="3"/>
      <c r="GM860" s="3"/>
      <c r="GN860" s="3"/>
      <c r="GO860" s="3"/>
      <c r="GP860" s="3"/>
      <c r="GQ860" s="3"/>
      <c r="GR860" s="3"/>
      <c r="GS860" s="3"/>
      <c r="GT860" s="3"/>
      <c r="GU860" s="3"/>
      <c r="GV860" s="3"/>
      <c r="GW860" s="3"/>
      <c r="GX860" s="3"/>
      <c r="GY860" s="3"/>
      <c r="GZ860" s="3"/>
      <c r="HA860" s="3"/>
      <c r="HB860" s="3"/>
    </row>
    <row r="861" spans="1:210" ht="15.75" customHeight="1">
      <c r="A861" s="50"/>
      <c r="B861" s="50"/>
      <c r="C861" s="50"/>
      <c r="D861" s="50"/>
      <c r="E861" s="50"/>
      <c r="F861" s="50"/>
      <c r="G861" s="51"/>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c r="BS861" s="50"/>
      <c r="BT861" s="50"/>
      <c r="BU861" s="50"/>
      <c r="BV861" s="50"/>
      <c r="BW861" s="50"/>
      <c r="BX861" s="50"/>
      <c r="BY861" s="50"/>
      <c r="BZ861" s="50"/>
      <c r="CA861" s="50"/>
      <c r="CB861" s="50"/>
      <c r="CC861" s="50"/>
      <c r="CD861" s="52"/>
      <c r="CE861" s="50"/>
      <c r="CF861" s="50"/>
      <c r="CG861" s="50"/>
      <c r="CH861" s="50"/>
      <c r="CI861" s="50"/>
      <c r="CJ861" s="50"/>
      <c r="CK861" s="50"/>
      <c r="CL861" s="50"/>
      <c r="CM861" s="50"/>
      <c r="CN861" s="50"/>
      <c r="CO861" s="50"/>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c r="GE861" s="3"/>
      <c r="GF861" s="3"/>
      <c r="GG861" s="3"/>
      <c r="GH861" s="3"/>
      <c r="GI861" s="3"/>
      <c r="GJ861" s="3"/>
      <c r="GK861" s="3"/>
      <c r="GL861" s="3"/>
      <c r="GM861" s="3"/>
      <c r="GN861" s="3"/>
      <c r="GO861" s="3"/>
      <c r="GP861" s="3"/>
      <c r="GQ861" s="3"/>
      <c r="GR861" s="3"/>
      <c r="GS861" s="3"/>
      <c r="GT861" s="3"/>
      <c r="GU861" s="3"/>
      <c r="GV861" s="3"/>
      <c r="GW861" s="3"/>
      <c r="GX861" s="3"/>
      <c r="GY861" s="3"/>
      <c r="GZ861" s="3"/>
      <c r="HA861" s="3"/>
      <c r="HB861" s="3"/>
    </row>
    <row r="862" spans="1:210" ht="15.75" customHeight="1">
      <c r="A862" s="50"/>
      <c r="B862" s="50"/>
      <c r="C862" s="50"/>
      <c r="D862" s="50"/>
      <c r="E862" s="50"/>
      <c r="F862" s="50"/>
      <c r="G862" s="51"/>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c r="AV862" s="50"/>
      <c r="AW862" s="50"/>
      <c r="AX862" s="50"/>
      <c r="AY862" s="50"/>
      <c r="AZ862" s="50"/>
      <c r="BA862" s="50"/>
      <c r="BB862" s="50"/>
      <c r="BC862" s="50"/>
      <c r="BD862" s="50"/>
      <c r="BE862" s="50"/>
      <c r="BF862" s="50"/>
      <c r="BG862" s="50"/>
      <c r="BH862" s="50"/>
      <c r="BI862" s="50"/>
      <c r="BJ862" s="50"/>
      <c r="BK862" s="50"/>
      <c r="BL862" s="50"/>
      <c r="BM862" s="50"/>
      <c r="BN862" s="50"/>
      <c r="BO862" s="50"/>
      <c r="BP862" s="50"/>
      <c r="BQ862" s="50"/>
      <c r="BR862" s="50"/>
      <c r="BS862" s="50"/>
      <c r="BT862" s="50"/>
      <c r="BU862" s="50"/>
      <c r="BV862" s="50"/>
      <c r="BW862" s="50"/>
      <c r="BX862" s="50"/>
      <c r="BY862" s="50"/>
      <c r="BZ862" s="50"/>
      <c r="CA862" s="50"/>
      <c r="CB862" s="50"/>
      <c r="CC862" s="50"/>
      <c r="CD862" s="52"/>
      <c r="CE862" s="50"/>
      <c r="CF862" s="50"/>
      <c r="CG862" s="50"/>
      <c r="CH862" s="50"/>
      <c r="CI862" s="50"/>
      <c r="CJ862" s="50"/>
      <c r="CK862" s="50"/>
      <c r="CL862" s="50"/>
      <c r="CM862" s="50"/>
      <c r="CN862" s="50"/>
      <c r="CO862" s="50"/>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c r="GE862" s="3"/>
      <c r="GF862" s="3"/>
      <c r="GG862" s="3"/>
      <c r="GH862" s="3"/>
      <c r="GI862" s="3"/>
      <c r="GJ862" s="3"/>
      <c r="GK862" s="3"/>
      <c r="GL862" s="3"/>
      <c r="GM862" s="3"/>
      <c r="GN862" s="3"/>
      <c r="GO862" s="3"/>
      <c r="GP862" s="3"/>
      <c r="GQ862" s="3"/>
      <c r="GR862" s="3"/>
      <c r="GS862" s="3"/>
      <c r="GT862" s="3"/>
      <c r="GU862" s="3"/>
      <c r="GV862" s="3"/>
      <c r="GW862" s="3"/>
      <c r="GX862" s="3"/>
      <c r="GY862" s="3"/>
      <c r="GZ862" s="3"/>
      <c r="HA862" s="3"/>
      <c r="HB862" s="3"/>
    </row>
    <row r="863" spans="1:210" ht="15.75" customHeight="1">
      <c r="A863" s="50"/>
      <c r="B863" s="50"/>
      <c r="C863" s="50"/>
      <c r="D863" s="50"/>
      <c r="E863" s="50"/>
      <c r="F863" s="50"/>
      <c r="G863" s="51"/>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c r="BS863" s="50"/>
      <c r="BT863" s="50"/>
      <c r="BU863" s="50"/>
      <c r="BV863" s="50"/>
      <c r="BW863" s="50"/>
      <c r="BX863" s="50"/>
      <c r="BY863" s="50"/>
      <c r="BZ863" s="50"/>
      <c r="CA863" s="50"/>
      <c r="CB863" s="50"/>
      <c r="CC863" s="50"/>
      <c r="CD863" s="52"/>
      <c r="CE863" s="50"/>
      <c r="CF863" s="50"/>
      <c r="CG863" s="50"/>
      <c r="CH863" s="50"/>
      <c r="CI863" s="50"/>
      <c r="CJ863" s="50"/>
      <c r="CK863" s="50"/>
      <c r="CL863" s="50"/>
      <c r="CM863" s="50"/>
      <c r="CN863" s="50"/>
      <c r="CO863" s="50"/>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c r="FF863" s="3"/>
      <c r="FG863" s="3"/>
      <c r="FH863" s="3"/>
      <c r="FI863" s="3"/>
      <c r="FJ863" s="3"/>
      <c r="FK863" s="3"/>
      <c r="FL863" s="3"/>
      <c r="FM863" s="3"/>
      <c r="FN863" s="3"/>
      <c r="FO863" s="3"/>
      <c r="FP863" s="3"/>
      <c r="FQ863" s="3"/>
      <c r="FR863" s="3"/>
      <c r="FS863" s="3"/>
      <c r="FT863" s="3"/>
      <c r="FU863" s="3"/>
      <c r="FV863" s="3"/>
      <c r="FW863" s="3"/>
      <c r="FX863" s="3"/>
      <c r="FY863" s="3"/>
      <c r="FZ863" s="3"/>
      <c r="GA863" s="3"/>
      <c r="GB863" s="3"/>
      <c r="GC863" s="3"/>
      <c r="GD863" s="3"/>
      <c r="GE863" s="3"/>
      <c r="GF863" s="3"/>
      <c r="GG863" s="3"/>
      <c r="GH863" s="3"/>
      <c r="GI863" s="3"/>
      <c r="GJ863" s="3"/>
      <c r="GK863" s="3"/>
      <c r="GL863" s="3"/>
      <c r="GM863" s="3"/>
      <c r="GN863" s="3"/>
      <c r="GO863" s="3"/>
      <c r="GP863" s="3"/>
      <c r="GQ863" s="3"/>
      <c r="GR863" s="3"/>
      <c r="GS863" s="3"/>
      <c r="GT863" s="3"/>
      <c r="GU863" s="3"/>
      <c r="GV863" s="3"/>
      <c r="GW863" s="3"/>
      <c r="GX863" s="3"/>
      <c r="GY863" s="3"/>
      <c r="GZ863" s="3"/>
      <c r="HA863" s="3"/>
      <c r="HB863" s="3"/>
    </row>
    <row r="864" spans="1:210" ht="15.75" customHeight="1">
      <c r="A864" s="50"/>
      <c r="B864" s="50"/>
      <c r="C864" s="50"/>
      <c r="D864" s="50"/>
      <c r="E864" s="50"/>
      <c r="F864" s="50"/>
      <c r="G864" s="51"/>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c r="BS864" s="50"/>
      <c r="BT864" s="50"/>
      <c r="BU864" s="50"/>
      <c r="BV864" s="50"/>
      <c r="BW864" s="50"/>
      <c r="BX864" s="50"/>
      <c r="BY864" s="50"/>
      <c r="BZ864" s="50"/>
      <c r="CA864" s="50"/>
      <c r="CB864" s="50"/>
      <c r="CC864" s="50"/>
      <c r="CD864" s="52"/>
      <c r="CE864" s="50"/>
      <c r="CF864" s="50"/>
      <c r="CG864" s="50"/>
      <c r="CH864" s="50"/>
      <c r="CI864" s="50"/>
      <c r="CJ864" s="50"/>
      <c r="CK864" s="50"/>
      <c r="CL864" s="50"/>
      <c r="CM864" s="50"/>
      <c r="CN864" s="50"/>
      <c r="CO864" s="50"/>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c r="GE864" s="3"/>
      <c r="GF864" s="3"/>
      <c r="GG864" s="3"/>
      <c r="GH864" s="3"/>
      <c r="GI864" s="3"/>
      <c r="GJ864" s="3"/>
      <c r="GK864" s="3"/>
      <c r="GL864" s="3"/>
      <c r="GM864" s="3"/>
      <c r="GN864" s="3"/>
      <c r="GO864" s="3"/>
      <c r="GP864" s="3"/>
      <c r="GQ864" s="3"/>
      <c r="GR864" s="3"/>
      <c r="GS864" s="3"/>
      <c r="GT864" s="3"/>
      <c r="GU864" s="3"/>
      <c r="GV864" s="3"/>
      <c r="GW864" s="3"/>
      <c r="GX864" s="3"/>
      <c r="GY864" s="3"/>
      <c r="GZ864" s="3"/>
      <c r="HA864" s="3"/>
      <c r="HB864" s="3"/>
    </row>
    <row r="865" spans="1:210" ht="15.75" customHeight="1">
      <c r="A865" s="50"/>
      <c r="B865" s="50"/>
      <c r="C865" s="50"/>
      <c r="D865" s="50"/>
      <c r="E865" s="50"/>
      <c r="F865" s="50"/>
      <c r="G865" s="51"/>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c r="BS865" s="50"/>
      <c r="BT865" s="50"/>
      <c r="BU865" s="50"/>
      <c r="BV865" s="50"/>
      <c r="BW865" s="50"/>
      <c r="BX865" s="50"/>
      <c r="BY865" s="50"/>
      <c r="BZ865" s="50"/>
      <c r="CA865" s="50"/>
      <c r="CB865" s="50"/>
      <c r="CC865" s="50"/>
      <c r="CD865" s="52"/>
      <c r="CE865" s="50"/>
      <c r="CF865" s="50"/>
      <c r="CG865" s="50"/>
      <c r="CH865" s="50"/>
      <c r="CI865" s="50"/>
      <c r="CJ865" s="50"/>
      <c r="CK865" s="50"/>
      <c r="CL865" s="50"/>
      <c r="CM865" s="50"/>
      <c r="CN865" s="50"/>
      <c r="CO865" s="50"/>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c r="GE865" s="3"/>
      <c r="GF865" s="3"/>
      <c r="GG865" s="3"/>
      <c r="GH865" s="3"/>
      <c r="GI865" s="3"/>
      <c r="GJ865" s="3"/>
      <c r="GK865" s="3"/>
      <c r="GL865" s="3"/>
      <c r="GM865" s="3"/>
      <c r="GN865" s="3"/>
      <c r="GO865" s="3"/>
      <c r="GP865" s="3"/>
      <c r="GQ865" s="3"/>
      <c r="GR865" s="3"/>
      <c r="GS865" s="3"/>
      <c r="GT865" s="3"/>
      <c r="GU865" s="3"/>
      <c r="GV865" s="3"/>
      <c r="GW865" s="3"/>
      <c r="GX865" s="3"/>
      <c r="GY865" s="3"/>
      <c r="GZ865" s="3"/>
      <c r="HA865" s="3"/>
      <c r="HB865" s="3"/>
    </row>
    <row r="866" spans="1:210" ht="15.75" customHeight="1">
      <c r="A866" s="50"/>
      <c r="B866" s="50"/>
      <c r="C866" s="50"/>
      <c r="D866" s="50"/>
      <c r="E866" s="50"/>
      <c r="F866" s="50"/>
      <c r="G866" s="51"/>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c r="BB866" s="50"/>
      <c r="BC866" s="50"/>
      <c r="BD866" s="50"/>
      <c r="BE866" s="50"/>
      <c r="BF866" s="50"/>
      <c r="BG866" s="50"/>
      <c r="BH866" s="50"/>
      <c r="BI866" s="50"/>
      <c r="BJ866" s="50"/>
      <c r="BK866" s="50"/>
      <c r="BL866" s="50"/>
      <c r="BM866" s="50"/>
      <c r="BN866" s="50"/>
      <c r="BO866" s="50"/>
      <c r="BP866" s="50"/>
      <c r="BQ866" s="50"/>
      <c r="BR866" s="50"/>
      <c r="BS866" s="50"/>
      <c r="BT866" s="50"/>
      <c r="BU866" s="50"/>
      <c r="BV866" s="50"/>
      <c r="BW866" s="50"/>
      <c r="BX866" s="50"/>
      <c r="BY866" s="50"/>
      <c r="BZ866" s="50"/>
      <c r="CA866" s="50"/>
      <c r="CB866" s="50"/>
      <c r="CC866" s="50"/>
      <c r="CD866" s="52"/>
      <c r="CE866" s="50"/>
      <c r="CF866" s="50"/>
      <c r="CG866" s="50"/>
      <c r="CH866" s="50"/>
      <c r="CI866" s="50"/>
      <c r="CJ866" s="50"/>
      <c r="CK866" s="50"/>
      <c r="CL866" s="50"/>
      <c r="CM866" s="50"/>
      <c r="CN866" s="50"/>
      <c r="CO866" s="50"/>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c r="GE866" s="3"/>
      <c r="GF866" s="3"/>
      <c r="GG866" s="3"/>
      <c r="GH866" s="3"/>
      <c r="GI866" s="3"/>
      <c r="GJ866" s="3"/>
      <c r="GK866" s="3"/>
      <c r="GL866" s="3"/>
      <c r="GM866" s="3"/>
      <c r="GN866" s="3"/>
      <c r="GO866" s="3"/>
      <c r="GP866" s="3"/>
      <c r="GQ866" s="3"/>
      <c r="GR866" s="3"/>
      <c r="GS866" s="3"/>
      <c r="GT866" s="3"/>
      <c r="GU866" s="3"/>
      <c r="GV866" s="3"/>
      <c r="GW866" s="3"/>
      <c r="GX866" s="3"/>
      <c r="GY866" s="3"/>
      <c r="GZ866" s="3"/>
      <c r="HA866" s="3"/>
      <c r="HB866" s="3"/>
    </row>
    <row r="867" spans="1:210" ht="15.75" customHeight="1">
      <c r="A867" s="50"/>
      <c r="B867" s="50"/>
      <c r="C867" s="50"/>
      <c r="D867" s="50"/>
      <c r="E867" s="50"/>
      <c r="F867" s="50"/>
      <c r="G867" s="51"/>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c r="BS867" s="50"/>
      <c r="BT867" s="50"/>
      <c r="BU867" s="50"/>
      <c r="BV867" s="50"/>
      <c r="BW867" s="50"/>
      <c r="BX867" s="50"/>
      <c r="BY867" s="50"/>
      <c r="BZ867" s="50"/>
      <c r="CA867" s="50"/>
      <c r="CB867" s="50"/>
      <c r="CC867" s="50"/>
      <c r="CD867" s="52"/>
      <c r="CE867" s="50"/>
      <c r="CF867" s="50"/>
      <c r="CG867" s="50"/>
      <c r="CH867" s="50"/>
      <c r="CI867" s="50"/>
      <c r="CJ867" s="50"/>
      <c r="CK867" s="50"/>
      <c r="CL867" s="50"/>
      <c r="CM867" s="50"/>
      <c r="CN867" s="50"/>
      <c r="CO867" s="50"/>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c r="GE867" s="3"/>
      <c r="GF867" s="3"/>
      <c r="GG867" s="3"/>
      <c r="GH867" s="3"/>
      <c r="GI867" s="3"/>
      <c r="GJ867" s="3"/>
      <c r="GK867" s="3"/>
      <c r="GL867" s="3"/>
      <c r="GM867" s="3"/>
      <c r="GN867" s="3"/>
      <c r="GO867" s="3"/>
      <c r="GP867" s="3"/>
      <c r="GQ867" s="3"/>
      <c r="GR867" s="3"/>
      <c r="GS867" s="3"/>
      <c r="GT867" s="3"/>
      <c r="GU867" s="3"/>
      <c r="GV867" s="3"/>
      <c r="GW867" s="3"/>
      <c r="GX867" s="3"/>
      <c r="GY867" s="3"/>
      <c r="GZ867" s="3"/>
      <c r="HA867" s="3"/>
      <c r="HB867" s="3"/>
    </row>
    <row r="868" spans="1:210" ht="15.75" customHeight="1">
      <c r="A868" s="50"/>
      <c r="B868" s="50"/>
      <c r="C868" s="50"/>
      <c r="D868" s="50"/>
      <c r="E868" s="50"/>
      <c r="F868" s="50"/>
      <c r="G868" s="51"/>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c r="BS868" s="50"/>
      <c r="BT868" s="50"/>
      <c r="BU868" s="50"/>
      <c r="BV868" s="50"/>
      <c r="BW868" s="50"/>
      <c r="BX868" s="50"/>
      <c r="BY868" s="50"/>
      <c r="BZ868" s="50"/>
      <c r="CA868" s="50"/>
      <c r="CB868" s="50"/>
      <c r="CC868" s="50"/>
      <c r="CD868" s="52"/>
      <c r="CE868" s="50"/>
      <c r="CF868" s="50"/>
      <c r="CG868" s="50"/>
      <c r="CH868" s="50"/>
      <c r="CI868" s="50"/>
      <c r="CJ868" s="50"/>
      <c r="CK868" s="50"/>
      <c r="CL868" s="50"/>
      <c r="CM868" s="50"/>
      <c r="CN868" s="50"/>
      <c r="CO868" s="50"/>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c r="GE868" s="3"/>
      <c r="GF868" s="3"/>
      <c r="GG868" s="3"/>
      <c r="GH868" s="3"/>
      <c r="GI868" s="3"/>
      <c r="GJ868" s="3"/>
      <c r="GK868" s="3"/>
      <c r="GL868" s="3"/>
      <c r="GM868" s="3"/>
      <c r="GN868" s="3"/>
      <c r="GO868" s="3"/>
      <c r="GP868" s="3"/>
      <c r="GQ868" s="3"/>
      <c r="GR868" s="3"/>
      <c r="GS868" s="3"/>
      <c r="GT868" s="3"/>
      <c r="GU868" s="3"/>
      <c r="GV868" s="3"/>
      <c r="GW868" s="3"/>
      <c r="GX868" s="3"/>
      <c r="GY868" s="3"/>
      <c r="GZ868" s="3"/>
      <c r="HA868" s="3"/>
      <c r="HB868" s="3"/>
    </row>
    <row r="869" spans="1:210" ht="15.75" customHeight="1">
      <c r="A869" s="50"/>
      <c r="B869" s="50"/>
      <c r="C869" s="50"/>
      <c r="D869" s="50"/>
      <c r="E869" s="50"/>
      <c r="F869" s="50"/>
      <c r="G869" s="51"/>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c r="BS869" s="50"/>
      <c r="BT869" s="50"/>
      <c r="BU869" s="50"/>
      <c r="BV869" s="50"/>
      <c r="BW869" s="50"/>
      <c r="BX869" s="50"/>
      <c r="BY869" s="50"/>
      <c r="BZ869" s="50"/>
      <c r="CA869" s="50"/>
      <c r="CB869" s="50"/>
      <c r="CC869" s="50"/>
      <c r="CD869" s="52"/>
      <c r="CE869" s="50"/>
      <c r="CF869" s="50"/>
      <c r="CG869" s="50"/>
      <c r="CH869" s="50"/>
      <c r="CI869" s="50"/>
      <c r="CJ869" s="50"/>
      <c r="CK869" s="50"/>
      <c r="CL869" s="50"/>
      <c r="CM869" s="50"/>
      <c r="CN869" s="50"/>
      <c r="CO869" s="50"/>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c r="GE869" s="3"/>
      <c r="GF869" s="3"/>
      <c r="GG869" s="3"/>
      <c r="GH869" s="3"/>
      <c r="GI869" s="3"/>
      <c r="GJ869" s="3"/>
      <c r="GK869" s="3"/>
      <c r="GL869" s="3"/>
      <c r="GM869" s="3"/>
      <c r="GN869" s="3"/>
      <c r="GO869" s="3"/>
      <c r="GP869" s="3"/>
      <c r="GQ869" s="3"/>
      <c r="GR869" s="3"/>
      <c r="GS869" s="3"/>
      <c r="GT869" s="3"/>
      <c r="GU869" s="3"/>
      <c r="GV869" s="3"/>
      <c r="GW869" s="3"/>
      <c r="GX869" s="3"/>
      <c r="GY869" s="3"/>
      <c r="GZ869" s="3"/>
      <c r="HA869" s="3"/>
      <c r="HB869" s="3"/>
    </row>
    <row r="870" spans="1:210" ht="15.75" customHeight="1">
      <c r="A870" s="50"/>
      <c r="B870" s="50"/>
      <c r="C870" s="50"/>
      <c r="D870" s="50"/>
      <c r="E870" s="50"/>
      <c r="F870" s="50"/>
      <c r="G870" s="51"/>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c r="BS870" s="50"/>
      <c r="BT870" s="50"/>
      <c r="BU870" s="50"/>
      <c r="BV870" s="50"/>
      <c r="BW870" s="50"/>
      <c r="BX870" s="50"/>
      <c r="BY870" s="50"/>
      <c r="BZ870" s="50"/>
      <c r="CA870" s="50"/>
      <c r="CB870" s="50"/>
      <c r="CC870" s="50"/>
      <c r="CD870" s="52"/>
      <c r="CE870" s="50"/>
      <c r="CF870" s="50"/>
      <c r="CG870" s="50"/>
      <c r="CH870" s="50"/>
      <c r="CI870" s="50"/>
      <c r="CJ870" s="50"/>
      <c r="CK870" s="50"/>
      <c r="CL870" s="50"/>
      <c r="CM870" s="50"/>
      <c r="CN870" s="50"/>
      <c r="CO870" s="50"/>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c r="GE870" s="3"/>
      <c r="GF870" s="3"/>
      <c r="GG870" s="3"/>
      <c r="GH870" s="3"/>
      <c r="GI870" s="3"/>
      <c r="GJ870" s="3"/>
      <c r="GK870" s="3"/>
      <c r="GL870" s="3"/>
      <c r="GM870" s="3"/>
      <c r="GN870" s="3"/>
      <c r="GO870" s="3"/>
      <c r="GP870" s="3"/>
      <c r="GQ870" s="3"/>
      <c r="GR870" s="3"/>
      <c r="GS870" s="3"/>
      <c r="GT870" s="3"/>
      <c r="GU870" s="3"/>
      <c r="GV870" s="3"/>
      <c r="GW870" s="3"/>
      <c r="GX870" s="3"/>
      <c r="GY870" s="3"/>
      <c r="GZ870" s="3"/>
      <c r="HA870" s="3"/>
      <c r="HB870" s="3"/>
    </row>
    <row r="871" spans="1:210" ht="15.75" customHeight="1">
      <c r="A871" s="50"/>
      <c r="B871" s="50"/>
      <c r="C871" s="50"/>
      <c r="D871" s="50"/>
      <c r="E871" s="50"/>
      <c r="F871" s="50"/>
      <c r="G871" s="51"/>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c r="BS871" s="50"/>
      <c r="BT871" s="50"/>
      <c r="BU871" s="50"/>
      <c r="BV871" s="50"/>
      <c r="BW871" s="50"/>
      <c r="BX871" s="50"/>
      <c r="BY871" s="50"/>
      <c r="BZ871" s="50"/>
      <c r="CA871" s="50"/>
      <c r="CB871" s="50"/>
      <c r="CC871" s="50"/>
      <c r="CD871" s="52"/>
      <c r="CE871" s="50"/>
      <c r="CF871" s="50"/>
      <c r="CG871" s="50"/>
      <c r="CH871" s="50"/>
      <c r="CI871" s="50"/>
      <c r="CJ871" s="50"/>
      <c r="CK871" s="50"/>
      <c r="CL871" s="50"/>
      <c r="CM871" s="50"/>
      <c r="CN871" s="50"/>
      <c r="CO871" s="50"/>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c r="FF871" s="3"/>
      <c r="FG871" s="3"/>
      <c r="FH871" s="3"/>
      <c r="FI871" s="3"/>
      <c r="FJ871" s="3"/>
      <c r="FK871" s="3"/>
      <c r="FL871" s="3"/>
      <c r="FM871" s="3"/>
      <c r="FN871" s="3"/>
      <c r="FO871" s="3"/>
      <c r="FP871" s="3"/>
      <c r="FQ871" s="3"/>
      <c r="FR871" s="3"/>
      <c r="FS871" s="3"/>
      <c r="FT871" s="3"/>
      <c r="FU871" s="3"/>
      <c r="FV871" s="3"/>
      <c r="FW871" s="3"/>
      <c r="FX871" s="3"/>
      <c r="FY871" s="3"/>
      <c r="FZ871" s="3"/>
      <c r="GA871" s="3"/>
      <c r="GB871" s="3"/>
      <c r="GC871" s="3"/>
      <c r="GD871" s="3"/>
      <c r="GE871" s="3"/>
      <c r="GF871" s="3"/>
      <c r="GG871" s="3"/>
      <c r="GH871" s="3"/>
      <c r="GI871" s="3"/>
      <c r="GJ871" s="3"/>
      <c r="GK871" s="3"/>
      <c r="GL871" s="3"/>
      <c r="GM871" s="3"/>
      <c r="GN871" s="3"/>
      <c r="GO871" s="3"/>
      <c r="GP871" s="3"/>
      <c r="GQ871" s="3"/>
      <c r="GR871" s="3"/>
      <c r="GS871" s="3"/>
      <c r="GT871" s="3"/>
      <c r="GU871" s="3"/>
      <c r="GV871" s="3"/>
      <c r="GW871" s="3"/>
      <c r="GX871" s="3"/>
      <c r="GY871" s="3"/>
      <c r="GZ871" s="3"/>
      <c r="HA871" s="3"/>
      <c r="HB871" s="3"/>
    </row>
    <row r="872" spans="1:210" ht="15.75" customHeight="1">
      <c r="A872" s="50"/>
      <c r="B872" s="50"/>
      <c r="C872" s="50"/>
      <c r="D872" s="50"/>
      <c r="E872" s="50"/>
      <c r="F872" s="50"/>
      <c r="G872" s="51"/>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c r="BS872" s="50"/>
      <c r="BT872" s="50"/>
      <c r="BU872" s="50"/>
      <c r="BV872" s="50"/>
      <c r="BW872" s="50"/>
      <c r="BX872" s="50"/>
      <c r="BY872" s="50"/>
      <c r="BZ872" s="50"/>
      <c r="CA872" s="50"/>
      <c r="CB872" s="50"/>
      <c r="CC872" s="50"/>
      <c r="CD872" s="52"/>
      <c r="CE872" s="50"/>
      <c r="CF872" s="50"/>
      <c r="CG872" s="50"/>
      <c r="CH872" s="50"/>
      <c r="CI872" s="50"/>
      <c r="CJ872" s="50"/>
      <c r="CK872" s="50"/>
      <c r="CL872" s="50"/>
      <c r="CM872" s="50"/>
      <c r="CN872" s="50"/>
      <c r="CO872" s="50"/>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c r="FF872" s="3"/>
      <c r="FG872" s="3"/>
      <c r="FH872" s="3"/>
      <c r="FI872" s="3"/>
      <c r="FJ872" s="3"/>
      <c r="FK872" s="3"/>
      <c r="FL872" s="3"/>
      <c r="FM872" s="3"/>
      <c r="FN872" s="3"/>
      <c r="FO872" s="3"/>
      <c r="FP872" s="3"/>
      <c r="FQ872" s="3"/>
      <c r="FR872" s="3"/>
      <c r="FS872" s="3"/>
      <c r="FT872" s="3"/>
      <c r="FU872" s="3"/>
      <c r="FV872" s="3"/>
      <c r="FW872" s="3"/>
      <c r="FX872" s="3"/>
      <c r="FY872" s="3"/>
      <c r="FZ872" s="3"/>
      <c r="GA872" s="3"/>
      <c r="GB872" s="3"/>
      <c r="GC872" s="3"/>
      <c r="GD872" s="3"/>
      <c r="GE872" s="3"/>
      <c r="GF872" s="3"/>
      <c r="GG872" s="3"/>
      <c r="GH872" s="3"/>
      <c r="GI872" s="3"/>
      <c r="GJ872" s="3"/>
      <c r="GK872" s="3"/>
      <c r="GL872" s="3"/>
      <c r="GM872" s="3"/>
      <c r="GN872" s="3"/>
      <c r="GO872" s="3"/>
      <c r="GP872" s="3"/>
      <c r="GQ872" s="3"/>
      <c r="GR872" s="3"/>
      <c r="GS872" s="3"/>
      <c r="GT872" s="3"/>
      <c r="GU872" s="3"/>
      <c r="GV872" s="3"/>
      <c r="GW872" s="3"/>
      <c r="GX872" s="3"/>
      <c r="GY872" s="3"/>
      <c r="GZ872" s="3"/>
      <c r="HA872" s="3"/>
      <c r="HB872" s="3"/>
    </row>
    <row r="873" spans="1:210" ht="15.75" customHeight="1">
      <c r="A873" s="50"/>
      <c r="B873" s="50"/>
      <c r="C873" s="50"/>
      <c r="D873" s="50"/>
      <c r="E873" s="50"/>
      <c r="F873" s="50"/>
      <c r="G873" s="51"/>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c r="BS873" s="50"/>
      <c r="BT873" s="50"/>
      <c r="BU873" s="50"/>
      <c r="BV873" s="50"/>
      <c r="BW873" s="50"/>
      <c r="BX873" s="50"/>
      <c r="BY873" s="50"/>
      <c r="BZ873" s="50"/>
      <c r="CA873" s="50"/>
      <c r="CB873" s="50"/>
      <c r="CC873" s="50"/>
      <c r="CD873" s="52"/>
      <c r="CE873" s="50"/>
      <c r="CF873" s="50"/>
      <c r="CG873" s="50"/>
      <c r="CH873" s="50"/>
      <c r="CI873" s="50"/>
      <c r="CJ873" s="50"/>
      <c r="CK873" s="50"/>
      <c r="CL873" s="50"/>
      <c r="CM873" s="50"/>
      <c r="CN873" s="50"/>
      <c r="CO873" s="50"/>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c r="FF873" s="3"/>
      <c r="FG873" s="3"/>
      <c r="FH873" s="3"/>
      <c r="FI873" s="3"/>
      <c r="FJ873" s="3"/>
      <c r="FK873" s="3"/>
      <c r="FL873" s="3"/>
      <c r="FM873" s="3"/>
      <c r="FN873" s="3"/>
      <c r="FO873" s="3"/>
      <c r="FP873" s="3"/>
      <c r="FQ873" s="3"/>
      <c r="FR873" s="3"/>
      <c r="FS873" s="3"/>
      <c r="FT873" s="3"/>
      <c r="FU873" s="3"/>
      <c r="FV873" s="3"/>
      <c r="FW873" s="3"/>
      <c r="FX873" s="3"/>
      <c r="FY873" s="3"/>
      <c r="FZ873" s="3"/>
      <c r="GA873" s="3"/>
      <c r="GB873" s="3"/>
      <c r="GC873" s="3"/>
      <c r="GD873" s="3"/>
      <c r="GE873" s="3"/>
      <c r="GF873" s="3"/>
      <c r="GG873" s="3"/>
      <c r="GH873" s="3"/>
      <c r="GI873" s="3"/>
      <c r="GJ873" s="3"/>
      <c r="GK873" s="3"/>
      <c r="GL873" s="3"/>
      <c r="GM873" s="3"/>
      <c r="GN873" s="3"/>
      <c r="GO873" s="3"/>
      <c r="GP873" s="3"/>
      <c r="GQ873" s="3"/>
      <c r="GR873" s="3"/>
      <c r="GS873" s="3"/>
      <c r="GT873" s="3"/>
      <c r="GU873" s="3"/>
      <c r="GV873" s="3"/>
      <c r="GW873" s="3"/>
      <c r="GX873" s="3"/>
      <c r="GY873" s="3"/>
      <c r="GZ873" s="3"/>
      <c r="HA873" s="3"/>
      <c r="HB873" s="3"/>
    </row>
    <row r="874" spans="1:210" ht="15.75" customHeight="1">
      <c r="A874" s="50"/>
      <c r="B874" s="50"/>
      <c r="C874" s="50"/>
      <c r="D874" s="50"/>
      <c r="E874" s="50"/>
      <c r="F874" s="50"/>
      <c r="G874" s="51"/>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c r="AV874" s="50"/>
      <c r="AW874" s="50"/>
      <c r="AX874" s="50"/>
      <c r="AY874" s="50"/>
      <c r="AZ874" s="50"/>
      <c r="BA874" s="50"/>
      <c r="BB874" s="50"/>
      <c r="BC874" s="50"/>
      <c r="BD874" s="50"/>
      <c r="BE874" s="50"/>
      <c r="BF874" s="50"/>
      <c r="BG874" s="50"/>
      <c r="BH874" s="50"/>
      <c r="BI874" s="50"/>
      <c r="BJ874" s="50"/>
      <c r="BK874" s="50"/>
      <c r="BL874" s="50"/>
      <c r="BM874" s="50"/>
      <c r="BN874" s="50"/>
      <c r="BO874" s="50"/>
      <c r="BP874" s="50"/>
      <c r="BQ874" s="50"/>
      <c r="BR874" s="50"/>
      <c r="BS874" s="50"/>
      <c r="BT874" s="50"/>
      <c r="BU874" s="50"/>
      <c r="BV874" s="50"/>
      <c r="BW874" s="50"/>
      <c r="BX874" s="50"/>
      <c r="BY874" s="50"/>
      <c r="BZ874" s="50"/>
      <c r="CA874" s="50"/>
      <c r="CB874" s="50"/>
      <c r="CC874" s="50"/>
      <c r="CD874" s="52"/>
      <c r="CE874" s="50"/>
      <c r="CF874" s="50"/>
      <c r="CG874" s="50"/>
      <c r="CH874" s="50"/>
      <c r="CI874" s="50"/>
      <c r="CJ874" s="50"/>
      <c r="CK874" s="50"/>
      <c r="CL874" s="50"/>
      <c r="CM874" s="50"/>
      <c r="CN874" s="50"/>
      <c r="CO874" s="50"/>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c r="FF874" s="3"/>
      <c r="FG874" s="3"/>
      <c r="FH874" s="3"/>
      <c r="FI874" s="3"/>
      <c r="FJ874" s="3"/>
      <c r="FK874" s="3"/>
      <c r="FL874" s="3"/>
      <c r="FM874" s="3"/>
      <c r="FN874" s="3"/>
      <c r="FO874" s="3"/>
      <c r="FP874" s="3"/>
      <c r="FQ874" s="3"/>
      <c r="FR874" s="3"/>
      <c r="FS874" s="3"/>
      <c r="FT874" s="3"/>
      <c r="FU874" s="3"/>
      <c r="FV874" s="3"/>
      <c r="FW874" s="3"/>
      <c r="FX874" s="3"/>
      <c r="FY874" s="3"/>
      <c r="FZ874" s="3"/>
      <c r="GA874" s="3"/>
      <c r="GB874" s="3"/>
      <c r="GC874" s="3"/>
      <c r="GD874" s="3"/>
      <c r="GE874" s="3"/>
      <c r="GF874" s="3"/>
      <c r="GG874" s="3"/>
      <c r="GH874" s="3"/>
      <c r="GI874" s="3"/>
      <c r="GJ874" s="3"/>
      <c r="GK874" s="3"/>
      <c r="GL874" s="3"/>
      <c r="GM874" s="3"/>
      <c r="GN874" s="3"/>
      <c r="GO874" s="3"/>
      <c r="GP874" s="3"/>
      <c r="GQ874" s="3"/>
      <c r="GR874" s="3"/>
      <c r="GS874" s="3"/>
      <c r="GT874" s="3"/>
      <c r="GU874" s="3"/>
      <c r="GV874" s="3"/>
      <c r="GW874" s="3"/>
      <c r="GX874" s="3"/>
      <c r="GY874" s="3"/>
      <c r="GZ874" s="3"/>
      <c r="HA874" s="3"/>
      <c r="HB874" s="3"/>
    </row>
    <row r="875" spans="1:210" ht="15.75" customHeight="1">
      <c r="A875" s="50"/>
      <c r="B875" s="50"/>
      <c r="C875" s="50"/>
      <c r="D875" s="50"/>
      <c r="E875" s="50"/>
      <c r="F875" s="50"/>
      <c r="G875" s="51"/>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c r="BS875" s="50"/>
      <c r="BT875" s="50"/>
      <c r="BU875" s="50"/>
      <c r="BV875" s="50"/>
      <c r="BW875" s="50"/>
      <c r="BX875" s="50"/>
      <c r="BY875" s="50"/>
      <c r="BZ875" s="50"/>
      <c r="CA875" s="50"/>
      <c r="CB875" s="50"/>
      <c r="CC875" s="50"/>
      <c r="CD875" s="52"/>
      <c r="CE875" s="50"/>
      <c r="CF875" s="50"/>
      <c r="CG875" s="50"/>
      <c r="CH875" s="50"/>
      <c r="CI875" s="50"/>
      <c r="CJ875" s="50"/>
      <c r="CK875" s="50"/>
      <c r="CL875" s="50"/>
      <c r="CM875" s="50"/>
      <c r="CN875" s="50"/>
      <c r="CO875" s="50"/>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c r="FF875" s="3"/>
      <c r="FG875" s="3"/>
      <c r="FH875" s="3"/>
      <c r="FI875" s="3"/>
      <c r="FJ875" s="3"/>
      <c r="FK875" s="3"/>
      <c r="FL875" s="3"/>
      <c r="FM875" s="3"/>
      <c r="FN875" s="3"/>
      <c r="FO875" s="3"/>
      <c r="FP875" s="3"/>
      <c r="FQ875" s="3"/>
      <c r="FR875" s="3"/>
      <c r="FS875" s="3"/>
      <c r="FT875" s="3"/>
      <c r="FU875" s="3"/>
      <c r="FV875" s="3"/>
      <c r="FW875" s="3"/>
      <c r="FX875" s="3"/>
      <c r="FY875" s="3"/>
      <c r="FZ875" s="3"/>
      <c r="GA875" s="3"/>
      <c r="GB875" s="3"/>
      <c r="GC875" s="3"/>
      <c r="GD875" s="3"/>
      <c r="GE875" s="3"/>
      <c r="GF875" s="3"/>
      <c r="GG875" s="3"/>
      <c r="GH875" s="3"/>
      <c r="GI875" s="3"/>
      <c r="GJ875" s="3"/>
      <c r="GK875" s="3"/>
      <c r="GL875" s="3"/>
      <c r="GM875" s="3"/>
      <c r="GN875" s="3"/>
      <c r="GO875" s="3"/>
      <c r="GP875" s="3"/>
      <c r="GQ875" s="3"/>
      <c r="GR875" s="3"/>
      <c r="GS875" s="3"/>
      <c r="GT875" s="3"/>
      <c r="GU875" s="3"/>
      <c r="GV875" s="3"/>
      <c r="GW875" s="3"/>
      <c r="GX875" s="3"/>
      <c r="GY875" s="3"/>
      <c r="GZ875" s="3"/>
      <c r="HA875" s="3"/>
      <c r="HB875" s="3"/>
    </row>
    <row r="876" spans="1:210" ht="15.75" customHeight="1">
      <c r="A876" s="50"/>
      <c r="B876" s="50"/>
      <c r="C876" s="50"/>
      <c r="D876" s="50"/>
      <c r="E876" s="50"/>
      <c r="F876" s="50"/>
      <c r="G876" s="51"/>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c r="BS876" s="50"/>
      <c r="BT876" s="50"/>
      <c r="BU876" s="50"/>
      <c r="BV876" s="50"/>
      <c r="BW876" s="50"/>
      <c r="BX876" s="50"/>
      <c r="BY876" s="50"/>
      <c r="BZ876" s="50"/>
      <c r="CA876" s="50"/>
      <c r="CB876" s="50"/>
      <c r="CC876" s="50"/>
      <c r="CD876" s="52"/>
      <c r="CE876" s="50"/>
      <c r="CF876" s="50"/>
      <c r="CG876" s="50"/>
      <c r="CH876" s="50"/>
      <c r="CI876" s="50"/>
      <c r="CJ876" s="50"/>
      <c r="CK876" s="50"/>
      <c r="CL876" s="50"/>
      <c r="CM876" s="50"/>
      <c r="CN876" s="50"/>
      <c r="CO876" s="50"/>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c r="FF876" s="3"/>
      <c r="FG876" s="3"/>
      <c r="FH876" s="3"/>
      <c r="FI876" s="3"/>
      <c r="FJ876" s="3"/>
      <c r="FK876" s="3"/>
      <c r="FL876" s="3"/>
      <c r="FM876" s="3"/>
      <c r="FN876" s="3"/>
      <c r="FO876" s="3"/>
      <c r="FP876" s="3"/>
      <c r="FQ876" s="3"/>
      <c r="FR876" s="3"/>
      <c r="FS876" s="3"/>
      <c r="FT876" s="3"/>
      <c r="FU876" s="3"/>
      <c r="FV876" s="3"/>
      <c r="FW876" s="3"/>
      <c r="FX876" s="3"/>
      <c r="FY876" s="3"/>
      <c r="FZ876" s="3"/>
      <c r="GA876" s="3"/>
      <c r="GB876" s="3"/>
      <c r="GC876" s="3"/>
      <c r="GD876" s="3"/>
      <c r="GE876" s="3"/>
      <c r="GF876" s="3"/>
      <c r="GG876" s="3"/>
      <c r="GH876" s="3"/>
      <c r="GI876" s="3"/>
      <c r="GJ876" s="3"/>
      <c r="GK876" s="3"/>
      <c r="GL876" s="3"/>
      <c r="GM876" s="3"/>
      <c r="GN876" s="3"/>
      <c r="GO876" s="3"/>
      <c r="GP876" s="3"/>
      <c r="GQ876" s="3"/>
      <c r="GR876" s="3"/>
      <c r="GS876" s="3"/>
      <c r="GT876" s="3"/>
      <c r="GU876" s="3"/>
      <c r="GV876" s="3"/>
      <c r="GW876" s="3"/>
      <c r="GX876" s="3"/>
      <c r="GY876" s="3"/>
      <c r="GZ876" s="3"/>
      <c r="HA876" s="3"/>
      <c r="HB876" s="3"/>
    </row>
    <row r="877" spans="1:210" ht="15.75" customHeight="1">
      <c r="A877" s="50"/>
      <c r="B877" s="50"/>
      <c r="C877" s="50"/>
      <c r="D877" s="50"/>
      <c r="E877" s="50"/>
      <c r="F877" s="50"/>
      <c r="G877" s="51"/>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c r="BS877" s="50"/>
      <c r="BT877" s="50"/>
      <c r="BU877" s="50"/>
      <c r="BV877" s="50"/>
      <c r="BW877" s="50"/>
      <c r="BX877" s="50"/>
      <c r="BY877" s="50"/>
      <c r="BZ877" s="50"/>
      <c r="CA877" s="50"/>
      <c r="CB877" s="50"/>
      <c r="CC877" s="50"/>
      <c r="CD877" s="52"/>
      <c r="CE877" s="50"/>
      <c r="CF877" s="50"/>
      <c r="CG877" s="50"/>
      <c r="CH877" s="50"/>
      <c r="CI877" s="50"/>
      <c r="CJ877" s="50"/>
      <c r="CK877" s="50"/>
      <c r="CL877" s="50"/>
      <c r="CM877" s="50"/>
      <c r="CN877" s="50"/>
      <c r="CO877" s="50"/>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c r="FF877" s="3"/>
      <c r="FG877" s="3"/>
      <c r="FH877" s="3"/>
      <c r="FI877" s="3"/>
      <c r="FJ877" s="3"/>
      <c r="FK877" s="3"/>
      <c r="FL877" s="3"/>
      <c r="FM877" s="3"/>
      <c r="FN877" s="3"/>
      <c r="FO877" s="3"/>
      <c r="FP877" s="3"/>
      <c r="FQ877" s="3"/>
      <c r="FR877" s="3"/>
      <c r="FS877" s="3"/>
      <c r="FT877" s="3"/>
      <c r="FU877" s="3"/>
      <c r="FV877" s="3"/>
      <c r="FW877" s="3"/>
      <c r="FX877" s="3"/>
      <c r="FY877" s="3"/>
      <c r="FZ877" s="3"/>
      <c r="GA877" s="3"/>
      <c r="GB877" s="3"/>
      <c r="GC877" s="3"/>
      <c r="GD877" s="3"/>
      <c r="GE877" s="3"/>
      <c r="GF877" s="3"/>
      <c r="GG877" s="3"/>
      <c r="GH877" s="3"/>
      <c r="GI877" s="3"/>
      <c r="GJ877" s="3"/>
      <c r="GK877" s="3"/>
      <c r="GL877" s="3"/>
      <c r="GM877" s="3"/>
      <c r="GN877" s="3"/>
      <c r="GO877" s="3"/>
      <c r="GP877" s="3"/>
      <c r="GQ877" s="3"/>
      <c r="GR877" s="3"/>
      <c r="GS877" s="3"/>
      <c r="GT877" s="3"/>
      <c r="GU877" s="3"/>
      <c r="GV877" s="3"/>
      <c r="GW877" s="3"/>
      <c r="GX877" s="3"/>
      <c r="GY877" s="3"/>
      <c r="GZ877" s="3"/>
      <c r="HA877" s="3"/>
      <c r="HB877" s="3"/>
    </row>
    <row r="878" spans="1:210" ht="15.75" customHeight="1">
      <c r="A878" s="50"/>
      <c r="B878" s="50"/>
      <c r="C878" s="50"/>
      <c r="D878" s="50"/>
      <c r="E878" s="50"/>
      <c r="F878" s="50"/>
      <c r="G878" s="51"/>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c r="BS878" s="50"/>
      <c r="BT878" s="50"/>
      <c r="BU878" s="50"/>
      <c r="BV878" s="50"/>
      <c r="BW878" s="50"/>
      <c r="BX878" s="50"/>
      <c r="BY878" s="50"/>
      <c r="BZ878" s="50"/>
      <c r="CA878" s="50"/>
      <c r="CB878" s="50"/>
      <c r="CC878" s="50"/>
      <c r="CD878" s="52"/>
      <c r="CE878" s="50"/>
      <c r="CF878" s="50"/>
      <c r="CG878" s="50"/>
      <c r="CH878" s="50"/>
      <c r="CI878" s="50"/>
      <c r="CJ878" s="50"/>
      <c r="CK878" s="50"/>
      <c r="CL878" s="50"/>
      <c r="CM878" s="50"/>
      <c r="CN878" s="50"/>
      <c r="CO878" s="50"/>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c r="FF878" s="3"/>
      <c r="FG878" s="3"/>
      <c r="FH878" s="3"/>
      <c r="FI878" s="3"/>
      <c r="FJ878" s="3"/>
      <c r="FK878" s="3"/>
      <c r="FL878" s="3"/>
      <c r="FM878" s="3"/>
      <c r="FN878" s="3"/>
      <c r="FO878" s="3"/>
      <c r="FP878" s="3"/>
      <c r="FQ878" s="3"/>
      <c r="FR878" s="3"/>
      <c r="FS878" s="3"/>
      <c r="FT878" s="3"/>
      <c r="FU878" s="3"/>
      <c r="FV878" s="3"/>
      <c r="FW878" s="3"/>
      <c r="FX878" s="3"/>
      <c r="FY878" s="3"/>
      <c r="FZ878" s="3"/>
      <c r="GA878" s="3"/>
      <c r="GB878" s="3"/>
      <c r="GC878" s="3"/>
      <c r="GD878" s="3"/>
      <c r="GE878" s="3"/>
      <c r="GF878" s="3"/>
      <c r="GG878" s="3"/>
      <c r="GH878" s="3"/>
      <c r="GI878" s="3"/>
      <c r="GJ878" s="3"/>
      <c r="GK878" s="3"/>
      <c r="GL878" s="3"/>
      <c r="GM878" s="3"/>
      <c r="GN878" s="3"/>
      <c r="GO878" s="3"/>
      <c r="GP878" s="3"/>
      <c r="GQ878" s="3"/>
      <c r="GR878" s="3"/>
      <c r="GS878" s="3"/>
      <c r="GT878" s="3"/>
      <c r="GU878" s="3"/>
      <c r="GV878" s="3"/>
      <c r="GW878" s="3"/>
      <c r="GX878" s="3"/>
      <c r="GY878" s="3"/>
      <c r="GZ878" s="3"/>
      <c r="HA878" s="3"/>
      <c r="HB878" s="3"/>
    </row>
    <row r="879" spans="1:210" ht="15.75" customHeight="1">
      <c r="A879" s="50"/>
      <c r="B879" s="50"/>
      <c r="C879" s="50"/>
      <c r="D879" s="50"/>
      <c r="E879" s="50"/>
      <c r="F879" s="50"/>
      <c r="G879" s="51"/>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c r="BS879" s="50"/>
      <c r="BT879" s="50"/>
      <c r="BU879" s="50"/>
      <c r="BV879" s="50"/>
      <c r="BW879" s="50"/>
      <c r="BX879" s="50"/>
      <c r="BY879" s="50"/>
      <c r="BZ879" s="50"/>
      <c r="CA879" s="50"/>
      <c r="CB879" s="50"/>
      <c r="CC879" s="50"/>
      <c r="CD879" s="52"/>
      <c r="CE879" s="50"/>
      <c r="CF879" s="50"/>
      <c r="CG879" s="50"/>
      <c r="CH879" s="50"/>
      <c r="CI879" s="50"/>
      <c r="CJ879" s="50"/>
      <c r="CK879" s="50"/>
      <c r="CL879" s="50"/>
      <c r="CM879" s="50"/>
      <c r="CN879" s="50"/>
      <c r="CO879" s="50"/>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c r="FF879" s="3"/>
      <c r="FG879" s="3"/>
      <c r="FH879" s="3"/>
      <c r="FI879" s="3"/>
      <c r="FJ879" s="3"/>
      <c r="FK879" s="3"/>
      <c r="FL879" s="3"/>
      <c r="FM879" s="3"/>
      <c r="FN879" s="3"/>
      <c r="FO879" s="3"/>
      <c r="FP879" s="3"/>
      <c r="FQ879" s="3"/>
      <c r="FR879" s="3"/>
      <c r="FS879" s="3"/>
      <c r="FT879" s="3"/>
      <c r="FU879" s="3"/>
      <c r="FV879" s="3"/>
      <c r="FW879" s="3"/>
      <c r="FX879" s="3"/>
      <c r="FY879" s="3"/>
      <c r="FZ879" s="3"/>
      <c r="GA879" s="3"/>
      <c r="GB879" s="3"/>
      <c r="GC879" s="3"/>
      <c r="GD879" s="3"/>
      <c r="GE879" s="3"/>
      <c r="GF879" s="3"/>
      <c r="GG879" s="3"/>
      <c r="GH879" s="3"/>
      <c r="GI879" s="3"/>
      <c r="GJ879" s="3"/>
      <c r="GK879" s="3"/>
      <c r="GL879" s="3"/>
      <c r="GM879" s="3"/>
      <c r="GN879" s="3"/>
      <c r="GO879" s="3"/>
      <c r="GP879" s="3"/>
      <c r="GQ879" s="3"/>
      <c r="GR879" s="3"/>
      <c r="GS879" s="3"/>
      <c r="GT879" s="3"/>
      <c r="GU879" s="3"/>
      <c r="GV879" s="3"/>
      <c r="GW879" s="3"/>
      <c r="GX879" s="3"/>
      <c r="GY879" s="3"/>
      <c r="GZ879" s="3"/>
      <c r="HA879" s="3"/>
      <c r="HB879" s="3"/>
    </row>
    <row r="880" spans="1:210" ht="15.75" customHeight="1">
      <c r="A880" s="50"/>
      <c r="B880" s="50"/>
      <c r="C880" s="50"/>
      <c r="D880" s="50"/>
      <c r="E880" s="50"/>
      <c r="F880" s="50"/>
      <c r="G880" s="51"/>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c r="AV880" s="50"/>
      <c r="AW880" s="50"/>
      <c r="AX880" s="50"/>
      <c r="AY880" s="50"/>
      <c r="AZ880" s="50"/>
      <c r="BA880" s="50"/>
      <c r="BB880" s="50"/>
      <c r="BC880" s="50"/>
      <c r="BD880" s="50"/>
      <c r="BE880" s="50"/>
      <c r="BF880" s="50"/>
      <c r="BG880" s="50"/>
      <c r="BH880" s="50"/>
      <c r="BI880" s="50"/>
      <c r="BJ880" s="50"/>
      <c r="BK880" s="50"/>
      <c r="BL880" s="50"/>
      <c r="BM880" s="50"/>
      <c r="BN880" s="50"/>
      <c r="BO880" s="50"/>
      <c r="BP880" s="50"/>
      <c r="BQ880" s="50"/>
      <c r="BR880" s="50"/>
      <c r="BS880" s="50"/>
      <c r="BT880" s="50"/>
      <c r="BU880" s="50"/>
      <c r="BV880" s="50"/>
      <c r="BW880" s="50"/>
      <c r="BX880" s="50"/>
      <c r="BY880" s="50"/>
      <c r="BZ880" s="50"/>
      <c r="CA880" s="50"/>
      <c r="CB880" s="50"/>
      <c r="CC880" s="50"/>
      <c r="CD880" s="52"/>
      <c r="CE880" s="50"/>
      <c r="CF880" s="50"/>
      <c r="CG880" s="50"/>
      <c r="CH880" s="50"/>
      <c r="CI880" s="50"/>
      <c r="CJ880" s="50"/>
      <c r="CK880" s="50"/>
      <c r="CL880" s="50"/>
      <c r="CM880" s="50"/>
      <c r="CN880" s="50"/>
      <c r="CO880" s="50"/>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c r="FF880" s="3"/>
      <c r="FG880" s="3"/>
      <c r="FH880" s="3"/>
      <c r="FI880" s="3"/>
      <c r="FJ880" s="3"/>
      <c r="FK880" s="3"/>
      <c r="FL880" s="3"/>
      <c r="FM880" s="3"/>
      <c r="FN880" s="3"/>
      <c r="FO880" s="3"/>
      <c r="FP880" s="3"/>
      <c r="FQ880" s="3"/>
      <c r="FR880" s="3"/>
      <c r="FS880" s="3"/>
      <c r="FT880" s="3"/>
      <c r="FU880" s="3"/>
      <c r="FV880" s="3"/>
      <c r="FW880" s="3"/>
      <c r="FX880" s="3"/>
      <c r="FY880" s="3"/>
      <c r="FZ880" s="3"/>
      <c r="GA880" s="3"/>
      <c r="GB880" s="3"/>
      <c r="GC880" s="3"/>
      <c r="GD880" s="3"/>
      <c r="GE880" s="3"/>
      <c r="GF880" s="3"/>
      <c r="GG880" s="3"/>
      <c r="GH880" s="3"/>
      <c r="GI880" s="3"/>
      <c r="GJ880" s="3"/>
      <c r="GK880" s="3"/>
      <c r="GL880" s="3"/>
      <c r="GM880" s="3"/>
      <c r="GN880" s="3"/>
      <c r="GO880" s="3"/>
      <c r="GP880" s="3"/>
      <c r="GQ880" s="3"/>
      <c r="GR880" s="3"/>
      <c r="GS880" s="3"/>
      <c r="GT880" s="3"/>
      <c r="GU880" s="3"/>
      <c r="GV880" s="3"/>
      <c r="GW880" s="3"/>
      <c r="GX880" s="3"/>
      <c r="GY880" s="3"/>
      <c r="GZ880" s="3"/>
      <c r="HA880" s="3"/>
      <c r="HB880" s="3"/>
    </row>
    <row r="881" spans="1:210" ht="15.75" customHeight="1">
      <c r="A881" s="50"/>
      <c r="B881" s="50"/>
      <c r="C881" s="50"/>
      <c r="D881" s="50"/>
      <c r="E881" s="50"/>
      <c r="F881" s="50"/>
      <c r="G881" s="51"/>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c r="BS881" s="50"/>
      <c r="BT881" s="50"/>
      <c r="BU881" s="50"/>
      <c r="BV881" s="50"/>
      <c r="BW881" s="50"/>
      <c r="BX881" s="50"/>
      <c r="BY881" s="50"/>
      <c r="BZ881" s="50"/>
      <c r="CA881" s="50"/>
      <c r="CB881" s="50"/>
      <c r="CC881" s="50"/>
      <c r="CD881" s="52"/>
      <c r="CE881" s="50"/>
      <c r="CF881" s="50"/>
      <c r="CG881" s="50"/>
      <c r="CH881" s="50"/>
      <c r="CI881" s="50"/>
      <c r="CJ881" s="50"/>
      <c r="CK881" s="50"/>
      <c r="CL881" s="50"/>
      <c r="CM881" s="50"/>
      <c r="CN881" s="50"/>
      <c r="CO881" s="50"/>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c r="FF881" s="3"/>
      <c r="FG881" s="3"/>
      <c r="FH881" s="3"/>
      <c r="FI881" s="3"/>
      <c r="FJ881" s="3"/>
      <c r="FK881" s="3"/>
      <c r="FL881" s="3"/>
      <c r="FM881" s="3"/>
      <c r="FN881" s="3"/>
      <c r="FO881" s="3"/>
      <c r="FP881" s="3"/>
      <c r="FQ881" s="3"/>
      <c r="FR881" s="3"/>
      <c r="FS881" s="3"/>
      <c r="FT881" s="3"/>
      <c r="FU881" s="3"/>
      <c r="FV881" s="3"/>
      <c r="FW881" s="3"/>
      <c r="FX881" s="3"/>
      <c r="FY881" s="3"/>
      <c r="FZ881" s="3"/>
      <c r="GA881" s="3"/>
      <c r="GB881" s="3"/>
      <c r="GC881" s="3"/>
      <c r="GD881" s="3"/>
      <c r="GE881" s="3"/>
      <c r="GF881" s="3"/>
      <c r="GG881" s="3"/>
      <c r="GH881" s="3"/>
      <c r="GI881" s="3"/>
      <c r="GJ881" s="3"/>
      <c r="GK881" s="3"/>
      <c r="GL881" s="3"/>
      <c r="GM881" s="3"/>
      <c r="GN881" s="3"/>
      <c r="GO881" s="3"/>
      <c r="GP881" s="3"/>
      <c r="GQ881" s="3"/>
      <c r="GR881" s="3"/>
      <c r="GS881" s="3"/>
      <c r="GT881" s="3"/>
      <c r="GU881" s="3"/>
      <c r="GV881" s="3"/>
      <c r="GW881" s="3"/>
      <c r="GX881" s="3"/>
      <c r="GY881" s="3"/>
      <c r="GZ881" s="3"/>
      <c r="HA881" s="3"/>
      <c r="HB881" s="3"/>
    </row>
    <row r="882" spans="1:210" ht="15.75" customHeight="1">
      <c r="A882" s="50"/>
      <c r="B882" s="50"/>
      <c r="C882" s="50"/>
      <c r="D882" s="50"/>
      <c r="E882" s="50"/>
      <c r="F882" s="50"/>
      <c r="G882" s="51"/>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c r="BS882" s="50"/>
      <c r="BT882" s="50"/>
      <c r="BU882" s="50"/>
      <c r="BV882" s="50"/>
      <c r="BW882" s="50"/>
      <c r="BX882" s="50"/>
      <c r="BY882" s="50"/>
      <c r="BZ882" s="50"/>
      <c r="CA882" s="50"/>
      <c r="CB882" s="50"/>
      <c r="CC882" s="50"/>
      <c r="CD882" s="52"/>
      <c r="CE882" s="50"/>
      <c r="CF882" s="50"/>
      <c r="CG882" s="50"/>
      <c r="CH882" s="50"/>
      <c r="CI882" s="50"/>
      <c r="CJ882" s="50"/>
      <c r="CK882" s="50"/>
      <c r="CL882" s="50"/>
      <c r="CM882" s="50"/>
      <c r="CN882" s="50"/>
      <c r="CO882" s="50"/>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c r="FF882" s="3"/>
      <c r="FG882" s="3"/>
      <c r="FH882" s="3"/>
      <c r="FI882" s="3"/>
      <c r="FJ882" s="3"/>
      <c r="FK882" s="3"/>
      <c r="FL882" s="3"/>
      <c r="FM882" s="3"/>
      <c r="FN882" s="3"/>
      <c r="FO882" s="3"/>
      <c r="FP882" s="3"/>
      <c r="FQ882" s="3"/>
      <c r="FR882" s="3"/>
      <c r="FS882" s="3"/>
      <c r="FT882" s="3"/>
      <c r="FU882" s="3"/>
      <c r="FV882" s="3"/>
      <c r="FW882" s="3"/>
      <c r="FX882" s="3"/>
      <c r="FY882" s="3"/>
      <c r="FZ882" s="3"/>
      <c r="GA882" s="3"/>
      <c r="GB882" s="3"/>
      <c r="GC882" s="3"/>
      <c r="GD882" s="3"/>
      <c r="GE882" s="3"/>
      <c r="GF882" s="3"/>
      <c r="GG882" s="3"/>
      <c r="GH882" s="3"/>
      <c r="GI882" s="3"/>
      <c r="GJ882" s="3"/>
      <c r="GK882" s="3"/>
      <c r="GL882" s="3"/>
      <c r="GM882" s="3"/>
      <c r="GN882" s="3"/>
      <c r="GO882" s="3"/>
      <c r="GP882" s="3"/>
      <c r="GQ882" s="3"/>
      <c r="GR882" s="3"/>
      <c r="GS882" s="3"/>
      <c r="GT882" s="3"/>
      <c r="GU882" s="3"/>
      <c r="GV882" s="3"/>
      <c r="GW882" s="3"/>
      <c r="GX882" s="3"/>
      <c r="GY882" s="3"/>
      <c r="GZ882" s="3"/>
      <c r="HA882" s="3"/>
      <c r="HB882" s="3"/>
    </row>
    <row r="883" spans="1:210" ht="15.75" customHeight="1">
      <c r="A883" s="50"/>
      <c r="B883" s="50"/>
      <c r="C883" s="50"/>
      <c r="D883" s="50"/>
      <c r="E883" s="50"/>
      <c r="F883" s="50"/>
      <c r="G883" s="51"/>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c r="BS883" s="50"/>
      <c r="BT883" s="50"/>
      <c r="BU883" s="50"/>
      <c r="BV883" s="50"/>
      <c r="BW883" s="50"/>
      <c r="BX883" s="50"/>
      <c r="BY883" s="50"/>
      <c r="BZ883" s="50"/>
      <c r="CA883" s="50"/>
      <c r="CB883" s="50"/>
      <c r="CC883" s="50"/>
      <c r="CD883" s="52"/>
      <c r="CE883" s="50"/>
      <c r="CF883" s="50"/>
      <c r="CG883" s="50"/>
      <c r="CH883" s="50"/>
      <c r="CI883" s="50"/>
      <c r="CJ883" s="50"/>
      <c r="CK883" s="50"/>
      <c r="CL883" s="50"/>
      <c r="CM883" s="50"/>
      <c r="CN883" s="50"/>
      <c r="CO883" s="50"/>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c r="FF883" s="3"/>
      <c r="FG883" s="3"/>
      <c r="FH883" s="3"/>
      <c r="FI883" s="3"/>
      <c r="FJ883" s="3"/>
      <c r="FK883" s="3"/>
      <c r="FL883" s="3"/>
      <c r="FM883" s="3"/>
      <c r="FN883" s="3"/>
      <c r="FO883" s="3"/>
      <c r="FP883" s="3"/>
      <c r="FQ883" s="3"/>
      <c r="FR883" s="3"/>
      <c r="FS883" s="3"/>
      <c r="FT883" s="3"/>
      <c r="FU883" s="3"/>
      <c r="FV883" s="3"/>
      <c r="FW883" s="3"/>
      <c r="FX883" s="3"/>
      <c r="FY883" s="3"/>
      <c r="FZ883" s="3"/>
      <c r="GA883" s="3"/>
      <c r="GB883" s="3"/>
      <c r="GC883" s="3"/>
      <c r="GD883" s="3"/>
      <c r="GE883" s="3"/>
      <c r="GF883" s="3"/>
      <c r="GG883" s="3"/>
      <c r="GH883" s="3"/>
      <c r="GI883" s="3"/>
      <c r="GJ883" s="3"/>
      <c r="GK883" s="3"/>
      <c r="GL883" s="3"/>
      <c r="GM883" s="3"/>
      <c r="GN883" s="3"/>
      <c r="GO883" s="3"/>
      <c r="GP883" s="3"/>
      <c r="GQ883" s="3"/>
      <c r="GR883" s="3"/>
      <c r="GS883" s="3"/>
      <c r="GT883" s="3"/>
      <c r="GU883" s="3"/>
      <c r="GV883" s="3"/>
      <c r="GW883" s="3"/>
      <c r="GX883" s="3"/>
      <c r="GY883" s="3"/>
      <c r="GZ883" s="3"/>
      <c r="HA883" s="3"/>
      <c r="HB883" s="3"/>
    </row>
    <row r="884" spans="1:210" ht="15.75" customHeight="1">
      <c r="A884" s="50"/>
      <c r="B884" s="50"/>
      <c r="C884" s="50"/>
      <c r="D884" s="50"/>
      <c r="E884" s="50"/>
      <c r="F884" s="50"/>
      <c r="G884" s="51"/>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c r="BS884" s="50"/>
      <c r="BT884" s="50"/>
      <c r="BU884" s="50"/>
      <c r="BV884" s="50"/>
      <c r="BW884" s="50"/>
      <c r="BX884" s="50"/>
      <c r="BY884" s="50"/>
      <c r="BZ884" s="50"/>
      <c r="CA884" s="50"/>
      <c r="CB884" s="50"/>
      <c r="CC884" s="50"/>
      <c r="CD884" s="52"/>
      <c r="CE884" s="50"/>
      <c r="CF884" s="50"/>
      <c r="CG884" s="50"/>
      <c r="CH884" s="50"/>
      <c r="CI884" s="50"/>
      <c r="CJ884" s="50"/>
      <c r="CK884" s="50"/>
      <c r="CL884" s="50"/>
      <c r="CM884" s="50"/>
      <c r="CN884" s="50"/>
      <c r="CO884" s="50"/>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c r="FF884" s="3"/>
      <c r="FG884" s="3"/>
      <c r="FH884" s="3"/>
      <c r="FI884" s="3"/>
      <c r="FJ884" s="3"/>
      <c r="FK884" s="3"/>
      <c r="FL884" s="3"/>
      <c r="FM884" s="3"/>
      <c r="FN884" s="3"/>
      <c r="FO884" s="3"/>
      <c r="FP884" s="3"/>
      <c r="FQ884" s="3"/>
      <c r="FR884" s="3"/>
      <c r="FS884" s="3"/>
      <c r="FT884" s="3"/>
      <c r="FU884" s="3"/>
      <c r="FV884" s="3"/>
      <c r="FW884" s="3"/>
      <c r="FX884" s="3"/>
      <c r="FY884" s="3"/>
      <c r="FZ884" s="3"/>
      <c r="GA884" s="3"/>
      <c r="GB884" s="3"/>
      <c r="GC884" s="3"/>
      <c r="GD884" s="3"/>
      <c r="GE884" s="3"/>
      <c r="GF884" s="3"/>
      <c r="GG884" s="3"/>
      <c r="GH884" s="3"/>
      <c r="GI884" s="3"/>
      <c r="GJ884" s="3"/>
      <c r="GK884" s="3"/>
      <c r="GL884" s="3"/>
      <c r="GM884" s="3"/>
      <c r="GN884" s="3"/>
      <c r="GO884" s="3"/>
      <c r="GP884" s="3"/>
      <c r="GQ884" s="3"/>
      <c r="GR884" s="3"/>
      <c r="GS884" s="3"/>
      <c r="GT884" s="3"/>
      <c r="GU884" s="3"/>
      <c r="GV884" s="3"/>
      <c r="GW884" s="3"/>
      <c r="GX884" s="3"/>
      <c r="GY884" s="3"/>
      <c r="GZ884" s="3"/>
      <c r="HA884" s="3"/>
      <c r="HB884" s="3"/>
    </row>
    <row r="885" spans="1:210" ht="15.75" customHeight="1">
      <c r="A885" s="50"/>
      <c r="B885" s="50"/>
      <c r="C885" s="50"/>
      <c r="D885" s="50"/>
      <c r="E885" s="50"/>
      <c r="F885" s="50"/>
      <c r="G885" s="51"/>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c r="BS885" s="50"/>
      <c r="BT885" s="50"/>
      <c r="BU885" s="50"/>
      <c r="BV885" s="50"/>
      <c r="BW885" s="50"/>
      <c r="BX885" s="50"/>
      <c r="BY885" s="50"/>
      <c r="BZ885" s="50"/>
      <c r="CA885" s="50"/>
      <c r="CB885" s="50"/>
      <c r="CC885" s="50"/>
      <c r="CD885" s="52"/>
      <c r="CE885" s="50"/>
      <c r="CF885" s="50"/>
      <c r="CG885" s="50"/>
      <c r="CH885" s="50"/>
      <c r="CI885" s="50"/>
      <c r="CJ885" s="50"/>
      <c r="CK885" s="50"/>
      <c r="CL885" s="50"/>
      <c r="CM885" s="50"/>
      <c r="CN885" s="50"/>
      <c r="CO885" s="50"/>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c r="FF885" s="3"/>
      <c r="FG885" s="3"/>
      <c r="FH885" s="3"/>
      <c r="FI885" s="3"/>
      <c r="FJ885" s="3"/>
      <c r="FK885" s="3"/>
      <c r="FL885" s="3"/>
      <c r="FM885" s="3"/>
      <c r="FN885" s="3"/>
      <c r="FO885" s="3"/>
      <c r="FP885" s="3"/>
      <c r="FQ885" s="3"/>
      <c r="FR885" s="3"/>
      <c r="FS885" s="3"/>
      <c r="FT885" s="3"/>
      <c r="FU885" s="3"/>
      <c r="FV885" s="3"/>
      <c r="FW885" s="3"/>
      <c r="FX885" s="3"/>
      <c r="FY885" s="3"/>
      <c r="FZ885" s="3"/>
      <c r="GA885" s="3"/>
      <c r="GB885" s="3"/>
      <c r="GC885" s="3"/>
      <c r="GD885" s="3"/>
      <c r="GE885" s="3"/>
      <c r="GF885" s="3"/>
      <c r="GG885" s="3"/>
      <c r="GH885" s="3"/>
      <c r="GI885" s="3"/>
      <c r="GJ885" s="3"/>
      <c r="GK885" s="3"/>
      <c r="GL885" s="3"/>
      <c r="GM885" s="3"/>
      <c r="GN885" s="3"/>
      <c r="GO885" s="3"/>
      <c r="GP885" s="3"/>
      <c r="GQ885" s="3"/>
      <c r="GR885" s="3"/>
      <c r="GS885" s="3"/>
      <c r="GT885" s="3"/>
      <c r="GU885" s="3"/>
      <c r="GV885" s="3"/>
      <c r="GW885" s="3"/>
      <c r="GX885" s="3"/>
      <c r="GY885" s="3"/>
      <c r="GZ885" s="3"/>
      <c r="HA885" s="3"/>
      <c r="HB885" s="3"/>
    </row>
    <row r="886" spans="1:210" ht="15.75" customHeight="1">
      <c r="A886" s="50"/>
      <c r="B886" s="50"/>
      <c r="C886" s="50"/>
      <c r="D886" s="50"/>
      <c r="E886" s="50"/>
      <c r="F886" s="50"/>
      <c r="G886" s="51"/>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c r="AV886" s="50"/>
      <c r="AW886" s="50"/>
      <c r="AX886" s="50"/>
      <c r="AY886" s="50"/>
      <c r="AZ886" s="50"/>
      <c r="BA886" s="50"/>
      <c r="BB886" s="50"/>
      <c r="BC886" s="50"/>
      <c r="BD886" s="50"/>
      <c r="BE886" s="50"/>
      <c r="BF886" s="50"/>
      <c r="BG886" s="50"/>
      <c r="BH886" s="50"/>
      <c r="BI886" s="50"/>
      <c r="BJ886" s="50"/>
      <c r="BK886" s="50"/>
      <c r="BL886" s="50"/>
      <c r="BM886" s="50"/>
      <c r="BN886" s="50"/>
      <c r="BO886" s="50"/>
      <c r="BP886" s="50"/>
      <c r="BQ886" s="50"/>
      <c r="BR886" s="50"/>
      <c r="BS886" s="50"/>
      <c r="BT886" s="50"/>
      <c r="BU886" s="50"/>
      <c r="BV886" s="50"/>
      <c r="BW886" s="50"/>
      <c r="BX886" s="50"/>
      <c r="BY886" s="50"/>
      <c r="BZ886" s="50"/>
      <c r="CA886" s="50"/>
      <c r="CB886" s="50"/>
      <c r="CC886" s="50"/>
      <c r="CD886" s="52"/>
      <c r="CE886" s="50"/>
      <c r="CF886" s="50"/>
      <c r="CG886" s="50"/>
      <c r="CH886" s="50"/>
      <c r="CI886" s="50"/>
      <c r="CJ886" s="50"/>
      <c r="CK886" s="50"/>
      <c r="CL886" s="50"/>
      <c r="CM886" s="50"/>
      <c r="CN886" s="50"/>
      <c r="CO886" s="50"/>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c r="FF886" s="3"/>
      <c r="FG886" s="3"/>
      <c r="FH886" s="3"/>
      <c r="FI886" s="3"/>
      <c r="FJ886" s="3"/>
      <c r="FK886" s="3"/>
      <c r="FL886" s="3"/>
      <c r="FM886" s="3"/>
      <c r="FN886" s="3"/>
      <c r="FO886" s="3"/>
      <c r="FP886" s="3"/>
      <c r="FQ886" s="3"/>
      <c r="FR886" s="3"/>
      <c r="FS886" s="3"/>
      <c r="FT886" s="3"/>
      <c r="FU886" s="3"/>
      <c r="FV886" s="3"/>
      <c r="FW886" s="3"/>
      <c r="FX886" s="3"/>
      <c r="FY886" s="3"/>
      <c r="FZ886" s="3"/>
      <c r="GA886" s="3"/>
      <c r="GB886" s="3"/>
      <c r="GC886" s="3"/>
      <c r="GD886" s="3"/>
      <c r="GE886" s="3"/>
      <c r="GF886" s="3"/>
      <c r="GG886" s="3"/>
      <c r="GH886" s="3"/>
      <c r="GI886" s="3"/>
      <c r="GJ886" s="3"/>
      <c r="GK886" s="3"/>
      <c r="GL886" s="3"/>
      <c r="GM886" s="3"/>
      <c r="GN886" s="3"/>
      <c r="GO886" s="3"/>
      <c r="GP886" s="3"/>
      <c r="GQ886" s="3"/>
      <c r="GR886" s="3"/>
      <c r="GS886" s="3"/>
      <c r="GT886" s="3"/>
      <c r="GU886" s="3"/>
      <c r="GV886" s="3"/>
      <c r="GW886" s="3"/>
      <c r="GX886" s="3"/>
      <c r="GY886" s="3"/>
      <c r="GZ886" s="3"/>
      <c r="HA886" s="3"/>
      <c r="HB886" s="3"/>
    </row>
    <row r="887" spans="1:210" ht="15.75" customHeight="1">
      <c r="A887" s="50"/>
      <c r="B887" s="50"/>
      <c r="C887" s="50"/>
      <c r="D887" s="50"/>
      <c r="E887" s="50"/>
      <c r="F887" s="50"/>
      <c r="G887" s="51"/>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50"/>
      <c r="BJ887" s="50"/>
      <c r="BK887" s="50"/>
      <c r="BL887" s="50"/>
      <c r="BM887" s="50"/>
      <c r="BN887" s="50"/>
      <c r="BO887" s="50"/>
      <c r="BP887" s="50"/>
      <c r="BQ887" s="50"/>
      <c r="BR887" s="50"/>
      <c r="BS887" s="50"/>
      <c r="BT887" s="50"/>
      <c r="BU887" s="50"/>
      <c r="BV887" s="50"/>
      <c r="BW887" s="50"/>
      <c r="BX887" s="50"/>
      <c r="BY887" s="50"/>
      <c r="BZ887" s="50"/>
      <c r="CA887" s="50"/>
      <c r="CB887" s="50"/>
      <c r="CC887" s="50"/>
      <c r="CD887" s="52"/>
      <c r="CE887" s="50"/>
      <c r="CF887" s="50"/>
      <c r="CG887" s="50"/>
      <c r="CH887" s="50"/>
      <c r="CI887" s="50"/>
      <c r="CJ887" s="50"/>
      <c r="CK887" s="50"/>
      <c r="CL887" s="50"/>
      <c r="CM887" s="50"/>
      <c r="CN887" s="50"/>
      <c r="CO887" s="50"/>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c r="FF887" s="3"/>
      <c r="FG887" s="3"/>
      <c r="FH887" s="3"/>
      <c r="FI887" s="3"/>
      <c r="FJ887" s="3"/>
      <c r="FK887" s="3"/>
      <c r="FL887" s="3"/>
      <c r="FM887" s="3"/>
      <c r="FN887" s="3"/>
      <c r="FO887" s="3"/>
      <c r="FP887" s="3"/>
      <c r="FQ887" s="3"/>
      <c r="FR887" s="3"/>
      <c r="FS887" s="3"/>
      <c r="FT887" s="3"/>
      <c r="FU887" s="3"/>
      <c r="FV887" s="3"/>
      <c r="FW887" s="3"/>
      <c r="FX887" s="3"/>
      <c r="FY887" s="3"/>
      <c r="FZ887" s="3"/>
      <c r="GA887" s="3"/>
      <c r="GB887" s="3"/>
      <c r="GC887" s="3"/>
      <c r="GD887" s="3"/>
      <c r="GE887" s="3"/>
      <c r="GF887" s="3"/>
      <c r="GG887" s="3"/>
      <c r="GH887" s="3"/>
      <c r="GI887" s="3"/>
      <c r="GJ887" s="3"/>
      <c r="GK887" s="3"/>
      <c r="GL887" s="3"/>
      <c r="GM887" s="3"/>
      <c r="GN887" s="3"/>
      <c r="GO887" s="3"/>
      <c r="GP887" s="3"/>
      <c r="GQ887" s="3"/>
      <c r="GR887" s="3"/>
      <c r="GS887" s="3"/>
      <c r="GT887" s="3"/>
      <c r="GU887" s="3"/>
      <c r="GV887" s="3"/>
      <c r="GW887" s="3"/>
      <c r="GX887" s="3"/>
      <c r="GY887" s="3"/>
      <c r="GZ887" s="3"/>
      <c r="HA887" s="3"/>
      <c r="HB887" s="3"/>
    </row>
    <row r="888" spans="1:210" ht="15.75" customHeight="1">
      <c r="A888" s="50"/>
      <c r="B888" s="50"/>
      <c r="C888" s="50"/>
      <c r="D888" s="50"/>
      <c r="E888" s="50"/>
      <c r="F888" s="50"/>
      <c r="G888" s="51"/>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50"/>
      <c r="BJ888" s="50"/>
      <c r="BK888" s="50"/>
      <c r="BL888" s="50"/>
      <c r="BM888" s="50"/>
      <c r="BN888" s="50"/>
      <c r="BO888" s="50"/>
      <c r="BP888" s="50"/>
      <c r="BQ888" s="50"/>
      <c r="BR888" s="50"/>
      <c r="BS888" s="50"/>
      <c r="BT888" s="50"/>
      <c r="BU888" s="50"/>
      <c r="BV888" s="50"/>
      <c r="BW888" s="50"/>
      <c r="BX888" s="50"/>
      <c r="BY888" s="50"/>
      <c r="BZ888" s="50"/>
      <c r="CA888" s="50"/>
      <c r="CB888" s="50"/>
      <c r="CC888" s="50"/>
      <c r="CD888" s="52"/>
      <c r="CE888" s="50"/>
      <c r="CF888" s="50"/>
      <c r="CG888" s="50"/>
      <c r="CH888" s="50"/>
      <c r="CI888" s="50"/>
      <c r="CJ888" s="50"/>
      <c r="CK888" s="50"/>
      <c r="CL888" s="50"/>
      <c r="CM888" s="50"/>
      <c r="CN888" s="50"/>
      <c r="CO888" s="50"/>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c r="GE888" s="3"/>
      <c r="GF888" s="3"/>
      <c r="GG888" s="3"/>
      <c r="GH888" s="3"/>
      <c r="GI888" s="3"/>
      <c r="GJ888" s="3"/>
      <c r="GK888" s="3"/>
      <c r="GL888" s="3"/>
      <c r="GM888" s="3"/>
      <c r="GN888" s="3"/>
      <c r="GO888" s="3"/>
      <c r="GP888" s="3"/>
      <c r="GQ888" s="3"/>
      <c r="GR888" s="3"/>
      <c r="GS888" s="3"/>
      <c r="GT888" s="3"/>
      <c r="GU888" s="3"/>
      <c r="GV888" s="3"/>
      <c r="GW888" s="3"/>
      <c r="GX888" s="3"/>
      <c r="GY888" s="3"/>
      <c r="GZ888" s="3"/>
      <c r="HA888" s="3"/>
      <c r="HB888" s="3"/>
    </row>
    <row r="889" spans="1:210" ht="15.75" customHeight="1">
      <c r="A889" s="50"/>
      <c r="B889" s="50"/>
      <c r="C889" s="50"/>
      <c r="D889" s="50"/>
      <c r="E889" s="50"/>
      <c r="F889" s="50"/>
      <c r="G889" s="51"/>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c r="BS889" s="50"/>
      <c r="BT889" s="50"/>
      <c r="BU889" s="50"/>
      <c r="BV889" s="50"/>
      <c r="BW889" s="50"/>
      <c r="BX889" s="50"/>
      <c r="BY889" s="50"/>
      <c r="BZ889" s="50"/>
      <c r="CA889" s="50"/>
      <c r="CB889" s="50"/>
      <c r="CC889" s="50"/>
      <c r="CD889" s="52"/>
      <c r="CE889" s="50"/>
      <c r="CF889" s="50"/>
      <c r="CG889" s="50"/>
      <c r="CH889" s="50"/>
      <c r="CI889" s="50"/>
      <c r="CJ889" s="50"/>
      <c r="CK889" s="50"/>
      <c r="CL889" s="50"/>
      <c r="CM889" s="50"/>
      <c r="CN889" s="50"/>
      <c r="CO889" s="50"/>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c r="FF889" s="3"/>
      <c r="FG889" s="3"/>
      <c r="FH889" s="3"/>
      <c r="FI889" s="3"/>
      <c r="FJ889" s="3"/>
      <c r="FK889" s="3"/>
      <c r="FL889" s="3"/>
      <c r="FM889" s="3"/>
      <c r="FN889" s="3"/>
      <c r="FO889" s="3"/>
      <c r="FP889" s="3"/>
      <c r="FQ889" s="3"/>
      <c r="FR889" s="3"/>
      <c r="FS889" s="3"/>
      <c r="FT889" s="3"/>
      <c r="FU889" s="3"/>
      <c r="FV889" s="3"/>
      <c r="FW889" s="3"/>
      <c r="FX889" s="3"/>
      <c r="FY889" s="3"/>
      <c r="FZ889" s="3"/>
      <c r="GA889" s="3"/>
      <c r="GB889" s="3"/>
      <c r="GC889" s="3"/>
      <c r="GD889" s="3"/>
      <c r="GE889" s="3"/>
      <c r="GF889" s="3"/>
      <c r="GG889" s="3"/>
      <c r="GH889" s="3"/>
      <c r="GI889" s="3"/>
      <c r="GJ889" s="3"/>
      <c r="GK889" s="3"/>
      <c r="GL889" s="3"/>
      <c r="GM889" s="3"/>
      <c r="GN889" s="3"/>
      <c r="GO889" s="3"/>
      <c r="GP889" s="3"/>
      <c r="GQ889" s="3"/>
      <c r="GR889" s="3"/>
      <c r="GS889" s="3"/>
      <c r="GT889" s="3"/>
      <c r="GU889" s="3"/>
      <c r="GV889" s="3"/>
      <c r="GW889" s="3"/>
      <c r="GX889" s="3"/>
      <c r="GY889" s="3"/>
      <c r="GZ889" s="3"/>
      <c r="HA889" s="3"/>
      <c r="HB889" s="3"/>
    </row>
    <row r="890" spans="1:210" ht="15.75" customHeight="1">
      <c r="A890" s="50"/>
      <c r="B890" s="50"/>
      <c r="C890" s="50"/>
      <c r="D890" s="50"/>
      <c r="E890" s="50"/>
      <c r="F890" s="50"/>
      <c r="G890" s="51"/>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c r="BS890" s="50"/>
      <c r="BT890" s="50"/>
      <c r="BU890" s="50"/>
      <c r="BV890" s="50"/>
      <c r="BW890" s="50"/>
      <c r="BX890" s="50"/>
      <c r="BY890" s="50"/>
      <c r="BZ890" s="50"/>
      <c r="CA890" s="50"/>
      <c r="CB890" s="50"/>
      <c r="CC890" s="50"/>
      <c r="CD890" s="52"/>
      <c r="CE890" s="50"/>
      <c r="CF890" s="50"/>
      <c r="CG890" s="50"/>
      <c r="CH890" s="50"/>
      <c r="CI890" s="50"/>
      <c r="CJ890" s="50"/>
      <c r="CK890" s="50"/>
      <c r="CL890" s="50"/>
      <c r="CM890" s="50"/>
      <c r="CN890" s="50"/>
      <c r="CO890" s="50"/>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c r="FF890" s="3"/>
      <c r="FG890" s="3"/>
      <c r="FH890" s="3"/>
      <c r="FI890" s="3"/>
      <c r="FJ890" s="3"/>
      <c r="FK890" s="3"/>
      <c r="FL890" s="3"/>
      <c r="FM890" s="3"/>
      <c r="FN890" s="3"/>
      <c r="FO890" s="3"/>
      <c r="FP890" s="3"/>
      <c r="FQ890" s="3"/>
      <c r="FR890" s="3"/>
      <c r="FS890" s="3"/>
      <c r="FT890" s="3"/>
      <c r="FU890" s="3"/>
      <c r="FV890" s="3"/>
      <c r="FW890" s="3"/>
      <c r="FX890" s="3"/>
      <c r="FY890" s="3"/>
      <c r="FZ890" s="3"/>
      <c r="GA890" s="3"/>
      <c r="GB890" s="3"/>
      <c r="GC890" s="3"/>
      <c r="GD890" s="3"/>
      <c r="GE890" s="3"/>
      <c r="GF890" s="3"/>
      <c r="GG890" s="3"/>
      <c r="GH890" s="3"/>
      <c r="GI890" s="3"/>
      <c r="GJ890" s="3"/>
      <c r="GK890" s="3"/>
      <c r="GL890" s="3"/>
      <c r="GM890" s="3"/>
      <c r="GN890" s="3"/>
      <c r="GO890" s="3"/>
      <c r="GP890" s="3"/>
      <c r="GQ890" s="3"/>
      <c r="GR890" s="3"/>
      <c r="GS890" s="3"/>
      <c r="GT890" s="3"/>
      <c r="GU890" s="3"/>
      <c r="GV890" s="3"/>
      <c r="GW890" s="3"/>
      <c r="GX890" s="3"/>
      <c r="GY890" s="3"/>
      <c r="GZ890" s="3"/>
      <c r="HA890" s="3"/>
      <c r="HB890" s="3"/>
    </row>
    <row r="891" spans="1:210" ht="15.75" customHeight="1">
      <c r="A891" s="50"/>
      <c r="B891" s="50"/>
      <c r="C891" s="50"/>
      <c r="D891" s="50"/>
      <c r="E891" s="50"/>
      <c r="F891" s="50"/>
      <c r="G891" s="51"/>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c r="AV891" s="50"/>
      <c r="AW891" s="50"/>
      <c r="AX891" s="50"/>
      <c r="AY891" s="50"/>
      <c r="AZ891" s="50"/>
      <c r="BA891" s="50"/>
      <c r="BB891" s="50"/>
      <c r="BC891" s="50"/>
      <c r="BD891" s="50"/>
      <c r="BE891" s="50"/>
      <c r="BF891" s="50"/>
      <c r="BG891" s="50"/>
      <c r="BH891" s="50"/>
      <c r="BI891" s="50"/>
      <c r="BJ891" s="50"/>
      <c r="BK891" s="50"/>
      <c r="BL891" s="50"/>
      <c r="BM891" s="50"/>
      <c r="BN891" s="50"/>
      <c r="BO891" s="50"/>
      <c r="BP891" s="50"/>
      <c r="BQ891" s="50"/>
      <c r="BR891" s="50"/>
      <c r="BS891" s="50"/>
      <c r="BT891" s="50"/>
      <c r="BU891" s="50"/>
      <c r="BV891" s="50"/>
      <c r="BW891" s="50"/>
      <c r="BX891" s="50"/>
      <c r="BY891" s="50"/>
      <c r="BZ891" s="50"/>
      <c r="CA891" s="50"/>
      <c r="CB891" s="50"/>
      <c r="CC891" s="50"/>
      <c r="CD891" s="52"/>
      <c r="CE891" s="50"/>
      <c r="CF891" s="50"/>
      <c r="CG891" s="50"/>
      <c r="CH891" s="50"/>
      <c r="CI891" s="50"/>
      <c r="CJ891" s="50"/>
      <c r="CK891" s="50"/>
      <c r="CL891" s="50"/>
      <c r="CM891" s="50"/>
      <c r="CN891" s="50"/>
      <c r="CO891" s="50"/>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c r="FF891" s="3"/>
      <c r="FG891" s="3"/>
      <c r="FH891" s="3"/>
      <c r="FI891" s="3"/>
      <c r="FJ891" s="3"/>
      <c r="FK891" s="3"/>
      <c r="FL891" s="3"/>
      <c r="FM891" s="3"/>
      <c r="FN891" s="3"/>
      <c r="FO891" s="3"/>
      <c r="FP891" s="3"/>
      <c r="FQ891" s="3"/>
      <c r="FR891" s="3"/>
      <c r="FS891" s="3"/>
      <c r="FT891" s="3"/>
      <c r="FU891" s="3"/>
      <c r="FV891" s="3"/>
      <c r="FW891" s="3"/>
      <c r="FX891" s="3"/>
      <c r="FY891" s="3"/>
      <c r="FZ891" s="3"/>
      <c r="GA891" s="3"/>
      <c r="GB891" s="3"/>
      <c r="GC891" s="3"/>
      <c r="GD891" s="3"/>
      <c r="GE891" s="3"/>
      <c r="GF891" s="3"/>
      <c r="GG891" s="3"/>
      <c r="GH891" s="3"/>
      <c r="GI891" s="3"/>
      <c r="GJ891" s="3"/>
      <c r="GK891" s="3"/>
      <c r="GL891" s="3"/>
      <c r="GM891" s="3"/>
      <c r="GN891" s="3"/>
      <c r="GO891" s="3"/>
      <c r="GP891" s="3"/>
      <c r="GQ891" s="3"/>
      <c r="GR891" s="3"/>
      <c r="GS891" s="3"/>
      <c r="GT891" s="3"/>
      <c r="GU891" s="3"/>
      <c r="GV891" s="3"/>
      <c r="GW891" s="3"/>
      <c r="GX891" s="3"/>
      <c r="GY891" s="3"/>
      <c r="GZ891" s="3"/>
      <c r="HA891" s="3"/>
      <c r="HB891" s="3"/>
    </row>
    <row r="892" spans="1:210" ht="15.75" customHeight="1">
      <c r="A892" s="50"/>
      <c r="B892" s="50"/>
      <c r="C892" s="50"/>
      <c r="D892" s="50"/>
      <c r="E892" s="50"/>
      <c r="F892" s="50"/>
      <c r="G892" s="51"/>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c r="AV892" s="50"/>
      <c r="AW892" s="50"/>
      <c r="AX892" s="50"/>
      <c r="AY892" s="50"/>
      <c r="AZ892" s="50"/>
      <c r="BA892" s="50"/>
      <c r="BB892" s="50"/>
      <c r="BC892" s="50"/>
      <c r="BD892" s="50"/>
      <c r="BE892" s="50"/>
      <c r="BF892" s="50"/>
      <c r="BG892" s="50"/>
      <c r="BH892" s="50"/>
      <c r="BI892" s="50"/>
      <c r="BJ892" s="50"/>
      <c r="BK892" s="50"/>
      <c r="BL892" s="50"/>
      <c r="BM892" s="50"/>
      <c r="BN892" s="50"/>
      <c r="BO892" s="50"/>
      <c r="BP892" s="50"/>
      <c r="BQ892" s="50"/>
      <c r="BR892" s="50"/>
      <c r="BS892" s="50"/>
      <c r="BT892" s="50"/>
      <c r="BU892" s="50"/>
      <c r="BV892" s="50"/>
      <c r="BW892" s="50"/>
      <c r="BX892" s="50"/>
      <c r="BY892" s="50"/>
      <c r="BZ892" s="50"/>
      <c r="CA892" s="50"/>
      <c r="CB892" s="50"/>
      <c r="CC892" s="50"/>
      <c r="CD892" s="52"/>
      <c r="CE892" s="50"/>
      <c r="CF892" s="50"/>
      <c r="CG892" s="50"/>
      <c r="CH892" s="50"/>
      <c r="CI892" s="50"/>
      <c r="CJ892" s="50"/>
      <c r="CK892" s="50"/>
      <c r="CL892" s="50"/>
      <c r="CM892" s="50"/>
      <c r="CN892" s="50"/>
      <c r="CO892" s="50"/>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c r="FF892" s="3"/>
      <c r="FG892" s="3"/>
      <c r="FH892" s="3"/>
      <c r="FI892" s="3"/>
      <c r="FJ892" s="3"/>
      <c r="FK892" s="3"/>
      <c r="FL892" s="3"/>
      <c r="FM892" s="3"/>
      <c r="FN892" s="3"/>
      <c r="FO892" s="3"/>
      <c r="FP892" s="3"/>
      <c r="FQ892" s="3"/>
      <c r="FR892" s="3"/>
      <c r="FS892" s="3"/>
      <c r="FT892" s="3"/>
      <c r="FU892" s="3"/>
      <c r="FV892" s="3"/>
      <c r="FW892" s="3"/>
      <c r="FX892" s="3"/>
      <c r="FY892" s="3"/>
      <c r="FZ892" s="3"/>
      <c r="GA892" s="3"/>
      <c r="GB892" s="3"/>
      <c r="GC892" s="3"/>
      <c r="GD892" s="3"/>
      <c r="GE892" s="3"/>
      <c r="GF892" s="3"/>
      <c r="GG892" s="3"/>
      <c r="GH892" s="3"/>
      <c r="GI892" s="3"/>
      <c r="GJ892" s="3"/>
      <c r="GK892" s="3"/>
      <c r="GL892" s="3"/>
      <c r="GM892" s="3"/>
      <c r="GN892" s="3"/>
      <c r="GO892" s="3"/>
      <c r="GP892" s="3"/>
      <c r="GQ892" s="3"/>
      <c r="GR892" s="3"/>
      <c r="GS892" s="3"/>
      <c r="GT892" s="3"/>
      <c r="GU892" s="3"/>
      <c r="GV892" s="3"/>
      <c r="GW892" s="3"/>
      <c r="GX892" s="3"/>
      <c r="GY892" s="3"/>
      <c r="GZ892" s="3"/>
      <c r="HA892" s="3"/>
      <c r="HB892" s="3"/>
    </row>
    <row r="893" spans="1:210" ht="15.75" customHeight="1">
      <c r="A893" s="50"/>
      <c r="B893" s="50"/>
      <c r="C893" s="50"/>
      <c r="D893" s="50"/>
      <c r="E893" s="50"/>
      <c r="F893" s="50"/>
      <c r="G893" s="51"/>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c r="AV893" s="50"/>
      <c r="AW893" s="50"/>
      <c r="AX893" s="50"/>
      <c r="AY893" s="50"/>
      <c r="AZ893" s="50"/>
      <c r="BA893" s="50"/>
      <c r="BB893" s="50"/>
      <c r="BC893" s="50"/>
      <c r="BD893" s="50"/>
      <c r="BE893" s="50"/>
      <c r="BF893" s="50"/>
      <c r="BG893" s="50"/>
      <c r="BH893" s="50"/>
      <c r="BI893" s="50"/>
      <c r="BJ893" s="50"/>
      <c r="BK893" s="50"/>
      <c r="BL893" s="50"/>
      <c r="BM893" s="50"/>
      <c r="BN893" s="50"/>
      <c r="BO893" s="50"/>
      <c r="BP893" s="50"/>
      <c r="BQ893" s="50"/>
      <c r="BR893" s="50"/>
      <c r="BS893" s="50"/>
      <c r="BT893" s="50"/>
      <c r="BU893" s="50"/>
      <c r="BV893" s="50"/>
      <c r="BW893" s="50"/>
      <c r="BX893" s="50"/>
      <c r="BY893" s="50"/>
      <c r="BZ893" s="50"/>
      <c r="CA893" s="50"/>
      <c r="CB893" s="50"/>
      <c r="CC893" s="50"/>
      <c r="CD893" s="52"/>
      <c r="CE893" s="50"/>
      <c r="CF893" s="50"/>
      <c r="CG893" s="50"/>
      <c r="CH893" s="50"/>
      <c r="CI893" s="50"/>
      <c r="CJ893" s="50"/>
      <c r="CK893" s="50"/>
      <c r="CL893" s="50"/>
      <c r="CM893" s="50"/>
      <c r="CN893" s="50"/>
      <c r="CO893" s="50"/>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c r="FF893" s="3"/>
      <c r="FG893" s="3"/>
      <c r="FH893" s="3"/>
      <c r="FI893" s="3"/>
      <c r="FJ893" s="3"/>
      <c r="FK893" s="3"/>
      <c r="FL893" s="3"/>
      <c r="FM893" s="3"/>
      <c r="FN893" s="3"/>
      <c r="FO893" s="3"/>
      <c r="FP893" s="3"/>
      <c r="FQ893" s="3"/>
      <c r="FR893" s="3"/>
      <c r="FS893" s="3"/>
      <c r="FT893" s="3"/>
      <c r="FU893" s="3"/>
      <c r="FV893" s="3"/>
      <c r="FW893" s="3"/>
      <c r="FX893" s="3"/>
      <c r="FY893" s="3"/>
      <c r="FZ893" s="3"/>
      <c r="GA893" s="3"/>
      <c r="GB893" s="3"/>
      <c r="GC893" s="3"/>
      <c r="GD893" s="3"/>
      <c r="GE893" s="3"/>
      <c r="GF893" s="3"/>
      <c r="GG893" s="3"/>
      <c r="GH893" s="3"/>
      <c r="GI893" s="3"/>
      <c r="GJ893" s="3"/>
      <c r="GK893" s="3"/>
      <c r="GL893" s="3"/>
      <c r="GM893" s="3"/>
      <c r="GN893" s="3"/>
      <c r="GO893" s="3"/>
      <c r="GP893" s="3"/>
      <c r="GQ893" s="3"/>
      <c r="GR893" s="3"/>
      <c r="GS893" s="3"/>
      <c r="GT893" s="3"/>
      <c r="GU893" s="3"/>
      <c r="GV893" s="3"/>
      <c r="GW893" s="3"/>
      <c r="GX893" s="3"/>
      <c r="GY893" s="3"/>
      <c r="GZ893" s="3"/>
      <c r="HA893" s="3"/>
      <c r="HB893" s="3"/>
    </row>
    <row r="894" spans="1:210" ht="15.75" customHeight="1">
      <c r="A894" s="50"/>
      <c r="B894" s="50"/>
      <c r="C894" s="50"/>
      <c r="D894" s="50"/>
      <c r="E894" s="50"/>
      <c r="F894" s="50"/>
      <c r="G894" s="51"/>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c r="AV894" s="50"/>
      <c r="AW894" s="50"/>
      <c r="AX894" s="50"/>
      <c r="AY894" s="50"/>
      <c r="AZ894" s="50"/>
      <c r="BA894" s="50"/>
      <c r="BB894" s="50"/>
      <c r="BC894" s="50"/>
      <c r="BD894" s="50"/>
      <c r="BE894" s="50"/>
      <c r="BF894" s="50"/>
      <c r="BG894" s="50"/>
      <c r="BH894" s="50"/>
      <c r="BI894" s="50"/>
      <c r="BJ894" s="50"/>
      <c r="BK894" s="50"/>
      <c r="BL894" s="50"/>
      <c r="BM894" s="50"/>
      <c r="BN894" s="50"/>
      <c r="BO894" s="50"/>
      <c r="BP894" s="50"/>
      <c r="BQ894" s="50"/>
      <c r="BR894" s="50"/>
      <c r="BS894" s="50"/>
      <c r="BT894" s="50"/>
      <c r="BU894" s="50"/>
      <c r="BV894" s="50"/>
      <c r="BW894" s="50"/>
      <c r="BX894" s="50"/>
      <c r="BY894" s="50"/>
      <c r="BZ894" s="50"/>
      <c r="CA894" s="50"/>
      <c r="CB894" s="50"/>
      <c r="CC894" s="50"/>
      <c r="CD894" s="52"/>
      <c r="CE894" s="50"/>
      <c r="CF894" s="50"/>
      <c r="CG894" s="50"/>
      <c r="CH894" s="50"/>
      <c r="CI894" s="50"/>
      <c r="CJ894" s="50"/>
      <c r="CK894" s="50"/>
      <c r="CL894" s="50"/>
      <c r="CM894" s="50"/>
      <c r="CN894" s="50"/>
      <c r="CO894" s="50"/>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c r="FF894" s="3"/>
      <c r="FG894" s="3"/>
      <c r="FH894" s="3"/>
      <c r="FI894" s="3"/>
      <c r="FJ894" s="3"/>
      <c r="FK894" s="3"/>
      <c r="FL894" s="3"/>
      <c r="FM894" s="3"/>
      <c r="FN894" s="3"/>
      <c r="FO894" s="3"/>
      <c r="FP894" s="3"/>
      <c r="FQ894" s="3"/>
      <c r="FR894" s="3"/>
      <c r="FS894" s="3"/>
      <c r="FT894" s="3"/>
      <c r="FU894" s="3"/>
      <c r="FV894" s="3"/>
      <c r="FW894" s="3"/>
      <c r="FX894" s="3"/>
      <c r="FY894" s="3"/>
      <c r="FZ894" s="3"/>
      <c r="GA894" s="3"/>
      <c r="GB894" s="3"/>
      <c r="GC894" s="3"/>
      <c r="GD894" s="3"/>
      <c r="GE894" s="3"/>
      <c r="GF894" s="3"/>
      <c r="GG894" s="3"/>
      <c r="GH894" s="3"/>
      <c r="GI894" s="3"/>
      <c r="GJ894" s="3"/>
      <c r="GK894" s="3"/>
      <c r="GL894" s="3"/>
      <c r="GM894" s="3"/>
      <c r="GN894" s="3"/>
      <c r="GO894" s="3"/>
      <c r="GP894" s="3"/>
      <c r="GQ894" s="3"/>
      <c r="GR894" s="3"/>
      <c r="GS894" s="3"/>
      <c r="GT894" s="3"/>
      <c r="GU894" s="3"/>
      <c r="GV894" s="3"/>
      <c r="GW894" s="3"/>
      <c r="GX894" s="3"/>
      <c r="GY894" s="3"/>
      <c r="GZ894" s="3"/>
      <c r="HA894" s="3"/>
      <c r="HB894" s="3"/>
    </row>
    <row r="895" spans="1:210" ht="15.75" customHeight="1">
      <c r="A895" s="50"/>
      <c r="B895" s="50"/>
      <c r="C895" s="50"/>
      <c r="D895" s="50"/>
      <c r="E895" s="50"/>
      <c r="F895" s="50"/>
      <c r="G895" s="51"/>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c r="AV895" s="50"/>
      <c r="AW895" s="50"/>
      <c r="AX895" s="50"/>
      <c r="AY895" s="50"/>
      <c r="AZ895" s="50"/>
      <c r="BA895" s="50"/>
      <c r="BB895" s="50"/>
      <c r="BC895" s="50"/>
      <c r="BD895" s="50"/>
      <c r="BE895" s="50"/>
      <c r="BF895" s="50"/>
      <c r="BG895" s="50"/>
      <c r="BH895" s="50"/>
      <c r="BI895" s="50"/>
      <c r="BJ895" s="50"/>
      <c r="BK895" s="50"/>
      <c r="BL895" s="50"/>
      <c r="BM895" s="50"/>
      <c r="BN895" s="50"/>
      <c r="BO895" s="50"/>
      <c r="BP895" s="50"/>
      <c r="BQ895" s="50"/>
      <c r="BR895" s="50"/>
      <c r="BS895" s="50"/>
      <c r="BT895" s="50"/>
      <c r="BU895" s="50"/>
      <c r="BV895" s="50"/>
      <c r="BW895" s="50"/>
      <c r="BX895" s="50"/>
      <c r="BY895" s="50"/>
      <c r="BZ895" s="50"/>
      <c r="CA895" s="50"/>
      <c r="CB895" s="50"/>
      <c r="CC895" s="50"/>
      <c r="CD895" s="52"/>
      <c r="CE895" s="50"/>
      <c r="CF895" s="50"/>
      <c r="CG895" s="50"/>
      <c r="CH895" s="50"/>
      <c r="CI895" s="50"/>
      <c r="CJ895" s="50"/>
      <c r="CK895" s="50"/>
      <c r="CL895" s="50"/>
      <c r="CM895" s="50"/>
      <c r="CN895" s="50"/>
      <c r="CO895" s="50"/>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c r="FF895" s="3"/>
      <c r="FG895" s="3"/>
      <c r="FH895" s="3"/>
      <c r="FI895" s="3"/>
      <c r="FJ895" s="3"/>
      <c r="FK895" s="3"/>
      <c r="FL895" s="3"/>
      <c r="FM895" s="3"/>
      <c r="FN895" s="3"/>
      <c r="FO895" s="3"/>
      <c r="FP895" s="3"/>
      <c r="FQ895" s="3"/>
      <c r="FR895" s="3"/>
      <c r="FS895" s="3"/>
      <c r="FT895" s="3"/>
      <c r="FU895" s="3"/>
      <c r="FV895" s="3"/>
      <c r="FW895" s="3"/>
      <c r="FX895" s="3"/>
      <c r="FY895" s="3"/>
      <c r="FZ895" s="3"/>
      <c r="GA895" s="3"/>
      <c r="GB895" s="3"/>
      <c r="GC895" s="3"/>
      <c r="GD895" s="3"/>
      <c r="GE895" s="3"/>
      <c r="GF895" s="3"/>
      <c r="GG895" s="3"/>
      <c r="GH895" s="3"/>
      <c r="GI895" s="3"/>
      <c r="GJ895" s="3"/>
      <c r="GK895" s="3"/>
      <c r="GL895" s="3"/>
      <c r="GM895" s="3"/>
      <c r="GN895" s="3"/>
      <c r="GO895" s="3"/>
      <c r="GP895" s="3"/>
      <c r="GQ895" s="3"/>
      <c r="GR895" s="3"/>
      <c r="GS895" s="3"/>
      <c r="GT895" s="3"/>
      <c r="GU895" s="3"/>
      <c r="GV895" s="3"/>
      <c r="GW895" s="3"/>
      <c r="GX895" s="3"/>
      <c r="GY895" s="3"/>
      <c r="GZ895" s="3"/>
      <c r="HA895" s="3"/>
      <c r="HB895" s="3"/>
    </row>
    <row r="896" spans="1:210" ht="15.75" customHeight="1">
      <c r="A896" s="50"/>
      <c r="B896" s="50"/>
      <c r="C896" s="50"/>
      <c r="D896" s="50"/>
      <c r="E896" s="50"/>
      <c r="F896" s="50"/>
      <c r="G896" s="51"/>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c r="AV896" s="50"/>
      <c r="AW896" s="50"/>
      <c r="AX896" s="50"/>
      <c r="AY896" s="50"/>
      <c r="AZ896" s="50"/>
      <c r="BA896" s="50"/>
      <c r="BB896" s="50"/>
      <c r="BC896" s="50"/>
      <c r="BD896" s="50"/>
      <c r="BE896" s="50"/>
      <c r="BF896" s="50"/>
      <c r="BG896" s="50"/>
      <c r="BH896" s="50"/>
      <c r="BI896" s="50"/>
      <c r="BJ896" s="50"/>
      <c r="BK896" s="50"/>
      <c r="BL896" s="50"/>
      <c r="BM896" s="50"/>
      <c r="BN896" s="50"/>
      <c r="BO896" s="50"/>
      <c r="BP896" s="50"/>
      <c r="BQ896" s="50"/>
      <c r="BR896" s="50"/>
      <c r="BS896" s="50"/>
      <c r="BT896" s="50"/>
      <c r="BU896" s="50"/>
      <c r="BV896" s="50"/>
      <c r="BW896" s="50"/>
      <c r="BX896" s="50"/>
      <c r="BY896" s="50"/>
      <c r="BZ896" s="50"/>
      <c r="CA896" s="50"/>
      <c r="CB896" s="50"/>
      <c r="CC896" s="50"/>
      <c r="CD896" s="52"/>
      <c r="CE896" s="50"/>
      <c r="CF896" s="50"/>
      <c r="CG896" s="50"/>
      <c r="CH896" s="50"/>
      <c r="CI896" s="50"/>
      <c r="CJ896" s="50"/>
      <c r="CK896" s="50"/>
      <c r="CL896" s="50"/>
      <c r="CM896" s="50"/>
      <c r="CN896" s="50"/>
      <c r="CO896" s="50"/>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c r="FF896" s="3"/>
      <c r="FG896" s="3"/>
      <c r="FH896" s="3"/>
      <c r="FI896" s="3"/>
      <c r="FJ896" s="3"/>
      <c r="FK896" s="3"/>
      <c r="FL896" s="3"/>
      <c r="FM896" s="3"/>
      <c r="FN896" s="3"/>
      <c r="FO896" s="3"/>
      <c r="FP896" s="3"/>
      <c r="FQ896" s="3"/>
      <c r="FR896" s="3"/>
      <c r="FS896" s="3"/>
      <c r="FT896" s="3"/>
      <c r="FU896" s="3"/>
      <c r="FV896" s="3"/>
      <c r="FW896" s="3"/>
      <c r="FX896" s="3"/>
      <c r="FY896" s="3"/>
      <c r="FZ896" s="3"/>
      <c r="GA896" s="3"/>
      <c r="GB896" s="3"/>
      <c r="GC896" s="3"/>
      <c r="GD896" s="3"/>
      <c r="GE896" s="3"/>
      <c r="GF896" s="3"/>
      <c r="GG896" s="3"/>
      <c r="GH896" s="3"/>
      <c r="GI896" s="3"/>
      <c r="GJ896" s="3"/>
      <c r="GK896" s="3"/>
      <c r="GL896" s="3"/>
      <c r="GM896" s="3"/>
      <c r="GN896" s="3"/>
      <c r="GO896" s="3"/>
      <c r="GP896" s="3"/>
      <c r="GQ896" s="3"/>
      <c r="GR896" s="3"/>
      <c r="GS896" s="3"/>
      <c r="GT896" s="3"/>
      <c r="GU896" s="3"/>
      <c r="GV896" s="3"/>
      <c r="GW896" s="3"/>
      <c r="GX896" s="3"/>
      <c r="GY896" s="3"/>
      <c r="GZ896" s="3"/>
      <c r="HA896" s="3"/>
      <c r="HB896" s="3"/>
    </row>
    <row r="897" spans="1:210" ht="15.75" customHeight="1">
      <c r="A897" s="50"/>
      <c r="B897" s="50"/>
      <c r="C897" s="50"/>
      <c r="D897" s="50"/>
      <c r="E897" s="50"/>
      <c r="F897" s="50"/>
      <c r="G897" s="51"/>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c r="AV897" s="50"/>
      <c r="AW897" s="50"/>
      <c r="AX897" s="50"/>
      <c r="AY897" s="50"/>
      <c r="AZ897" s="50"/>
      <c r="BA897" s="50"/>
      <c r="BB897" s="50"/>
      <c r="BC897" s="50"/>
      <c r="BD897" s="50"/>
      <c r="BE897" s="50"/>
      <c r="BF897" s="50"/>
      <c r="BG897" s="50"/>
      <c r="BH897" s="50"/>
      <c r="BI897" s="50"/>
      <c r="BJ897" s="50"/>
      <c r="BK897" s="50"/>
      <c r="BL897" s="50"/>
      <c r="BM897" s="50"/>
      <c r="BN897" s="50"/>
      <c r="BO897" s="50"/>
      <c r="BP897" s="50"/>
      <c r="BQ897" s="50"/>
      <c r="BR897" s="50"/>
      <c r="BS897" s="50"/>
      <c r="BT897" s="50"/>
      <c r="BU897" s="50"/>
      <c r="BV897" s="50"/>
      <c r="BW897" s="50"/>
      <c r="BX897" s="50"/>
      <c r="BY897" s="50"/>
      <c r="BZ897" s="50"/>
      <c r="CA897" s="50"/>
      <c r="CB897" s="50"/>
      <c r="CC897" s="50"/>
      <c r="CD897" s="52"/>
      <c r="CE897" s="50"/>
      <c r="CF897" s="50"/>
      <c r="CG897" s="50"/>
      <c r="CH897" s="50"/>
      <c r="CI897" s="50"/>
      <c r="CJ897" s="50"/>
      <c r="CK897" s="50"/>
      <c r="CL897" s="50"/>
      <c r="CM897" s="50"/>
      <c r="CN897" s="50"/>
      <c r="CO897" s="50"/>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c r="FF897" s="3"/>
      <c r="FG897" s="3"/>
      <c r="FH897" s="3"/>
      <c r="FI897" s="3"/>
      <c r="FJ897" s="3"/>
      <c r="FK897" s="3"/>
      <c r="FL897" s="3"/>
      <c r="FM897" s="3"/>
      <c r="FN897" s="3"/>
      <c r="FO897" s="3"/>
      <c r="FP897" s="3"/>
      <c r="FQ897" s="3"/>
      <c r="FR897" s="3"/>
      <c r="FS897" s="3"/>
      <c r="FT897" s="3"/>
      <c r="FU897" s="3"/>
      <c r="FV897" s="3"/>
      <c r="FW897" s="3"/>
      <c r="FX897" s="3"/>
      <c r="FY897" s="3"/>
      <c r="FZ897" s="3"/>
      <c r="GA897" s="3"/>
      <c r="GB897" s="3"/>
      <c r="GC897" s="3"/>
      <c r="GD897" s="3"/>
      <c r="GE897" s="3"/>
      <c r="GF897" s="3"/>
      <c r="GG897" s="3"/>
      <c r="GH897" s="3"/>
      <c r="GI897" s="3"/>
      <c r="GJ897" s="3"/>
      <c r="GK897" s="3"/>
      <c r="GL897" s="3"/>
      <c r="GM897" s="3"/>
      <c r="GN897" s="3"/>
      <c r="GO897" s="3"/>
      <c r="GP897" s="3"/>
      <c r="GQ897" s="3"/>
      <c r="GR897" s="3"/>
      <c r="GS897" s="3"/>
      <c r="GT897" s="3"/>
      <c r="GU897" s="3"/>
      <c r="GV897" s="3"/>
      <c r="GW897" s="3"/>
      <c r="GX897" s="3"/>
      <c r="GY897" s="3"/>
      <c r="GZ897" s="3"/>
      <c r="HA897" s="3"/>
      <c r="HB897" s="3"/>
    </row>
    <row r="898" spans="1:210" ht="15.75" customHeight="1">
      <c r="A898" s="50"/>
      <c r="B898" s="50"/>
      <c r="C898" s="50"/>
      <c r="D898" s="50"/>
      <c r="E898" s="50"/>
      <c r="F898" s="50"/>
      <c r="G898" s="51"/>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c r="AV898" s="50"/>
      <c r="AW898" s="50"/>
      <c r="AX898" s="50"/>
      <c r="AY898" s="50"/>
      <c r="AZ898" s="50"/>
      <c r="BA898" s="50"/>
      <c r="BB898" s="50"/>
      <c r="BC898" s="50"/>
      <c r="BD898" s="50"/>
      <c r="BE898" s="50"/>
      <c r="BF898" s="50"/>
      <c r="BG898" s="50"/>
      <c r="BH898" s="50"/>
      <c r="BI898" s="50"/>
      <c r="BJ898" s="50"/>
      <c r="BK898" s="50"/>
      <c r="BL898" s="50"/>
      <c r="BM898" s="50"/>
      <c r="BN898" s="50"/>
      <c r="BO898" s="50"/>
      <c r="BP898" s="50"/>
      <c r="BQ898" s="50"/>
      <c r="BR898" s="50"/>
      <c r="BS898" s="50"/>
      <c r="BT898" s="50"/>
      <c r="BU898" s="50"/>
      <c r="BV898" s="50"/>
      <c r="BW898" s="50"/>
      <c r="BX898" s="50"/>
      <c r="BY898" s="50"/>
      <c r="BZ898" s="50"/>
      <c r="CA898" s="50"/>
      <c r="CB898" s="50"/>
      <c r="CC898" s="50"/>
      <c r="CD898" s="52"/>
      <c r="CE898" s="50"/>
      <c r="CF898" s="50"/>
      <c r="CG898" s="50"/>
      <c r="CH898" s="50"/>
      <c r="CI898" s="50"/>
      <c r="CJ898" s="50"/>
      <c r="CK898" s="50"/>
      <c r="CL898" s="50"/>
      <c r="CM898" s="50"/>
      <c r="CN898" s="50"/>
      <c r="CO898" s="50"/>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c r="FF898" s="3"/>
      <c r="FG898" s="3"/>
      <c r="FH898" s="3"/>
      <c r="FI898" s="3"/>
      <c r="FJ898" s="3"/>
      <c r="FK898" s="3"/>
      <c r="FL898" s="3"/>
      <c r="FM898" s="3"/>
      <c r="FN898" s="3"/>
      <c r="FO898" s="3"/>
      <c r="FP898" s="3"/>
      <c r="FQ898" s="3"/>
      <c r="FR898" s="3"/>
      <c r="FS898" s="3"/>
      <c r="FT898" s="3"/>
      <c r="FU898" s="3"/>
      <c r="FV898" s="3"/>
      <c r="FW898" s="3"/>
      <c r="FX898" s="3"/>
      <c r="FY898" s="3"/>
      <c r="FZ898" s="3"/>
      <c r="GA898" s="3"/>
      <c r="GB898" s="3"/>
      <c r="GC898" s="3"/>
      <c r="GD898" s="3"/>
      <c r="GE898" s="3"/>
      <c r="GF898" s="3"/>
      <c r="GG898" s="3"/>
      <c r="GH898" s="3"/>
      <c r="GI898" s="3"/>
      <c r="GJ898" s="3"/>
      <c r="GK898" s="3"/>
      <c r="GL898" s="3"/>
      <c r="GM898" s="3"/>
      <c r="GN898" s="3"/>
      <c r="GO898" s="3"/>
      <c r="GP898" s="3"/>
      <c r="GQ898" s="3"/>
      <c r="GR898" s="3"/>
      <c r="GS898" s="3"/>
      <c r="GT898" s="3"/>
      <c r="GU898" s="3"/>
      <c r="GV898" s="3"/>
      <c r="GW898" s="3"/>
      <c r="GX898" s="3"/>
      <c r="GY898" s="3"/>
      <c r="GZ898" s="3"/>
      <c r="HA898" s="3"/>
      <c r="HB898" s="3"/>
    </row>
    <row r="899" spans="1:210" ht="15.75" customHeight="1">
      <c r="A899" s="50"/>
      <c r="B899" s="50"/>
      <c r="C899" s="50"/>
      <c r="D899" s="50"/>
      <c r="E899" s="50"/>
      <c r="F899" s="50"/>
      <c r="G899" s="51"/>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c r="AV899" s="50"/>
      <c r="AW899" s="50"/>
      <c r="AX899" s="50"/>
      <c r="AY899" s="50"/>
      <c r="AZ899" s="50"/>
      <c r="BA899" s="50"/>
      <c r="BB899" s="50"/>
      <c r="BC899" s="50"/>
      <c r="BD899" s="50"/>
      <c r="BE899" s="50"/>
      <c r="BF899" s="50"/>
      <c r="BG899" s="50"/>
      <c r="BH899" s="50"/>
      <c r="BI899" s="50"/>
      <c r="BJ899" s="50"/>
      <c r="BK899" s="50"/>
      <c r="BL899" s="50"/>
      <c r="BM899" s="50"/>
      <c r="BN899" s="50"/>
      <c r="BO899" s="50"/>
      <c r="BP899" s="50"/>
      <c r="BQ899" s="50"/>
      <c r="BR899" s="50"/>
      <c r="BS899" s="50"/>
      <c r="BT899" s="50"/>
      <c r="BU899" s="50"/>
      <c r="BV899" s="50"/>
      <c r="BW899" s="50"/>
      <c r="BX899" s="50"/>
      <c r="BY899" s="50"/>
      <c r="BZ899" s="50"/>
      <c r="CA899" s="50"/>
      <c r="CB899" s="50"/>
      <c r="CC899" s="50"/>
      <c r="CD899" s="52"/>
      <c r="CE899" s="50"/>
      <c r="CF899" s="50"/>
      <c r="CG899" s="50"/>
      <c r="CH899" s="50"/>
      <c r="CI899" s="50"/>
      <c r="CJ899" s="50"/>
      <c r="CK899" s="50"/>
      <c r="CL899" s="50"/>
      <c r="CM899" s="50"/>
      <c r="CN899" s="50"/>
      <c r="CO899" s="50"/>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c r="FF899" s="3"/>
      <c r="FG899" s="3"/>
      <c r="FH899" s="3"/>
      <c r="FI899" s="3"/>
      <c r="FJ899" s="3"/>
      <c r="FK899" s="3"/>
      <c r="FL899" s="3"/>
      <c r="FM899" s="3"/>
      <c r="FN899" s="3"/>
      <c r="FO899" s="3"/>
      <c r="FP899" s="3"/>
      <c r="FQ899" s="3"/>
      <c r="FR899" s="3"/>
      <c r="FS899" s="3"/>
      <c r="FT899" s="3"/>
      <c r="FU899" s="3"/>
      <c r="FV899" s="3"/>
      <c r="FW899" s="3"/>
      <c r="FX899" s="3"/>
      <c r="FY899" s="3"/>
      <c r="FZ899" s="3"/>
      <c r="GA899" s="3"/>
      <c r="GB899" s="3"/>
      <c r="GC899" s="3"/>
      <c r="GD899" s="3"/>
      <c r="GE899" s="3"/>
      <c r="GF899" s="3"/>
      <c r="GG899" s="3"/>
      <c r="GH899" s="3"/>
      <c r="GI899" s="3"/>
      <c r="GJ899" s="3"/>
      <c r="GK899" s="3"/>
      <c r="GL899" s="3"/>
      <c r="GM899" s="3"/>
      <c r="GN899" s="3"/>
      <c r="GO899" s="3"/>
      <c r="GP899" s="3"/>
      <c r="GQ899" s="3"/>
      <c r="GR899" s="3"/>
      <c r="GS899" s="3"/>
      <c r="GT899" s="3"/>
      <c r="GU899" s="3"/>
      <c r="GV899" s="3"/>
      <c r="GW899" s="3"/>
      <c r="GX899" s="3"/>
      <c r="GY899" s="3"/>
      <c r="GZ899" s="3"/>
      <c r="HA899" s="3"/>
      <c r="HB899" s="3"/>
    </row>
    <row r="900" spans="1:210" ht="15.75" customHeight="1">
      <c r="A900" s="50"/>
      <c r="B900" s="50"/>
      <c r="C900" s="50"/>
      <c r="D900" s="50"/>
      <c r="E900" s="50"/>
      <c r="F900" s="50"/>
      <c r="G900" s="51"/>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c r="AV900" s="50"/>
      <c r="AW900" s="50"/>
      <c r="AX900" s="50"/>
      <c r="AY900" s="50"/>
      <c r="AZ900" s="50"/>
      <c r="BA900" s="50"/>
      <c r="BB900" s="50"/>
      <c r="BC900" s="50"/>
      <c r="BD900" s="50"/>
      <c r="BE900" s="50"/>
      <c r="BF900" s="50"/>
      <c r="BG900" s="50"/>
      <c r="BH900" s="50"/>
      <c r="BI900" s="50"/>
      <c r="BJ900" s="50"/>
      <c r="BK900" s="50"/>
      <c r="BL900" s="50"/>
      <c r="BM900" s="50"/>
      <c r="BN900" s="50"/>
      <c r="BO900" s="50"/>
      <c r="BP900" s="50"/>
      <c r="BQ900" s="50"/>
      <c r="BR900" s="50"/>
      <c r="BS900" s="50"/>
      <c r="BT900" s="50"/>
      <c r="BU900" s="50"/>
      <c r="BV900" s="50"/>
      <c r="BW900" s="50"/>
      <c r="BX900" s="50"/>
      <c r="BY900" s="50"/>
      <c r="BZ900" s="50"/>
      <c r="CA900" s="50"/>
      <c r="CB900" s="50"/>
      <c r="CC900" s="50"/>
      <c r="CD900" s="52"/>
      <c r="CE900" s="50"/>
      <c r="CF900" s="50"/>
      <c r="CG900" s="50"/>
      <c r="CH900" s="50"/>
      <c r="CI900" s="50"/>
      <c r="CJ900" s="50"/>
      <c r="CK900" s="50"/>
      <c r="CL900" s="50"/>
      <c r="CM900" s="50"/>
      <c r="CN900" s="50"/>
      <c r="CO900" s="50"/>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c r="FF900" s="3"/>
      <c r="FG900" s="3"/>
      <c r="FH900" s="3"/>
      <c r="FI900" s="3"/>
      <c r="FJ900" s="3"/>
      <c r="FK900" s="3"/>
      <c r="FL900" s="3"/>
      <c r="FM900" s="3"/>
      <c r="FN900" s="3"/>
      <c r="FO900" s="3"/>
      <c r="FP900" s="3"/>
      <c r="FQ900" s="3"/>
      <c r="FR900" s="3"/>
      <c r="FS900" s="3"/>
      <c r="FT900" s="3"/>
      <c r="FU900" s="3"/>
      <c r="FV900" s="3"/>
      <c r="FW900" s="3"/>
      <c r="FX900" s="3"/>
      <c r="FY900" s="3"/>
      <c r="FZ900" s="3"/>
      <c r="GA900" s="3"/>
      <c r="GB900" s="3"/>
      <c r="GC900" s="3"/>
      <c r="GD900" s="3"/>
      <c r="GE900" s="3"/>
      <c r="GF900" s="3"/>
      <c r="GG900" s="3"/>
      <c r="GH900" s="3"/>
      <c r="GI900" s="3"/>
      <c r="GJ900" s="3"/>
      <c r="GK900" s="3"/>
      <c r="GL900" s="3"/>
      <c r="GM900" s="3"/>
      <c r="GN900" s="3"/>
      <c r="GO900" s="3"/>
      <c r="GP900" s="3"/>
      <c r="GQ900" s="3"/>
      <c r="GR900" s="3"/>
      <c r="GS900" s="3"/>
      <c r="GT900" s="3"/>
      <c r="GU900" s="3"/>
      <c r="GV900" s="3"/>
      <c r="GW900" s="3"/>
      <c r="GX900" s="3"/>
      <c r="GY900" s="3"/>
      <c r="GZ900" s="3"/>
      <c r="HA900" s="3"/>
      <c r="HB900" s="3"/>
    </row>
    <row r="901" spans="1:210" ht="15.75" customHeight="1">
      <c r="A901" s="50"/>
      <c r="B901" s="50"/>
      <c r="C901" s="50"/>
      <c r="D901" s="50"/>
      <c r="E901" s="50"/>
      <c r="F901" s="50"/>
      <c r="G901" s="51"/>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c r="AV901" s="50"/>
      <c r="AW901" s="50"/>
      <c r="AX901" s="50"/>
      <c r="AY901" s="50"/>
      <c r="AZ901" s="50"/>
      <c r="BA901" s="50"/>
      <c r="BB901" s="50"/>
      <c r="BC901" s="50"/>
      <c r="BD901" s="50"/>
      <c r="BE901" s="50"/>
      <c r="BF901" s="50"/>
      <c r="BG901" s="50"/>
      <c r="BH901" s="50"/>
      <c r="BI901" s="50"/>
      <c r="BJ901" s="50"/>
      <c r="BK901" s="50"/>
      <c r="BL901" s="50"/>
      <c r="BM901" s="50"/>
      <c r="BN901" s="50"/>
      <c r="BO901" s="50"/>
      <c r="BP901" s="50"/>
      <c r="BQ901" s="50"/>
      <c r="BR901" s="50"/>
      <c r="BS901" s="50"/>
      <c r="BT901" s="50"/>
      <c r="BU901" s="50"/>
      <c r="BV901" s="50"/>
      <c r="BW901" s="50"/>
      <c r="BX901" s="50"/>
      <c r="BY901" s="50"/>
      <c r="BZ901" s="50"/>
      <c r="CA901" s="50"/>
      <c r="CB901" s="50"/>
      <c r="CC901" s="50"/>
      <c r="CD901" s="52"/>
      <c r="CE901" s="50"/>
      <c r="CF901" s="50"/>
      <c r="CG901" s="50"/>
      <c r="CH901" s="50"/>
      <c r="CI901" s="50"/>
      <c r="CJ901" s="50"/>
      <c r="CK901" s="50"/>
      <c r="CL901" s="50"/>
      <c r="CM901" s="50"/>
      <c r="CN901" s="50"/>
      <c r="CO901" s="50"/>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c r="FF901" s="3"/>
      <c r="FG901" s="3"/>
      <c r="FH901" s="3"/>
      <c r="FI901" s="3"/>
      <c r="FJ901" s="3"/>
      <c r="FK901" s="3"/>
      <c r="FL901" s="3"/>
      <c r="FM901" s="3"/>
      <c r="FN901" s="3"/>
      <c r="FO901" s="3"/>
      <c r="FP901" s="3"/>
      <c r="FQ901" s="3"/>
      <c r="FR901" s="3"/>
      <c r="FS901" s="3"/>
      <c r="FT901" s="3"/>
      <c r="FU901" s="3"/>
      <c r="FV901" s="3"/>
      <c r="FW901" s="3"/>
      <c r="FX901" s="3"/>
      <c r="FY901" s="3"/>
      <c r="FZ901" s="3"/>
      <c r="GA901" s="3"/>
      <c r="GB901" s="3"/>
      <c r="GC901" s="3"/>
      <c r="GD901" s="3"/>
      <c r="GE901" s="3"/>
      <c r="GF901" s="3"/>
      <c r="GG901" s="3"/>
      <c r="GH901" s="3"/>
      <c r="GI901" s="3"/>
      <c r="GJ901" s="3"/>
      <c r="GK901" s="3"/>
      <c r="GL901" s="3"/>
      <c r="GM901" s="3"/>
      <c r="GN901" s="3"/>
      <c r="GO901" s="3"/>
      <c r="GP901" s="3"/>
      <c r="GQ901" s="3"/>
      <c r="GR901" s="3"/>
      <c r="GS901" s="3"/>
      <c r="GT901" s="3"/>
      <c r="GU901" s="3"/>
      <c r="GV901" s="3"/>
      <c r="GW901" s="3"/>
      <c r="GX901" s="3"/>
      <c r="GY901" s="3"/>
      <c r="GZ901" s="3"/>
      <c r="HA901" s="3"/>
      <c r="HB901" s="3"/>
    </row>
    <row r="902" spans="1:210" ht="15.75" customHeight="1">
      <c r="A902" s="50"/>
      <c r="B902" s="50"/>
      <c r="C902" s="50"/>
      <c r="D902" s="50"/>
      <c r="E902" s="50"/>
      <c r="F902" s="50"/>
      <c r="G902" s="51"/>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c r="AV902" s="50"/>
      <c r="AW902" s="50"/>
      <c r="AX902" s="50"/>
      <c r="AY902" s="50"/>
      <c r="AZ902" s="50"/>
      <c r="BA902" s="50"/>
      <c r="BB902" s="50"/>
      <c r="BC902" s="50"/>
      <c r="BD902" s="50"/>
      <c r="BE902" s="50"/>
      <c r="BF902" s="50"/>
      <c r="BG902" s="50"/>
      <c r="BH902" s="50"/>
      <c r="BI902" s="50"/>
      <c r="BJ902" s="50"/>
      <c r="BK902" s="50"/>
      <c r="BL902" s="50"/>
      <c r="BM902" s="50"/>
      <c r="BN902" s="50"/>
      <c r="BO902" s="50"/>
      <c r="BP902" s="50"/>
      <c r="BQ902" s="50"/>
      <c r="BR902" s="50"/>
      <c r="BS902" s="50"/>
      <c r="BT902" s="50"/>
      <c r="BU902" s="50"/>
      <c r="BV902" s="50"/>
      <c r="BW902" s="50"/>
      <c r="BX902" s="50"/>
      <c r="BY902" s="50"/>
      <c r="BZ902" s="50"/>
      <c r="CA902" s="50"/>
      <c r="CB902" s="50"/>
      <c r="CC902" s="50"/>
      <c r="CD902" s="52"/>
      <c r="CE902" s="50"/>
      <c r="CF902" s="50"/>
      <c r="CG902" s="50"/>
      <c r="CH902" s="50"/>
      <c r="CI902" s="50"/>
      <c r="CJ902" s="50"/>
      <c r="CK902" s="50"/>
      <c r="CL902" s="50"/>
      <c r="CM902" s="50"/>
      <c r="CN902" s="50"/>
      <c r="CO902" s="50"/>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c r="FF902" s="3"/>
      <c r="FG902" s="3"/>
      <c r="FH902" s="3"/>
      <c r="FI902" s="3"/>
      <c r="FJ902" s="3"/>
      <c r="FK902" s="3"/>
      <c r="FL902" s="3"/>
      <c r="FM902" s="3"/>
      <c r="FN902" s="3"/>
      <c r="FO902" s="3"/>
      <c r="FP902" s="3"/>
      <c r="FQ902" s="3"/>
      <c r="FR902" s="3"/>
      <c r="FS902" s="3"/>
      <c r="FT902" s="3"/>
      <c r="FU902" s="3"/>
      <c r="FV902" s="3"/>
      <c r="FW902" s="3"/>
      <c r="FX902" s="3"/>
      <c r="FY902" s="3"/>
      <c r="FZ902" s="3"/>
      <c r="GA902" s="3"/>
      <c r="GB902" s="3"/>
      <c r="GC902" s="3"/>
      <c r="GD902" s="3"/>
      <c r="GE902" s="3"/>
      <c r="GF902" s="3"/>
      <c r="GG902" s="3"/>
      <c r="GH902" s="3"/>
      <c r="GI902" s="3"/>
      <c r="GJ902" s="3"/>
      <c r="GK902" s="3"/>
      <c r="GL902" s="3"/>
      <c r="GM902" s="3"/>
      <c r="GN902" s="3"/>
      <c r="GO902" s="3"/>
      <c r="GP902" s="3"/>
      <c r="GQ902" s="3"/>
      <c r="GR902" s="3"/>
      <c r="GS902" s="3"/>
      <c r="GT902" s="3"/>
      <c r="GU902" s="3"/>
      <c r="GV902" s="3"/>
      <c r="GW902" s="3"/>
      <c r="GX902" s="3"/>
      <c r="GY902" s="3"/>
      <c r="GZ902" s="3"/>
      <c r="HA902" s="3"/>
      <c r="HB902" s="3"/>
    </row>
    <row r="903" spans="1:210" ht="15.75" customHeight="1">
      <c r="A903" s="50"/>
      <c r="B903" s="50"/>
      <c r="C903" s="50"/>
      <c r="D903" s="50"/>
      <c r="E903" s="50"/>
      <c r="F903" s="50"/>
      <c r="G903" s="51"/>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c r="AV903" s="50"/>
      <c r="AW903" s="50"/>
      <c r="AX903" s="50"/>
      <c r="AY903" s="50"/>
      <c r="AZ903" s="50"/>
      <c r="BA903" s="50"/>
      <c r="BB903" s="50"/>
      <c r="BC903" s="50"/>
      <c r="BD903" s="50"/>
      <c r="BE903" s="50"/>
      <c r="BF903" s="50"/>
      <c r="BG903" s="50"/>
      <c r="BH903" s="50"/>
      <c r="BI903" s="50"/>
      <c r="BJ903" s="50"/>
      <c r="BK903" s="50"/>
      <c r="BL903" s="50"/>
      <c r="BM903" s="50"/>
      <c r="BN903" s="50"/>
      <c r="BO903" s="50"/>
      <c r="BP903" s="50"/>
      <c r="BQ903" s="50"/>
      <c r="BR903" s="50"/>
      <c r="BS903" s="50"/>
      <c r="BT903" s="50"/>
      <c r="BU903" s="50"/>
      <c r="BV903" s="50"/>
      <c r="BW903" s="50"/>
      <c r="BX903" s="50"/>
      <c r="BY903" s="50"/>
      <c r="BZ903" s="50"/>
      <c r="CA903" s="50"/>
      <c r="CB903" s="50"/>
      <c r="CC903" s="50"/>
      <c r="CD903" s="52"/>
      <c r="CE903" s="50"/>
      <c r="CF903" s="50"/>
      <c r="CG903" s="50"/>
      <c r="CH903" s="50"/>
      <c r="CI903" s="50"/>
      <c r="CJ903" s="50"/>
      <c r="CK903" s="50"/>
      <c r="CL903" s="50"/>
      <c r="CM903" s="50"/>
      <c r="CN903" s="50"/>
      <c r="CO903" s="50"/>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c r="FF903" s="3"/>
      <c r="FG903" s="3"/>
      <c r="FH903" s="3"/>
      <c r="FI903" s="3"/>
      <c r="FJ903" s="3"/>
      <c r="FK903" s="3"/>
      <c r="FL903" s="3"/>
      <c r="FM903" s="3"/>
      <c r="FN903" s="3"/>
      <c r="FO903" s="3"/>
      <c r="FP903" s="3"/>
      <c r="FQ903" s="3"/>
      <c r="FR903" s="3"/>
      <c r="FS903" s="3"/>
      <c r="FT903" s="3"/>
      <c r="FU903" s="3"/>
      <c r="FV903" s="3"/>
      <c r="FW903" s="3"/>
      <c r="FX903" s="3"/>
      <c r="FY903" s="3"/>
      <c r="FZ903" s="3"/>
      <c r="GA903" s="3"/>
      <c r="GB903" s="3"/>
      <c r="GC903" s="3"/>
      <c r="GD903" s="3"/>
      <c r="GE903" s="3"/>
      <c r="GF903" s="3"/>
      <c r="GG903" s="3"/>
      <c r="GH903" s="3"/>
      <c r="GI903" s="3"/>
      <c r="GJ903" s="3"/>
      <c r="GK903" s="3"/>
      <c r="GL903" s="3"/>
      <c r="GM903" s="3"/>
      <c r="GN903" s="3"/>
      <c r="GO903" s="3"/>
      <c r="GP903" s="3"/>
      <c r="GQ903" s="3"/>
      <c r="GR903" s="3"/>
      <c r="GS903" s="3"/>
      <c r="GT903" s="3"/>
      <c r="GU903" s="3"/>
      <c r="GV903" s="3"/>
      <c r="GW903" s="3"/>
      <c r="GX903" s="3"/>
      <c r="GY903" s="3"/>
      <c r="GZ903" s="3"/>
      <c r="HA903" s="3"/>
      <c r="HB903" s="3"/>
    </row>
    <row r="904" spans="1:210" ht="15.75" customHeight="1">
      <c r="A904" s="50"/>
      <c r="B904" s="50"/>
      <c r="C904" s="50"/>
      <c r="D904" s="50"/>
      <c r="E904" s="50"/>
      <c r="F904" s="50"/>
      <c r="G904" s="51"/>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c r="AV904" s="50"/>
      <c r="AW904" s="50"/>
      <c r="AX904" s="50"/>
      <c r="AY904" s="50"/>
      <c r="AZ904" s="50"/>
      <c r="BA904" s="50"/>
      <c r="BB904" s="50"/>
      <c r="BC904" s="50"/>
      <c r="BD904" s="50"/>
      <c r="BE904" s="50"/>
      <c r="BF904" s="50"/>
      <c r="BG904" s="50"/>
      <c r="BH904" s="50"/>
      <c r="BI904" s="50"/>
      <c r="BJ904" s="50"/>
      <c r="BK904" s="50"/>
      <c r="BL904" s="50"/>
      <c r="BM904" s="50"/>
      <c r="BN904" s="50"/>
      <c r="BO904" s="50"/>
      <c r="BP904" s="50"/>
      <c r="BQ904" s="50"/>
      <c r="BR904" s="50"/>
      <c r="BS904" s="50"/>
      <c r="BT904" s="50"/>
      <c r="BU904" s="50"/>
      <c r="BV904" s="50"/>
      <c r="BW904" s="50"/>
      <c r="BX904" s="50"/>
      <c r="BY904" s="50"/>
      <c r="BZ904" s="50"/>
      <c r="CA904" s="50"/>
      <c r="CB904" s="50"/>
      <c r="CC904" s="50"/>
      <c r="CD904" s="52"/>
      <c r="CE904" s="50"/>
      <c r="CF904" s="50"/>
      <c r="CG904" s="50"/>
      <c r="CH904" s="50"/>
      <c r="CI904" s="50"/>
      <c r="CJ904" s="50"/>
      <c r="CK904" s="50"/>
      <c r="CL904" s="50"/>
      <c r="CM904" s="50"/>
      <c r="CN904" s="50"/>
      <c r="CO904" s="50"/>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c r="FF904" s="3"/>
      <c r="FG904" s="3"/>
      <c r="FH904" s="3"/>
      <c r="FI904" s="3"/>
      <c r="FJ904" s="3"/>
      <c r="FK904" s="3"/>
      <c r="FL904" s="3"/>
      <c r="FM904" s="3"/>
      <c r="FN904" s="3"/>
      <c r="FO904" s="3"/>
      <c r="FP904" s="3"/>
      <c r="FQ904" s="3"/>
      <c r="FR904" s="3"/>
      <c r="FS904" s="3"/>
      <c r="FT904" s="3"/>
      <c r="FU904" s="3"/>
      <c r="FV904" s="3"/>
      <c r="FW904" s="3"/>
      <c r="FX904" s="3"/>
      <c r="FY904" s="3"/>
      <c r="FZ904" s="3"/>
      <c r="GA904" s="3"/>
      <c r="GB904" s="3"/>
      <c r="GC904" s="3"/>
      <c r="GD904" s="3"/>
      <c r="GE904" s="3"/>
      <c r="GF904" s="3"/>
      <c r="GG904" s="3"/>
      <c r="GH904" s="3"/>
      <c r="GI904" s="3"/>
      <c r="GJ904" s="3"/>
      <c r="GK904" s="3"/>
      <c r="GL904" s="3"/>
      <c r="GM904" s="3"/>
      <c r="GN904" s="3"/>
      <c r="GO904" s="3"/>
      <c r="GP904" s="3"/>
      <c r="GQ904" s="3"/>
      <c r="GR904" s="3"/>
      <c r="GS904" s="3"/>
      <c r="GT904" s="3"/>
      <c r="GU904" s="3"/>
      <c r="GV904" s="3"/>
      <c r="GW904" s="3"/>
      <c r="GX904" s="3"/>
      <c r="GY904" s="3"/>
      <c r="GZ904" s="3"/>
      <c r="HA904" s="3"/>
      <c r="HB904" s="3"/>
    </row>
    <row r="905" spans="1:210" ht="15.75" customHeight="1">
      <c r="A905" s="50"/>
      <c r="B905" s="50"/>
      <c r="C905" s="50"/>
      <c r="D905" s="50"/>
      <c r="E905" s="50"/>
      <c r="F905" s="50"/>
      <c r="G905" s="51"/>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c r="AV905" s="50"/>
      <c r="AW905" s="50"/>
      <c r="AX905" s="50"/>
      <c r="AY905" s="50"/>
      <c r="AZ905" s="50"/>
      <c r="BA905" s="50"/>
      <c r="BB905" s="50"/>
      <c r="BC905" s="50"/>
      <c r="BD905" s="50"/>
      <c r="BE905" s="50"/>
      <c r="BF905" s="50"/>
      <c r="BG905" s="50"/>
      <c r="BH905" s="50"/>
      <c r="BI905" s="50"/>
      <c r="BJ905" s="50"/>
      <c r="BK905" s="50"/>
      <c r="BL905" s="50"/>
      <c r="BM905" s="50"/>
      <c r="BN905" s="50"/>
      <c r="BO905" s="50"/>
      <c r="BP905" s="50"/>
      <c r="BQ905" s="50"/>
      <c r="BR905" s="50"/>
      <c r="BS905" s="50"/>
      <c r="BT905" s="50"/>
      <c r="BU905" s="50"/>
      <c r="BV905" s="50"/>
      <c r="BW905" s="50"/>
      <c r="BX905" s="50"/>
      <c r="BY905" s="50"/>
      <c r="BZ905" s="50"/>
      <c r="CA905" s="50"/>
      <c r="CB905" s="50"/>
      <c r="CC905" s="50"/>
      <c r="CD905" s="52"/>
      <c r="CE905" s="50"/>
      <c r="CF905" s="50"/>
      <c r="CG905" s="50"/>
      <c r="CH905" s="50"/>
      <c r="CI905" s="50"/>
      <c r="CJ905" s="50"/>
      <c r="CK905" s="50"/>
      <c r="CL905" s="50"/>
      <c r="CM905" s="50"/>
      <c r="CN905" s="50"/>
      <c r="CO905" s="50"/>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c r="FF905" s="3"/>
      <c r="FG905" s="3"/>
      <c r="FH905" s="3"/>
      <c r="FI905" s="3"/>
      <c r="FJ905" s="3"/>
      <c r="FK905" s="3"/>
      <c r="FL905" s="3"/>
      <c r="FM905" s="3"/>
      <c r="FN905" s="3"/>
      <c r="FO905" s="3"/>
      <c r="FP905" s="3"/>
      <c r="FQ905" s="3"/>
      <c r="FR905" s="3"/>
      <c r="FS905" s="3"/>
      <c r="FT905" s="3"/>
      <c r="FU905" s="3"/>
      <c r="FV905" s="3"/>
      <c r="FW905" s="3"/>
      <c r="FX905" s="3"/>
      <c r="FY905" s="3"/>
      <c r="FZ905" s="3"/>
      <c r="GA905" s="3"/>
      <c r="GB905" s="3"/>
      <c r="GC905" s="3"/>
      <c r="GD905" s="3"/>
      <c r="GE905" s="3"/>
      <c r="GF905" s="3"/>
      <c r="GG905" s="3"/>
      <c r="GH905" s="3"/>
      <c r="GI905" s="3"/>
      <c r="GJ905" s="3"/>
      <c r="GK905" s="3"/>
      <c r="GL905" s="3"/>
      <c r="GM905" s="3"/>
      <c r="GN905" s="3"/>
      <c r="GO905" s="3"/>
      <c r="GP905" s="3"/>
      <c r="GQ905" s="3"/>
      <c r="GR905" s="3"/>
      <c r="GS905" s="3"/>
      <c r="GT905" s="3"/>
      <c r="GU905" s="3"/>
      <c r="GV905" s="3"/>
      <c r="GW905" s="3"/>
      <c r="GX905" s="3"/>
      <c r="GY905" s="3"/>
      <c r="GZ905" s="3"/>
      <c r="HA905" s="3"/>
      <c r="HB905" s="3"/>
    </row>
    <row r="906" spans="1:210" ht="15.75" customHeight="1">
      <c r="A906" s="50"/>
      <c r="B906" s="50"/>
      <c r="C906" s="50"/>
      <c r="D906" s="50"/>
      <c r="E906" s="50"/>
      <c r="F906" s="50"/>
      <c r="G906" s="51"/>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c r="BB906" s="50"/>
      <c r="BC906" s="50"/>
      <c r="BD906" s="50"/>
      <c r="BE906" s="50"/>
      <c r="BF906" s="50"/>
      <c r="BG906" s="50"/>
      <c r="BH906" s="50"/>
      <c r="BI906" s="50"/>
      <c r="BJ906" s="50"/>
      <c r="BK906" s="50"/>
      <c r="BL906" s="50"/>
      <c r="BM906" s="50"/>
      <c r="BN906" s="50"/>
      <c r="BO906" s="50"/>
      <c r="BP906" s="50"/>
      <c r="BQ906" s="50"/>
      <c r="BR906" s="50"/>
      <c r="BS906" s="50"/>
      <c r="BT906" s="50"/>
      <c r="BU906" s="50"/>
      <c r="BV906" s="50"/>
      <c r="BW906" s="50"/>
      <c r="BX906" s="50"/>
      <c r="BY906" s="50"/>
      <c r="BZ906" s="50"/>
      <c r="CA906" s="50"/>
      <c r="CB906" s="50"/>
      <c r="CC906" s="50"/>
      <c r="CD906" s="52"/>
      <c r="CE906" s="50"/>
      <c r="CF906" s="50"/>
      <c r="CG906" s="50"/>
      <c r="CH906" s="50"/>
      <c r="CI906" s="50"/>
      <c r="CJ906" s="50"/>
      <c r="CK906" s="50"/>
      <c r="CL906" s="50"/>
      <c r="CM906" s="50"/>
      <c r="CN906" s="50"/>
      <c r="CO906" s="50"/>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c r="GE906" s="3"/>
      <c r="GF906" s="3"/>
      <c r="GG906" s="3"/>
      <c r="GH906" s="3"/>
      <c r="GI906" s="3"/>
      <c r="GJ906" s="3"/>
      <c r="GK906" s="3"/>
      <c r="GL906" s="3"/>
      <c r="GM906" s="3"/>
      <c r="GN906" s="3"/>
      <c r="GO906" s="3"/>
      <c r="GP906" s="3"/>
      <c r="GQ906" s="3"/>
      <c r="GR906" s="3"/>
      <c r="GS906" s="3"/>
      <c r="GT906" s="3"/>
      <c r="GU906" s="3"/>
      <c r="GV906" s="3"/>
      <c r="GW906" s="3"/>
      <c r="GX906" s="3"/>
      <c r="GY906" s="3"/>
      <c r="GZ906" s="3"/>
      <c r="HA906" s="3"/>
      <c r="HB906" s="3"/>
    </row>
    <row r="907" spans="1:210" ht="15.75" customHeight="1">
      <c r="A907" s="50"/>
      <c r="B907" s="50"/>
      <c r="C907" s="50"/>
      <c r="D907" s="50"/>
      <c r="E907" s="50"/>
      <c r="F907" s="50"/>
      <c r="G907" s="51"/>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c r="BB907" s="50"/>
      <c r="BC907" s="50"/>
      <c r="BD907" s="50"/>
      <c r="BE907" s="50"/>
      <c r="BF907" s="50"/>
      <c r="BG907" s="50"/>
      <c r="BH907" s="50"/>
      <c r="BI907" s="50"/>
      <c r="BJ907" s="50"/>
      <c r="BK907" s="50"/>
      <c r="BL907" s="50"/>
      <c r="BM907" s="50"/>
      <c r="BN907" s="50"/>
      <c r="BO907" s="50"/>
      <c r="BP907" s="50"/>
      <c r="BQ907" s="50"/>
      <c r="BR907" s="50"/>
      <c r="BS907" s="50"/>
      <c r="BT907" s="50"/>
      <c r="BU907" s="50"/>
      <c r="BV907" s="50"/>
      <c r="BW907" s="50"/>
      <c r="BX907" s="50"/>
      <c r="BY907" s="50"/>
      <c r="BZ907" s="50"/>
      <c r="CA907" s="50"/>
      <c r="CB907" s="50"/>
      <c r="CC907" s="50"/>
      <c r="CD907" s="52"/>
      <c r="CE907" s="50"/>
      <c r="CF907" s="50"/>
      <c r="CG907" s="50"/>
      <c r="CH907" s="50"/>
      <c r="CI907" s="50"/>
      <c r="CJ907" s="50"/>
      <c r="CK907" s="50"/>
      <c r="CL907" s="50"/>
      <c r="CM907" s="50"/>
      <c r="CN907" s="50"/>
      <c r="CO907" s="50"/>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c r="FF907" s="3"/>
      <c r="FG907" s="3"/>
      <c r="FH907" s="3"/>
      <c r="FI907" s="3"/>
      <c r="FJ907" s="3"/>
      <c r="FK907" s="3"/>
      <c r="FL907" s="3"/>
      <c r="FM907" s="3"/>
      <c r="FN907" s="3"/>
      <c r="FO907" s="3"/>
      <c r="FP907" s="3"/>
      <c r="FQ907" s="3"/>
      <c r="FR907" s="3"/>
      <c r="FS907" s="3"/>
      <c r="FT907" s="3"/>
      <c r="FU907" s="3"/>
      <c r="FV907" s="3"/>
      <c r="FW907" s="3"/>
      <c r="FX907" s="3"/>
      <c r="FY907" s="3"/>
      <c r="FZ907" s="3"/>
      <c r="GA907" s="3"/>
      <c r="GB907" s="3"/>
      <c r="GC907" s="3"/>
      <c r="GD907" s="3"/>
      <c r="GE907" s="3"/>
      <c r="GF907" s="3"/>
      <c r="GG907" s="3"/>
      <c r="GH907" s="3"/>
      <c r="GI907" s="3"/>
      <c r="GJ907" s="3"/>
      <c r="GK907" s="3"/>
      <c r="GL907" s="3"/>
      <c r="GM907" s="3"/>
      <c r="GN907" s="3"/>
      <c r="GO907" s="3"/>
      <c r="GP907" s="3"/>
      <c r="GQ907" s="3"/>
      <c r="GR907" s="3"/>
      <c r="GS907" s="3"/>
      <c r="GT907" s="3"/>
      <c r="GU907" s="3"/>
      <c r="GV907" s="3"/>
      <c r="GW907" s="3"/>
      <c r="GX907" s="3"/>
      <c r="GY907" s="3"/>
      <c r="GZ907" s="3"/>
      <c r="HA907" s="3"/>
      <c r="HB907" s="3"/>
    </row>
    <row r="908" spans="1:210" ht="15.75" customHeight="1">
      <c r="A908" s="50"/>
      <c r="B908" s="50"/>
      <c r="C908" s="50"/>
      <c r="D908" s="50"/>
      <c r="E908" s="50"/>
      <c r="F908" s="50"/>
      <c r="G908" s="51"/>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c r="BB908" s="50"/>
      <c r="BC908" s="50"/>
      <c r="BD908" s="50"/>
      <c r="BE908" s="50"/>
      <c r="BF908" s="50"/>
      <c r="BG908" s="50"/>
      <c r="BH908" s="50"/>
      <c r="BI908" s="50"/>
      <c r="BJ908" s="50"/>
      <c r="BK908" s="50"/>
      <c r="BL908" s="50"/>
      <c r="BM908" s="50"/>
      <c r="BN908" s="50"/>
      <c r="BO908" s="50"/>
      <c r="BP908" s="50"/>
      <c r="BQ908" s="50"/>
      <c r="BR908" s="50"/>
      <c r="BS908" s="50"/>
      <c r="BT908" s="50"/>
      <c r="BU908" s="50"/>
      <c r="BV908" s="50"/>
      <c r="BW908" s="50"/>
      <c r="BX908" s="50"/>
      <c r="BY908" s="50"/>
      <c r="BZ908" s="50"/>
      <c r="CA908" s="50"/>
      <c r="CB908" s="50"/>
      <c r="CC908" s="50"/>
      <c r="CD908" s="52"/>
      <c r="CE908" s="50"/>
      <c r="CF908" s="50"/>
      <c r="CG908" s="50"/>
      <c r="CH908" s="50"/>
      <c r="CI908" s="50"/>
      <c r="CJ908" s="50"/>
      <c r="CK908" s="50"/>
      <c r="CL908" s="50"/>
      <c r="CM908" s="50"/>
      <c r="CN908" s="50"/>
      <c r="CO908" s="50"/>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c r="FF908" s="3"/>
      <c r="FG908" s="3"/>
      <c r="FH908" s="3"/>
      <c r="FI908" s="3"/>
      <c r="FJ908" s="3"/>
      <c r="FK908" s="3"/>
      <c r="FL908" s="3"/>
      <c r="FM908" s="3"/>
      <c r="FN908" s="3"/>
      <c r="FO908" s="3"/>
      <c r="FP908" s="3"/>
      <c r="FQ908" s="3"/>
      <c r="FR908" s="3"/>
      <c r="FS908" s="3"/>
      <c r="FT908" s="3"/>
      <c r="FU908" s="3"/>
      <c r="FV908" s="3"/>
      <c r="FW908" s="3"/>
      <c r="FX908" s="3"/>
      <c r="FY908" s="3"/>
      <c r="FZ908" s="3"/>
      <c r="GA908" s="3"/>
      <c r="GB908" s="3"/>
      <c r="GC908" s="3"/>
      <c r="GD908" s="3"/>
      <c r="GE908" s="3"/>
      <c r="GF908" s="3"/>
      <c r="GG908" s="3"/>
      <c r="GH908" s="3"/>
      <c r="GI908" s="3"/>
      <c r="GJ908" s="3"/>
      <c r="GK908" s="3"/>
      <c r="GL908" s="3"/>
      <c r="GM908" s="3"/>
      <c r="GN908" s="3"/>
      <c r="GO908" s="3"/>
      <c r="GP908" s="3"/>
      <c r="GQ908" s="3"/>
      <c r="GR908" s="3"/>
      <c r="GS908" s="3"/>
      <c r="GT908" s="3"/>
      <c r="GU908" s="3"/>
      <c r="GV908" s="3"/>
      <c r="GW908" s="3"/>
      <c r="GX908" s="3"/>
      <c r="GY908" s="3"/>
      <c r="GZ908" s="3"/>
      <c r="HA908" s="3"/>
      <c r="HB908" s="3"/>
    </row>
    <row r="909" spans="1:210" ht="15.75" customHeight="1">
      <c r="A909" s="50"/>
      <c r="B909" s="50"/>
      <c r="C909" s="50"/>
      <c r="D909" s="50"/>
      <c r="E909" s="50"/>
      <c r="F909" s="50"/>
      <c r="G909" s="51"/>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c r="AV909" s="50"/>
      <c r="AW909" s="50"/>
      <c r="AX909" s="50"/>
      <c r="AY909" s="50"/>
      <c r="AZ909" s="50"/>
      <c r="BA909" s="50"/>
      <c r="BB909" s="50"/>
      <c r="BC909" s="50"/>
      <c r="BD909" s="50"/>
      <c r="BE909" s="50"/>
      <c r="BF909" s="50"/>
      <c r="BG909" s="50"/>
      <c r="BH909" s="50"/>
      <c r="BI909" s="50"/>
      <c r="BJ909" s="50"/>
      <c r="BK909" s="50"/>
      <c r="BL909" s="50"/>
      <c r="BM909" s="50"/>
      <c r="BN909" s="50"/>
      <c r="BO909" s="50"/>
      <c r="BP909" s="50"/>
      <c r="BQ909" s="50"/>
      <c r="BR909" s="50"/>
      <c r="BS909" s="50"/>
      <c r="BT909" s="50"/>
      <c r="BU909" s="50"/>
      <c r="BV909" s="50"/>
      <c r="BW909" s="50"/>
      <c r="BX909" s="50"/>
      <c r="BY909" s="50"/>
      <c r="BZ909" s="50"/>
      <c r="CA909" s="50"/>
      <c r="CB909" s="50"/>
      <c r="CC909" s="50"/>
      <c r="CD909" s="52"/>
      <c r="CE909" s="50"/>
      <c r="CF909" s="50"/>
      <c r="CG909" s="50"/>
      <c r="CH909" s="50"/>
      <c r="CI909" s="50"/>
      <c r="CJ909" s="50"/>
      <c r="CK909" s="50"/>
      <c r="CL909" s="50"/>
      <c r="CM909" s="50"/>
      <c r="CN909" s="50"/>
      <c r="CO909" s="50"/>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c r="FF909" s="3"/>
      <c r="FG909" s="3"/>
      <c r="FH909" s="3"/>
      <c r="FI909" s="3"/>
      <c r="FJ909" s="3"/>
      <c r="FK909" s="3"/>
      <c r="FL909" s="3"/>
      <c r="FM909" s="3"/>
      <c r="FN909" s="3"/>
      <c r="FO909" s="3"/>
      <c r="FP909" s="3"/>
      <c r="FQ909" s="3"/>
      <c r="FR909" s="3"/>
      <c r="FS909" s="3"/>
      <c r="FT909" s="3"/>
      <c r="FU909" s="3"/>
      <c r="FV909" s="3"/>
      <c r="FW909" s="3"/>
      <c r="FX909" s="3"/>
      <c r="FY909" s="3"/>
      <c r="FZ909" s="3"/>
      <c r="GA909" s="3"/>
      <c r="GB909" s="3"/>
      <c r="GC909" s="3"/>
      <c r="GD909" s="3"/>
      <c r="GE909" s="3"/>
      <c r="GF909" s="3"/>
      <c r="GG909" s="3"/>
      <c r="GH909" s="3"/>
      <c r="GI909" s="3"/>
      <c r="GJ909" s="3"/>
      <c r="GK909" s="3"/>
      <c r="GL909" s="3"/>
      <c r="GM909" s="3"/>
      <c r="GN909" s="3"/>
      <c r="GO909" s="3"/>
      <c r="GP909" s="3"/>
      <c r="GQ909" s="3"/>
      <c r="GR909" s="3"/>
      <c r="GS909" s="3"/>
      <c r="GT909" s="3"/>
      <c r="GU909" s="3"/>
      <c r="GV909" s="3"/>
      <c r="GW909" s="3"/>
      <c r="GX909" s="3"/>
      <c r="GY909" s="3"/>
      <c r="GZ909" s="3"/>
      <c r="HA909" s="3"/>
      <c r="HB909" s="3"/>
    </row>
    <row r="910" spans="1:210" ht="15.75" customHeight="1">
      <c r="A910" s="50"/>
      <c r="B910" s="50"/>
      <c r="C910" s="50"/>
      <c r="D910" s="50"/>
      <c r="E910" s="50"/>
      <c r="F910" s="50"/>
      <c r="G910" s="51"/>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c r="AV910" s="50"/>
      <c r="AW910" s="50"/>
      <c r="AX910" s="50"/>
      <c r="AY910" s="50"/>
      <c r="AZ910" s="50"/>
      <c r="BA910" s="50"/>
      <c r="BB910" s="50"/>
      <c r="BC910" s="50"/>
      <c r="BD910" s="50"/>
      <c r="BE910" s="50"/>
      <c r="BF910" s="50"/>
      <c r="BG910" s="50"/>
      <c r="BH910" s="50"/>
      <c r="BI910" s="50"/>
      <c r="BJ910" s="50"/>
      <c r="BK910" s="50"/>
      <c r="BL910" s="50"/>
      <c r="BM910" s="50"/>
      <c r="BN910" s="50"/>
      <c r="BO910" s="50"/>
      <c r="BP910" s="50"/>
      <c r="BQ910" s="50"/>
      <c r="BR910" s="50"/>
      <c r="BS910" s="50"/>
      <c r="BT910" s="50"/>
      <c r="BU910" s="50"/>
      <c r="BV910" s="50"/>
      <c r="BW910" s="50"/>
      <c r="BX910" s="50"/>
      <c r="BY910" s="50"/>
      <c r="BZ910" s="50"/>
      <c r="CA910" s="50"/>
      <c r="CB910" s="50"/>
      <c r="CC910" s="50"/>
      <c r="CD910" s="52"/>
      <c r="CE910" s="50"/>
      <c r="CF910" s="50"/>
      <c r="CG910" s="50"/>
      <c r="CH910" s="50"/>
      <c r="CI910" s="50"/>
      <c r="CJ910" s="50"/>
      <c r="CK910" s="50"/>
      <c r="CL910" s="50"/>
      <c r="CM910" s="50"/>
      <c r="CN910" s="50"/>
      <c r="CO910" s="50"/>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c r="GE910" s="3"/>
      <c r="GF910" s="3"/>
      <c r="GG910" s="3"/>
      <c r="GH910" s="3"/>
      <c r="GI910" s="3"/>
      <c r="GJ910" s="3"/>
      <c r="GK910" s="3"/>
      <c r="GL910" s="3"/>
      <c r="GM910" s="3"/>
      <c r="GN910" s="3"/>
      <c r="GO910" s="3"/>
      <c r="GP910" s="3"/>
      <c r="GQ910" s="3"/>
      <c r="GR910" s="3"/>
      <c r="GS910" s="3"/>
      <c r="GT910" s="3"/>
      <c r="GU910" s="3"/>
      <c r="GV910" s="3"/>
      <c r="GW910" s="3"/>
      <c r="GX910" s="3"/>
      <c r="GY910" s="3"/>
      <c r="GZ910" s="3"/>
      <c r="HA910" s="3"/>
      <c r="HB910" s="3"/>
    </row>
    <row r="911" spans="1:210" ht="15.75" customHeight="1">
      <c r="A911" s="50"/>
      <c r="B911" s="50"/>
      <c r="C911" s="50"/>
      <c r="D911" s="50"/>
      <c r="E911" s="50"/>
      <c r="F911" s="50"/>
      <c r="G911" s="51"/>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c r="AV911" s="50"/>
      <c r="AW911" s="50"/>
      <c r="AX911" s="50"/>
      <c r="AY911" s="50"/>
      <c r="AZ911" s="50"/>
      <c r="BA911" s="50"/>
      <c r="BB911" s="50"/>
      <c r="BC911" s="50"/>
      <c r="BD911" s="50"/>
      <c r="BE911" s="50"/>
      <c r="BF911" s="50"/>
      <c r="BG911" s="50"/>
      <c r="BH911" s="50"/>
      <c r="BI911" s="50"/>
      <c r="BJ911" s="50"/>
      <c r="BK911" s="50"/>
      <c r="BL911" s="50"/>
      <c r="BM911" s="50"/>
      <c r="BN911" s="50"/>
      <c r="BO911" s="50"/>
      <c r="BP911" s="50"/>
      <c r="BQ911" s="50"/>
      <c r="BR911" s="50"/>
      <c r="BS911" s="50"/>
      <c r="BT911" s="50"/>
      <c r="BU911" s="50"/>
      <c r="BV911" s="50"/>
      <c r="BW911" s="50"/>
      <c r="BX911" s="50"/>
      <c r="BY911" s="50"/>
      <c r="BZ911" s="50"/>
      <c r="CA911" s="50"/>
      <c r="CB911" s="50"/>
      <c r="CC911" s="50"/>
      <c r="CD911" s="52"/>
      <c r="CE911" s="50"/>
      <c r="CF911" s="50"/>
      <c r="CG911" s="50"/>
      <c r="CH911" s="50"/>
      <c r="CI911" s="50"/>
      <c r="CJ911" s="50"/>
      <c r="CK911" s="50"/>
      <c r="CL911" s="50"/>
      <c r="CM911" s="50"/>
      <c r="CN911" s="50"/>
      <c r="CO911" s="50"/>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c r="FF911" s="3"/>
      <c r="FG911" s="3"/>
      <c r="FH911" s="3"/>
      <c r="FI911" s="3"/>
      <c r="FJ911" s="3"/>
      <c r="FK911" s="3"/>
      <c r="FL911" s="3"/>
      <c r="FM911" s="3"/>
      <c r="FN911" s="3"/>
      <c r="FO911" s="3"/>
      <c r="FP911" s="3"/>
      <c r="FQ911" s="3"/>
      <c r="FR911" s="3"/>
      <c r="FS911" s="3"/>
      <c r="FT911" s="3"/>
      <c r="FU911" s="3"/>
      <c r="FV911" s="3"/>
      <c r="FW911" s="3"/>
      <c r="FX911" s="3"/>
      <c r="FY911" s="3"/>
      <c r="FZ911" s="3"/>
      <c r="GA911" s="3"/>
      <c r="GB911" s="3"/>
      <c r="GC911" s="3"/>
      <c r="GD911" s="3"/>
      <c r="GE911" s="3"/>
      <c r="GF911" s="3"/>
      <c r="GG911" s="3"/>
      <c r="GH911" s="3"/>
      <c r="GI911" s="3"/>
      <c r="GJ911" s="3"/>
      <c r="GK911" s="3"/>
      <c r="GL911" s="3"/>
      <c r="GM911" s="3"/>
      <c r="GN911" s="3"/>
      <c r="GO911" s="3"/>
      <c r="GP911" s="3"/>
      <c r="GQ911" s="3"/>
      <c r="GR911" s="3"/>
      <c r="GS911" s="3"/>
      <c r="GT911" s="3"/>
      <c r="GU911" s="3"/>
      <c r="GV911" s="3"/>
      <c r="GW911" s="3"/>
      <c r="GX911" s="3"/>
      <c r="GY911" s="3"/>
      <c r="GZ911" s="3"/>
      <c r="HA911" s="3"/>
      <c r="HB911" s="3"/>
    </row>
    <row r="912" spans="1:210" ht="15.75" customHeight="1">
      <c r="A912" s="50"/>
      <c r="B912" s="50"/>
      <c r="C912" s="50"/>
      <c r="D912" s="50"/>
      <c r="E912" s="50"/>
      <c r="F912" s="50"/>
      <c r="G912" s="51"/>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c r="AV912" s="50"/>
      <c r="AW912" s="50"/>
      <c r="AX912" s="50"/>
      <c r="AY912" s="50"/>
      <c r="AZ912" s="50"/>
      <c r="BA912" s="50"/>
      <c r="BB912" s="50"/>
      <c r="BC912" s="50"/>
      <c r="BD912" s="50"/>
      <c r="BE912" s="50"/>
      <c r="BF912" s="50"/>
      <c r="BG912" s="50"/>
      <c r="BH912" s="50"/>
      <c r="BI912" s="50"/>
      <c r="BJ912" s="50"/>
      <c r="BK912" s="50"/>
      <c r="BL912" s="50"/>
      <c r="BM912" s="50"/>
      <c r="BN912" s="50"/>
      <c r="BO912" s="50"/>
      <c r="BP912" s="50"/>
      <c r="BQ912" s="50"/>
      <c r="BR912" s="50"/>
      <c r="BS912" s="50"/>
      <c r="BT912" s="50"/>
      <c r="BU912" s="50"/>
      <c r="BV912" s="50"/>
      <c r="BW912" s="50"/>
      <c r="BX912" s="50"/>
      <c r="BY912" s="50"/>
      <c r="BZ912" s="50"/>
      <c r="CA912" s="50"/>
      <c r="CB912" s="50"/>
      <c r="CC912" s="50"/>
      <c r="CD912" s="52"/>
      <c r="CE912" s="50"/>
      <c r="CF912" s="50"/>
      <c r="CG912" s="50"/>
      <c r="CH912" s="50"/>
      <c r="CI912" s="50"/>
      <c r="CJ912" s="50"/>
      <c r="CK912" s="50"/>
      <c r="CL912" s="50"/>
      <c r="CM912" s="50"/>
      <c r="CN912" s="50"/>
      <c r="CO912" s="50"/>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c r="FF912" s="3"/>
      <c r="FG912" s="3"/>
      <c r="FH912" s="3"/>
      <c r="FI912" s="3"/>
      <c r="FJ912" s="3"/>
      <c r="FK912" s="3"/>
      <c r="FL912" s="3"/>
      <c r="FM912" s="3"/>
      <c r="FN912" s="3"/>
      <c r="FO912" s="3"/>
      <c r="FP912" s="3"/>
      <c r="FQ912" s="3"/>
      <c r="FR912" s="3"/>
      <c r="FS912" s="3"/>
      <c r="FT912" s="3"/>
      <c r="FU912" s="3"/>
      <c r="FV912" s="3"/>
      <c r="FW912" s="3"/>
      <c r="FX912" s="3"/>
      <c r="FY912" s="3"/>
      <c r="FZ912" s="3"/>
      <c r="GA912" s="3"/>
      <c r="GB912" s="3"/>
      <c r="GC912" s="3"/>
      <c r="GD912" s="3"/>
      <c r="GE912" s="3"/>
      <c r="GF912" s="3"/>
      <c r="GG912" s="3"/>
      <c r="GH912" s="3"/>
      <c r="GI912" s="3"/>
      <c r="GJ912" s="3"/>
      <c r="GK912" s="3"/>
      <c r="GL912" s="3"/>
      <c r="GM912" s="3"/>
      <c r="GN912" s="3"/>
      <c r="GO912" s="3"/>
      <c r="GP912" s="3"/>
      <c r="GQ912" s="3"/>
      <c r="GR912" s="3"/>
      <c r="GS912" s="3"/>
      <c r="GT912" s="3"/>
      <c r="GU912" s="3"/>
      <c r="GV912" s="3"/>
      <c r="GW912" s="3"/>
      <c r="GX912" s="3"/>
      <c r="GY912" s="3"/>
      <c r="GZ912" s="3"/>
      <c r="HA912" s="3"/>
      <c r="HB912" s="3"/>
    </row>
    <row r="913" spans="1:210" ht="15.75" customHeight="1">
      <c r="A913" s="50"/>
      <c r="B913" s="50"/>
      <c r="C913" s="50"/>
      <c r="D913" s="50"/>
      <c r="E913" s="50"/>
      <c r="F913" s="50"/>
      <c r="G913" s="51"/>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c r="AV913" s="50"/>
      <c r="AW913" s="50"/>
      <c r="AX913" s="50"/>
      <c r="AY913" s="50"/>
      <c r="AZ913" s="50"/>
      <c r="BA913" s="50"/>
      <c r="BB913" s="50"/>
      <c r="BC913" s="50"/>
      <c r="BD913" s="50"/>
      <c r="BE913" s="50"/>
      <c r="BF913" s="50"/>
      <c r="BG913" s="50"/>
      <c r="BH913" s="50"/>
      <c r="BI913" s="50"/>
      <c r="BJ913" s="50"/>
      <c r="BK913" s="50"/>
      <c r="BL913" s="50"/>
      <c r="BM913" s="50"/>
      <c r="BN913" s="50"/>
      <c r="BO913" s="50"/>
      <c r="BP913" s="50"/>
      <c r="BQ913" s="50"/>
      <c r="BR913" s="50"/>
      <c r="BS913" s="50"/>
      <c r="BT913" s="50"/>
      <c r="BU913" s="50"/>
      <c r="BV913" s="50"/>
      <c r="BW913" s="50"/>
      <c r="BX913" s="50"/>
      <c r="BY913" s="50"/>
      <c r="BZ913" s="50"/>
      <c r="CA913" s="50"/>
      <c r="CB913" s="50"/>
      <c r="CC913" s="50"/>
      <c r="CD913" s="52"/>
      <c r="CE913" s="50"/>
      <c r="CF913" s="50"/>
      <c r="CG913" s="50"/>
      <c r="CH913" s="50"/>
      <c r="CI913" s="50"/>
      <c r="CJ913" s="50"/>
      <c r="CK913" s="50"/>
      <c r="CL913" s="50"/>
      <c r="CM913" s="50"/>
      <c r="CN913" s="50"/>
      <c r="CO913" s="50"/>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c r="FF913" s="3"/>
      <c r="FG913" s="3"/>
      <c r="FH913" s="3"/>
      <c r="FI913" s="3"/>
      <c r="FJ913" s="3"/>
      <c r="FK913" s="3"/>
      <c r="FL913" s="3"/>
      <c r="FM913" s="3"/>
      <c r="FN913" s="3"/>
      <c r="FO913" s="3"/>
      <c r="FP913" s="3"/>
      <c r="FQ913" s="3"/>
      <c r="FR913" s="3"/>
      <c r="FS913" s="3"/>
      <c r="FT913" s="3"/>
      <c r="FU913" s="3"/>
      <c r="FV913" s="3"/>
      <c r="FW913" s="3"/>
      <c r="FX913" s="3"/>
      <c r="FY913" s="3"/>
      <c r="FZ913" s="3"/>
      <c r="GA913" s="3"/>
      <c r="GB913" s="3"/>
      <c r="GC913" s="3"/>
      <c r="GD913" s="3"/>
      <c r="GE913" s="3"/>
      <c r="GF913" s="3"/>
      <c r="GG913" s="3"/>
      <c r="GH913" s="3"/>
      <c r="GI913" s="3"/>
      <c r="GJ913" s="3"/>
      <c r="GK913" s="3"/>
      <c r="GL913" s="3"/>
      <c r="GM913" s="3"/>
      <c r="GN913" s="3"/>
      <c r="GO913" s="3"/>
      <c r="GP913" s="3"/>
      <c r="GQ913" s="3"/>
      <c r="GR913" s="3"/>
      <c r="GS913" s="3"/>
      <c r="GT913" s="3"/>
      <c r="GU913" s="3"/>
      <c r="GV913" s="3"/>
      <c r="GW913" s="3"/>
      <c r="GX913" s="3"/>
      <c r="GY913" s="3"/>
      <c r="GZ913" s="3"/>
      <c r="HA913" s="3"/>
      <c r="HB913" s="3"/>
    </row>
    <row r="914" spans="1:210" ht="15.75" customHeight="1">
      <c r="A914" s="50"/>
      <c r="B914" s="50"/>
      <c r="C914" s="50"/>
      <c r="D914" s="50"/>
      <c r="E914" s="50"/>
      <c r="F914" s="50"/>
      <c r="G914" s="51"/>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c r="AV914" s="50"/>
      <c r="AW914" s="50"/>
      <c r="AX914" s="50"/>
      <c r="AY914" s="50"/>
      <c r="AZ914" s="50"/>
      <c r="BA914" s="50"/>
      <c r="BB914" s="50"/>
      <c r="BC914" s="50"/>
      <c r="BD914" s="50"/>
      <c r="BE914" s="50"/>
      <c r="BF914" s="50"/>
      <c r="BG914" s="50"/>
      <c r="BH914" s="50"/>
      <c r="BI914" s="50"/>
      <c r="BJ914" s="50"/>
      <c r="BK914" s="50"/>
      <c r="BL914" s="50"/>
      <c r="BM914" s="50"/>
      <c r="BN914" s="50"/>
      <c r="BO914" s="50"/>
      <c r="BP914" s="50"/>
      <c r="BQ914" s="50"/>
      <c r="BR914" s="50"/>
      <c r="BS914" s="50"/>
      <c r="BT914" s="50"/>
      <c r="BU914" s="50"/>
      <c r="BV914" s="50"/>
      <c r="BW914" s="50"/>
      <c r="BX914" s="50"/>
      <c r="BY914" s="50"/>
      <c r="BZ914" s="50"/>
      <c r="CA914" s="50"/>
      <c r="CB914" s="50"/>
      <c r="CC914" s="50"/>
      <c r="CD914" s="52"/>
      <c r="CE914" s="50"/>
      <c r="CF914" s="50"/>
      <c r="CG914" s="50"/>
      <c r="CH914" s="50"/>
      <c r="CI914" s="50"/>
      <c r="CJ914" s="50"/>
      <c r="CK914" s="50"/>
      <c r="CL914" s="50"/>
      <c r="CM914" s="50"/>
      <c r="CN914" s="50"/>
      <c r="CO914" s="50"/>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c r="FF914" s="3"/>
      <c r="FG914" s="3"/>
      <c r="FH914" s="3"/>
      <c r="FI914" s="3"/>
      <c r="FJ914" s="3"/>
      <c r="FK914" s="3"/>
      <c r="FL914" s="3"/>
      <c r="FM914" s="3"/>
      <c r="FN914" s="3"/>
      <c r="FO914" s="3"/>
      <c r="FP914" s="3"/>
      <c r="FQ914" s="3"/>
      <c r="FR914" s="3"/>
      <c r="FS914" s="3"/>
      <c r="FT914" s="3"/>
      <c r="FU914" s="3"/>
      <c r="FV914" s="3"/>
      <c r="FW914" s="3"/>
      <c r="FX914" s="3"/>
      <c r="FY914" s="3"/>
      <c r="FZ914" s="3"/>
      <c r="GA914" s="3"/>
      <c r="GB914" s="3"/>
      <c r="GC914" s="3"/>
      <c r="GD914" s="3"/>
      <c r="GE914" s="3"/>
      <c r="GF914" s="3"/>
      <c r="GG914" s="3"/>
      <c r="GH914" s="3"/>
      <c r="GI914" s="3"/>
      <c r="GJ914" s="3"/>
      <c r="GK914" s="3"/>
      <c r="GL914" s="3"/>
      <c r="GM914" s="3"/>
      <c r="GN914" s="3"/>
      <c r="GO914" s="3"/>
      <c r="GP914" s="3"/>
      <c r="GQ914" s="3"/>
      <c r="GR914" s="3"/>
      <c r="GS914" s="3"/>
      <c r="GT914" s="3"/>
      <c r="GU914" s="3"/>
      <c r="GV914" s="3"/>
      <c r="GW914" s="3"/>
      <c r="GX914" s="3"/>
      <c r="GY914" s="3"/>
      <c r="GZ914" s="3"/>
      <c r="HA914" s="3"/>
      <c r="HB914" s="3"/>
    </row>
    <row r="915" spans="1:210" ht="15.75" customHeight="1">
      <c r="A915" s="50"/>
      <c r="B915" s="50"/>
      <c r="C915" s="50"/>
      <c r="D915" s="50"/>
      <c r="E915" s="50"/>
      <c r="F915" s="50"/>
      <c r="G915" s="51"/>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c r="AV915" s="50"/>
      <c r="AW915" s="50"/>
      <c r="AX915" s="50"/>
      <c r="AY915" s="50"/>
      <c r="AZ915" s="50"/>
      <c r="BA915" s="50"/>
      <c r="BB915" s="50"/>
      <c r="BC915" s="50"/>
      <c r="BD915" s="50"/>
      <c r="BE915" s="50"/>
      <c r="BF915" s="50"/>
      <c r="BG915" s="50"/>
      <c r="BH915" s="50"/>
      <c r="BI915" s="50"/>
      <c r="BJ915" s="50"/>
      <c r="BK915" s="50"/>
      <c r="BL915" s="50"/>
      <c r="BM915" s="50"/>
      <c r="BN915" s="50"/>
      <c r="BO915" s="50"/>
      <c r="BP915" s="50"/>
      <c r="BQ915" s="50"/>
      <c r="BR915" s="50"/>
      <c r="BS915" s="50"/>
      <c r="BT915" s="50"/>
      <c r="BU915" s="50"/>
      <c r="BV915" s="50"/>
      <c r="BW915" s="50"/>
      <c r="BX915" s="50"/>
      <c r="BY915" s="50"/>
      <c r="BZ915" s="50"/>
      <c r="CA915" s="50"/>
      <c r="CB915" s="50"/>
      <c r="CC915" s="50"/>
      <c r="CD915" s="52"/>
      <c r="CE915" s="50"/>
      <c r="CF915" s="50"/>
      <c r="CG915" s="50"/>
      <c r="CH915" s="50"/>
      <c r="CI915" s="50"/>
      <c r="CJ915" s="50"/>
      <c r="CK915" s="50"/>
      <c r="CL915" s="50"/>
      <c r="CM915" s="50"/>
      <c r="CN915" s="50"/>
      <c r="CO915" s="50"/>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c r="FF915" s="3"/>
      <c r="FG915" s="3"/>
      <c r="FH915" s="3"/>
      <c r="FI915" s="3"/>
      <c r="FJ915" s="3"/>
      <c r="FK915" s="3"/>
      <c r="FL915" s="3"/>
      <c r="FM915" s="3"/>
      <c r="FN915" s="3"/>
      <c r="FO915" s="3"/>
      <c r="FP915" s="3"/>
      <c r="FQ915" s="3"/>
      <c r="FR915" s="3"/>
      <c r="FS915" s="3"/>
      <c r="FT915" s="3"/>
      <c r="FU915" s="3"/>
      <c r="FV915" s="3"/>
      <c r="FW915" s="3"/>
      <c r="FX915" s="3"/>
      <c r="FY915" s="3"/>
      <c r="FZ915" s="3"/>
      <c r="GA915" s="3"/>
      <c r="GB915" s="3"/>
      <c r="GC915" s="3"/>
      <c r="GD915" s="3"/>
      <c r="GE915" s="3"/>
      <c r="GF915" s="3"/>
      <c r="GG915" s="3"/>
      <c r="GH915" s="3"/>
      <c r="GI915" s="3"/>
      <c r="GJ915" s="3"/>
      <c r="GK915" s="3"/>
      <c r="GL915" s="3"/>
      <c r="GM915" s="3"/>
      <c r="GN915" s="3"/>
      <c r="GO915" s="3"/>
      <c r="GP915" s="3"/>
      <c r="GQ915" s="3"/>
      <c r="GR915" s="3"/>
      <c r="GS915" s="3"/>
      <c r="GT915" s="3"/>
      <c r="GU915" s="3"/>
      <c r="GV915" s="3"/>
      <c r="GW915" s="3"/>
      <c r="GX915" s="3"/>
      <c r="GY915" s="3"/>
      <c r="GZ915" s="3"/>
      <c r="HA915" s="3"/>
      <c r="HB915" s="3"/>
    </row>
    <row r="916" spans="1:210" ht="15.75" customHeight="1">
      <c r="A916" s="50"/>
      <c r="B916" s="50"/>
      <c r="C916" s="50"/>
      <c r="D916" s="50"/>
      <c r="E916" s="50"/>
      <c r="F916" s="50"/>
      <c r="G916" s="51"/>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c r="AV916" s="50"/>
      <c r="AW916" s="50"/>
      <c r="AX916" s="50"/>
      <c r="AY916" s="50"/>
      <c r="AZ916" s="50"/>
      <c r="BA916" s="50"/>
      <c r="BB916" s="50"/>
      <c r="BC916" s="50"/>
      <c r="BD916" s="50"/>
      <c r="BE916" s="50"/>
      <c r="BF916" s="50"/>
      <c r="BG916" s="50"/>
      <c r="BH916" s="50"/>
      <c r="BI916" s="50"/>
      <c r="BJ916" s="50"/>
      <c r="BK916" s="50"/>
      <c r="BL916" s="50"/>
      <c r="BM916" s="50"/>
      <c r="BN916" s="50"/>
      <c r="BO916" s="50"/>
      <c r="BP916" s="50"/>
      <c r="BQ916" s="50"/>
      <c r="BR916" s="50"/>
      <c r="BS916" s="50"/>
      <c r="BT916" s="50"/>
      <c r="BU916" s="50"/>
      <c r="BV916" s="50"/>
      <c r="BW916" s="50"/>
      <c r="BX916" s="50"/>
      <c r="BY916" s="50"/>
      <c r="BZ916" s="50"/>
      <c r="CA916" s="50"/>
      <c r="CB916" s="50"/>
      <c r="CC916" s="50"/>
      <c r="CD916" s="52"/>
      <c r="CE916" s="50"/>
      <c r="CF916" s="50"/>
      <c r="CG916" s="50"/>
      <c r="CH916" s="50"/>
      <c r="CI916" s="50"/>
      <c r="CJ916" s="50"/>
      <c r="CK916" s="50"/>
      <c r="CL916" s="50"/>
      <c r="CM916" s="50"/>
      <c r="CN916" s="50"/>
      <c r="CO916" s="50"/>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c r="FF916" s="3"/>
      <c r="FG916" s="3"/>
      <c r="FH916" s="3"/>
      <c r="FI916" s="3"/>
      <c r="FJ916" s="3"/>
      <c r="FK916" s="3"/>
      <c r="FL916" s="3"/>
      <c r="FM916" s="3"/>
      <c r="FN916" s="3"/>
      <c r="FO916" s="3"/>
      <c r="FP916" s="3"/>
      <c r="FQ916" s="3"/>
      <c r="FR916" s="3"/>
      <c r="FS916" s="3"/>
      <c r="FT916" s="3"/>
      <c r="FU916" s="3"/>
      <c r="FV916" s="3"/>
      <c r="FW916" s="3"/>
      <c r="FX916" s="3"/>
      <c r="FY916" s="3"/>
      <c r="FZ916" s="3"/>
      <c r="GA916" s="3"/>
      <c r="GB916" s="3"/>
      <c r="GC916" s="3"/>
      <c r="GD916" s="3"/>
      <c r="GE916" s="3"/>
      <c r="GF916" s="3"/>
      <c r="GG916" s="3"/>
      <c r="GH916" s="3"/>
      <c r="GI916" s="3"/>
      <c r="GJ916" s="3"/>
      <c r="GK916" s="3"/>
      <c r="GL916" s="3"/>
      <c r="GM916" s="3"/>
      <c r="GN916" s="3"/>
      <c r="GO916" s="3"/>
      <c r="GP916" s="3"/>
      <c r="GQ916" s="3"/>
      <c r="GR916" s="3"/>
      <c r="GS916" s="3"/>
      <c r="GT916" s="3"/>
      <c r="GU916" s="3"/>
      <c r="GV916" s="3"/>
      <c r="GW916" s="3"/>
      <c r="GX916" s="3"/>
      <c r="GY916" s="3"/>
      <c r="GZ916" s="3"/>
      <c r="HA916" s="3"/>
      <c r="HB916" s="3"/>
    </row>
    <row r="917" spans="1:210" ht="15.75" customHeight="1">
      <c r="A917" s="50"/>
      <c r="B917" s="50"/>
      <c r="C917" s="50"/>
      <c r="D917" s="50"/>
      <c r="E917" s="50"/>
      <c r="F917" s="50"/>
      <c r="G917" s="51"/>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c r="AV917" s="50"/>
      <c r="AW917" s="50"/>
      <c r="AX917" s="50"/>
      <c r="AY917" s="50"/>
      <c r="AZ917" s="50"/>
      <c r="BA917" s="50"/>
      <c r="BB917" s="50"/>
      <c r="BC917" s="50"/>
      <c r="BD917" s="50"/>
      <c r="BE917" s="50"/>
      <c r="BF917" s="50"/>
      <c r="BG917" s="50"/>
      <c r="BH917" s="50"/>
      <c r="BI917" s="50"/>
      <c r="BJ917" s="50"/>
      <c r="BK917" s="50"/>
      <c r="BL917" s="50"/>
      <c r="BM917" s="50"/>
      <c r="BN917" s="50"/>
      <c r="BO917" s="50"/>
      <c r="BP917" s="50"/>
      <c r="BQ917" s="50"/>
      <c r="BR917" s="50"/>
      <c r="BS917" s="50"/>
      <c r="BT917" s="50"/>
      <c r="BU917" s="50"/>
      <c r="BV917" s="50"/>
      <c r="BW917" s="50"/>
      <c r="BX917" s="50"/>
      <c r="BY917" s="50"/>
      <c r="BZ917" s="50"/>
      <c r="CA917" s="50"/>
      <c r="CB917" s="50"/>
      <c r="CC917" s="50"/>
      <c r="CD917" s="52"/>
      <c r="CE917" s="50"/>
      <c r="CF917" s="50"/>
      <c r="CG917" s="50"/>
      <c r="CH917" s="50"/>
      <c r="CI917" s="50"/>
      <c r="CJ917" s="50"/>
      <c r="CK917" s="50"/>
      <c r="CL917" s="50"/>
      <c r="CM917" s="50"/>
      <c r="CN917" s="50"/>
      <c r="CO917" s="50"/>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c r="FF917" s="3"/>
      <c r="FG917" s="3"/>
      <c r="FH917" s="3"/>
      <c r="FI917" s="3"/>
      <c r="FJ917" s="3"/>
      <c r="FK917" s="3"/>
      <c r="FL917" s="3"/>
      <c r="FM917" s="3"/>
      <c r="FN917" s="3"/>
      <c r="FO917" s="3"/>
      <c r="FP917" s="3"/>
      <c r="FQ917" s="3"/>
      <c r="FR917" s="3"/>
      <c r="FS917" s="3"/>
      <c r="FT917" s="3"/>
      <c r="FU917" s="3"/>
      <c r="FV917" s="3"/>
      <c r="FW917" s="3"/>
      <c r="FX917" s="3"/>
      <c r="FY917" s="3"/>
      <c r="FZ917" s="3"/>
      <c r="GA917" s="3"/>
      <c r="GB917" s="3"/>
      <c r="GC917" s="3"/>
      <c r="GD917" s="3"/>
      <c r="GE917" s="3"/>
      <c r="GF917" s="3"/>
      <c r="GG917" s="3"/>
      <c r="GH917" s="3"/>
      <c r="GI917" s="3"/>
      <c r="GJ917" s="3"/>
      <c r="GK917" s="3"/>
      <c r="GL917" s="3"/>
      <c r="GM917" s="3"/>
      <c r="GN917" s="3"/>
      <c r="GO917" s="3"/>
      <c r="GP917" s="3"/>
      <c r="GQ917" s="3"/>
      <c r="GR917" s="3"/>
      <c r="GS917" s="3"/>
      <c r="GT917" s="3"/>
      <c r="GU917" s="3"/>
      <c r="GV917" s="3"/>
      <c r="GW917" s="3"/>
      <c r="GX917" s="3"/>
      <c r="GY917" s="3"/>
      <c r="GZ917" s="3"/>
      <c r="HA917" s="3"/>
      <c r="HB917" s="3"/>
    </row>
    <row r="918" spans="1:210" ht="15.75" customHeight="1">
      <c r="A918" s="50"/>
      <c r="B918" s="50"/>
      <c r="C918" s="50"/>
      <c r="D918" s="50"/>
      <c r="E918" s="50"/>
      <c r="F918" s="50"/>
      <c r="G918" s="51"/>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c r="AV918" s="50"/>
      <c r="AW918" s="50"/>
      <c r="AX918" s="50"/>
      <c r="AY918" s="50"/>
      <c r="AZ918" s="50"/>
      <c r="BA918" s="50"/>
      <c r="BB918" s="50"/>
      <c r="BC918" s="50"/>
      <c r="BD918" s="50"/>
      <c r="BE918" s="50"/>
      <c r="BF918" s="50"/>
      <c r="BG918" s="50"/>
      <c r="BH918" s="50"/>
      <c r="BI918" s="50"/>
      <c r="BJ918" s="50"/>
      <c r="BK918" s="50"/>
      <c r="BL918" s="50"/>
      <c r="BM918" s="50"/>
      <c r="BN918" s="50"/>
      <c r="BO918" s="50"/>
      <c r="BP918" s="50"/>
      <c r="BQ918" s="50"/>
      <c r="BR918" s="50"/>
      <c r="BS918" s="50"/>
      <c r="BT918" s="50"/>
      <c r="BU918" s="50"/>
      <c r="BV918" s="50"/>
      <c r="BW918" s="50"/>
      <c r="BX918" s="50"/>
      <c r="BY918" s="50"/>
      <c r="BZ918" s="50"/>
      <c r="CA918" s="50"/>
      <c r="CB918" s="50"/>
      <c r="CC918" s="50"/>
      <c r="CD918" s="52"/>
      <c r="CE918" s="50"/>
      <c r="CF918" s="50"/>
      <c r="CG918" s="50"/>
      <c r="CH918" s="50"/>
      <c r="CI918" s="50"/>
      <c r="CJ918" s="50"/>
      <c r="CK918" s="50"/>
      <c r="CL918" s="50"/>
      <c r="CM918" s="50"/>
      <c r="CN918" s="50"/>
      <c r="CO918" s="50"/>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c r="FF918" s="3"/>
      <c r="FG918" s="3"/>
      <c r="FH918" s="3"/>
      <c r="FI918" s="3"/>
      <c r="FJ918" s="3"/>
      <c r="FK918" s="3"/>
      <c r="FL918" s="3"/>
      <c r="FM918" s="3"/>
      <c r="FN918" s="3"/>
      <c r="FO918" s="3"/>
      <c r="FP918" s="3"/>
      <c r="FQ918" s="3"/>
      <c r="FR918" s="3"/>
      <c r="FS918" s="3"/>
      <c r="FT918" s="3"/>
      <c r="FU918" s="3"/>
      <c r="FV918" s="3"/>
      <c r="FW918" s="3"/>
      <c r="FX918" s="3"/>
      <c r="FY918" s="3"/>
      <c r="FZ918" s="3"/>
      <c r="GA918" s="3"/>
      <c r="GB918" s="3"/>
      <c r="GC918" s="3"/>
      <c r="GD918" s="3"/>
      <c r="GE918" s="3"/>
      <c r="GF918" s="3"/>
      <c r="GG918" s="3"/>
      <c r="GH918" s="3"/>
      <c r="GI918" s="3"/>
      <c r="GJ918" s="3"/>
      <c r="GK918" s="3"/>
      <c r="GL918" s="3"/>
      <c r="GM918" s="3"/>
      <c r="GN918" s="3"/>
      <c r="GO918" s="3"/>
      <c r="GP918" s="3"/>
      <c r="GQ918" s="3"/>
      <c r="GR918" s="3"/>
      <c r="GS918" s="3"/>
      <c r="GT918" s="3"/>
      <c r="GU918" s="3"/>
      <c r="GV918" s="3"/>
      <c r="GW918" s="3"/>
      <c r="GX918" s="3"/>
      <c r="GY918" s="3"/>
      <c r="GZ918" s="3"/>
      <c r="HA918" s="3"/>
      <c r="HB918" s="3"/>
    </row>
    <row r="919" spans="1:210" ht="15.75" customHeight="1">
      <c r="A919" s="50"/>
      <c r="B919" s="50"/>
      <c r="C919" s="50"/>
      <c r="D919" s="50"/>
      <c r="E919" s="50"/>
      <c r="F919" s="50"/>
      <c r="G919" s="51"/>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c r="AV919" s="50"/>
      <c r="AW919" s="50"/>
      <c r="AX919" s="50"/>
      <c r="AY919" s="50"/>
      <c r="AZ919" s="50"/>
      <c r="BA919" s="50"/>
      <c r="BB919" s="50"/>
      <c r="BC919" s="50"/>
      <c r="BD919" s="50"/>
      <c r="BE919" s="50"/>
      <c r="BF919" s="50"/>
      <c r="BG919" s="50"/>
      <c r="BH919" s="50"/>
      <c r="BI919" s="50"/>
      <c r="BJ919" s="50"/>
      <c r="BK919" s="50"/>
      <c r="BL919" s="50"/>
      <c r="BM919" s="50"/>
      <c r="BN919" s="50"/>
      <c r="BO919" s="50"/>
      <c r="BP919" s="50"/>
      <c r="BQ919" s="50"/>
      <c r="BR919" s="50"/>
      <c r="BS919" s="50"/>
      <c r="BT919" s="50"/>
      <c r="BU919" s="50"/>
      <c r="BV919" s="50"/>
      <c r="BW919" s="50"/>
      <c r="BX919" s="50"/>
      <c r="BY919" s="50"/>
      <c r="BZ919" s="50"/>
      <c r="CA919" s="50"/>
      <c r="CB919" s="50"/>
      <c r="CC919" s="50"/>
      <c r="CD919" s="52"/>
      <c r="CE919" s="50"/>
      <c r="CF919" s="50"/>
      <c r="CG919" s="50"/>
      <c r="CH919" s="50"/>
      <c r="CI919" s="50"/>
      <c r="CJ919" s="50"/>
      <c r="CK919" s="50"/>
      <c r="CL919" s="50"/>
      <c r="CM919" s="50"/>
      <c r="CN919" s="50"/>
      <c r="CO919" s="50"/>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c r="FF919" s="3"/>
      <c r="FG919" s="3"/>
      <c r="FH919" s="3"/>
      <c r="FI919" s="3"/>
      <c r="FJ919" s="3"/>
      <c r="FK919" s="3"/>
      <c r="FL919" s="3"/>
      <c r="FM919" s="3"/>
      <c r="FN919" s="3"/>
      <c r="FO919" s="3"/>
      <c r="FP919" s="3"/>
      <c r="FQ919" s="3"/>
      <c r="FR919" s="3"/>
      <c r="FS919" s="3"/>
      <c r="FT919" s="3"/>
      <c r="FU919" s="3"/>
      <c r="FV919" s="3"/>
      <c r="FW919" s="3"/>
      <c r="FX919" s="3"/>
      <c r="FY919" s="3"/>
      <c r="FZ919" s="3"/>
      <c r="GA919" s="3"/>
      <c r="GB919" s="3"/>
      <c r="GC919" s="3"/>
      <c r="GD919" s="3"/>
      <c r="GE919" s="3"/>
      <c r="GF919" s="3"/>
      <c r="GG919" s="3"/>
      <c r="GH919" s="3"/>
      <c r="GI919" s="3"/>
      <c r="GJ919" s="3"/>
      <c r="GK919" s="3"/>
      <c r="GL919" s="3"/>
      <c r="GM919" s="3"/>
      <c r="GN919" s="3"/>
      <c r="GO919" s="3"/>
      <c r="GP919" s="3"/>
      <c r="GQ919" s="3"/>
      <c r="GR919" s="3"/>
      <c r="GS919" s="3"/>
      <c r="GT919" s="3"/>
      <c r="GU919" s="3"/>
      <c r="GV919" s="3"/>
      <c r="GW919" s="3"/>
      <c r="GX919" s="3"/>
      <c r="GY919" s="3"/>
      <c r="GZ919" s="3"/>
      <c r="HA919" s="3"/>
      <c r="HB919" s="3"/>
    </row>
    <row r="920" spans="1:210" ht="15.75" customHeight="1">
      <c r="A920" s="50"/>
      <c r="B920" s="50"/>
      <c r="C920" s="50"/>
      <c r="D920" s="50"/>
      <c r="E920" s="50"/>
      <c r="F920" s="50"/>
      <c r="G920" s="51"/>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c r="AV920" s="50"/>
      <c r="AW920" s="50"/>
      <c r="AX920" s="50"/>
      <c r="AY920" s="50"/>
      <c r="AZ920" s="50"/>
      <c r="BA920" s="50"/>
      <c r="BB920" s="50"/>
      <c r="BC920" s="50"/>
      <c r="BD920" s="50"/>
      <c r="BE920" s="50"/>
      <c r="BF920" s="50"/>
      <c r="BG920" s="50"/>
      <c r="BH920" s="50"/>
      <c r="BI920" s="50"/>
      <c r="BJ920" s="50"/>
      <c r="BK920" s="50"/>
      <c r="BL920" s="50"/>
      <c r="BM920" s="50"/>
      <c r="BN920" s="50"/>
      <c r="BO920" s="50"/>
      <c r="BP920" s="50"/>
      <c r="BQ920" s="50"/>
      <c r="BR920" s="50"/>
      <c r="BS920" s="50"/>
      <c r="BT920" s="50"/>
      <c r="BU920" s="50"/>
      <c r="BV920" s="50"/>
      <c r="BW920" s="50"/>
      <c r="BX920" s="50"/>
      <c r="BY920" s="50"/>
      <c r="BZ920" s="50"/>
      <c r="CA920" s="50"/>
      <c r="CB920" s="50"/>
      <c r="CC920" s="50"/>
      <c r="CD920" s="52"/>
      <c r="CE920" s="50"/>
      <c r="CF920" s="50"/>
      <c r="CG920" s="50"/>
      <c r="CH920" s="50"/>
      <c r="CI920" s="50"/>
      <c r="CJ920" s="50"/>
      <c r="CK920" s="50"/>
      <c r="CL920" s="50"/>
      <c r="CM920" s="50"/>
      <c r="CN920" s="50"/>
      <c r="CO920" s="50"/>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c r="FF920" s="3"/>
      <c r="FG920" s="3"/>
      <c r="FH920" s="3"/>
      <c r="FI920" s="3"/>
      <c r="FJ920" s="3"/>
      <c r="FK920" s="3"/>
      <c r="FL920" s="3"/>
      <c r="FM920" s="3"/>
      <c r="FN920" s="3"/>
      <c r="FO920" s="3"/>
      <c r="FP920" s="3"/>
      <c r="FQ920" s="3"/>
      <c r="FR920" s="3"/>
      <c r="FS920" s="3"/>
      <c r="FT920" s="3"/>
      <c r="FU920" s="3"/>
      <c r="FV920" s="3"/>
      <c r="FW920" s="3"/>
      <c r="FX920" s="3"/>
      <c r="FY920" s="3"/>
      <c r="FZ920" s="3"/>
      <c r="GA920" s="3"/>
      <c r="GB920" s="3"/>
      <c r="GC920" s="3"/>
      <c r="GD920" s="3"/>
      <c r="GE920" s="3"/>
      <c r="GF920" s="3"/>
      <c r="GG920" s="3"/>
      <c r="GH920" s="3"/>
      <c r="GI920" s="3"/>
      <c r="GJ920" s="3"/>
      <c r="GK920" s="3"/>
      <c r="GL920" s="3"/>
      <c r="GM920" s="3"/>
      <c r="GN920" s="3"/>
      <c r="GO920" s="3"/>
      <c r="GP920" s="3"/>
      <c r="GQ920" s="3"/>
      <c r="GR920" s="3"/>
      <c r="GS920" s="3"/>
      <c r="GT920" s="3"/>
      <c r="GU920" s="3"/>
      <c r="GV920" s="3"/>
      <c r="GW920" s="3"/>
      <c r="GX920" s="3"/>
      <c r="GY920" s="3"/>
      <c r="GZ920" s="3"/>
      <c r="HA920" s="3"/>
      <c r="HB920" s="3"/>
    </row>
    <row r="921" spans="1:210" ht="15.75" customHeight="1">
      <c r="A921" s="50"/>
      <c r="B921" s="50"/>
      <c r="C921" s="50"/>
      <c r="D921" s="50"/>
      <c r="E921" s="50"/>
      <c r="F921" s="50"/>
      <c r="G921" s="51"/>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c r="AV921" s="50"/>
      <c r="AW921" s="50"/>
      <c r="AX921" s="50"/>
      <c r="AY921" s="50"/>
      <c r="AZ921" s="50"/>
      <c r="BA921" s="50"/>
      <c r="BB921" s="50"/>
      <c r="BC921" s="50"/>
      <c r="BD921" s="50"/>
      <c r="BE921" s="50"/>
      <c r="BF921" s="50"/>
      <c r="BG921" s="50"/>
      <c r="BH921" s="50"/>
      <c r="BI921" s="50"/>
      <c r="BJ921" s="50"/>
      <c r="BK921" s="50"/>
      <c r="BL921" s="50"/>
      <c r="BM921" s="50"/>
      <c r="BN921" s="50"/>
      <c r="BO921" s="50"/>
      <c r="BP921" s="50"/>
      <c r="BQ921" s="50"/>
      <c r="BR921" s="50"/>
      <c r="BS921" s="50"/>
      <c r="BT921" s="50"/>
      <c r="BU921" s="50"/>
      <c r="BV921" s="50"/>
      <c r="BW921" s="50"/>
      <c r="BX921" s="50"/>
      <c r="BY921" s="50"/>
      <c r="BZ921" s="50"/>
      <c r="CA921" s="50"/>
      <c r="CB921" s="50"/>
      <c r="CC921" s="50"/>
      <c r="CD921" s="52"/>
      <c r="CE921" s="50"/>
      <c r="CF921" s="50"/>
      <c r="CG921" s="50"/>
      <c r="CH921" s="50"/>
      <c r="CI921" s="50"/>
      <c r="CJ921" s="50"/>
      <c r="CK921" s="50"/>
      <c r="CL921" s="50"/>
      <c r="CM921" s="50"/>
      <c r="CN921" s="50"/>
      <c r="CO921" s="50"/>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c r="FF921" s="3"/>
      <c r="FG921" s="3"/>
      <c r="FH921" s="3"/>
      <c r="FI921" s="3"/>
      <c r="FJ921" s="3"/>
      <c r="FK921" s="3"/>
      <c r="FL921" s="3"/>
      <c r="FM921" s="3"/>
      <c r="FN921" s="3"/>
      <c r="FO921" s="3"/>
      <c r="FP921" s="3"/>
      <c r="FQ921" s="3"/>
      <c r="FR921" s="3"/>
      <c r="FS921" s="3"/>
      <c r="FT921" s="3"/>
      <c r="FU921" s="3"/>
      <c r="FV921" s="3"/>
      <c r="FW921" s="3"/>
      <c r="FX921" s="3"/>
      <c r="FY921" s="3"/>
      <c r="FZ921" s="3"/>
      <c r="GA921" s="3"/>
      <c r="GB921" s="3"/>
      <c r="GC921" s="3"/>
      <c r="GD921" s="3"/>
      <c r="GE921" s="3"/>
      <c r="GF921" s="3"/>
      <c r="GG921" s="3"/>
      <c r="GH921" s="3"/>
      <c r="GI921" s="3"/>
      <c r="GJ921" s="3"/>
      <c r="GK921" s="3"/>
      <c r="GL921" s="3"/>
      <c r="GM921" s="3"/>
      <c r="GN921" s="3"/>
      <c r="GO921" s="3"/>
      <c r="GP921" s="3"/>
      <c r="GQ921" s="3"/>
      <c r="GR921" s="3"/>
      <c r="GS921" s="3"/>
      <c r="GT921" s="3"/>
      <c r="GU921" s="3"/>
      <c r="GV921" s="3"/>
      <c r="GW921" s="3"/>
      <c r="GX921" s="3"/>
      <c r="GY921" s="3"/>
      <c r="GZ921" s="3"/>
      <c r="HA921" s="3"/>
      <c r="HB921" s="3"/>
    </row>
    <row r="922" spans="1:210" ht="15.75" customHeight="1">
      <c r="A922" s="50"/>
      <c r="B922" s="50"/>
      <c r="C922" s="50"/>
      <c r="D922" s="50"/>
      <c r="E922" s="50"/>
      <c r="F922" s="50"/>
      <c r="G922" s="51"/>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c r="AV922" s="50"/>
      <c r="AW922" s="50"/>
      <c r="AX922" s="50"/>
      <c r="AY922" s="50"/>
      <c r="AZ922" s="50"/>
      <c r="BA922" s="50"/>
      <c r="BB922" s="50"/>
      <c r="BC922" s="50"/>
      <c r="BD922" s="50"/>
      <c r="BE922" s="50"/>
      <c r="BF922" s="50"/>
      <c r="BG922" s="50"/>
      <c r="BH922" s="50"/>
      <c r="BI922" s="50"/>
      <c r="BJ922" s="50"/>
      <c r="BK922" s="50"/>
      <c r="BL922" s="50"/>
      <c r="BM922" s="50"/>
      <c r="BN922" s="50"/>
      <c r="BO922" s="50"/>
      <c r="BP922" s="50"/>
      <c r="BQ922" s="50"/>
      <c r="BR922" s="50"/>
      <c r="BS922" s="50"/>
      <c r="BT922" s="50"/>
      <c r="BU922" s="50"/>
      <c r="BV922" s="50"/>
      <c r="BW922" s="50"/>
      <c r="BX922" s="50"/>
      <c r="BY922" s="50"/>
      <c r="BZ922" s="50"/>
      <c r="CA922" s="50"/>
      <c r="CB922" s="50"/>
      <c r="CC922" s="50"/>
      <c r="CD922" s="52"/>
      <c r="CE922" s="50"/>
      <c r="CF922" s="50"/>
      <c r="CG922" s="50"/>
      <c r="CH922" s="50"/>
      <c r="CI922" s="50"/>
      <c r="CJ922" s="50"/>
      <c r="CK922" s="50"/>
      <c r="CL922" s="50"/>
      <c r="CM922" s="50"/>
      <c r="CN922" s="50"/>
      <c r="CO922" s="50"/>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c r="FF922" s="3"/>
      <c r="FG922" s="3"/>
      <c r="FH922" s="3"/>
      <c r="FI922" s="3"/>
      <c r="FJ922" s="3"/>
      <c r="FK922" s="3"/>
      <c r="FL922" s="3"/>
      <c r="FM922" s="3"/>
      <c r="FN922" s="3"/>
      <c r="FO922" s="3"/>
      <c r="FP922" s="3"/>
      <c r="FQ922" s="3"/>
      <c r="FR922" s="3"/>
      <c r="FS922" s="3"/>
      <c r="FT922" s="3"/>
      <c r="FU922" s="3"/>
      <c r="FV922" s="3"/>
      <c r="FW922" s="3"/>
      <c r="FX922" s="3"/>
      <c r="FY922" s="3"/>
      <c r="FZ922" s="3"/>
      <c r="GA922" s="3"/>
      <c r="GB922" s="3"/>
      <c r="GC922" s="3"/>
      <c r="GD922" s="3"/>
      <c r="GE922" s="3"/>
      <c r="GF922" s="3"/>
      <c r="GG922" s="3"/>
      <c r="GH922" s="3"/>
      <c r="GI922" s="3"/>
      <c r="GJ922" s="3"/>
      <c r="GK922" s="3"/>
      <c r="GL922" s="3"/>
      <c r="GM922" s="3"/>
      <c r="GN922" s="3"/>
      <c r="GO922" s="3"/>
      <c r="GP922" s="3"/>
      <c r="GQ922" s="3"/>
      <c r="GR922" s="3"/>
      <c r="GS922" s="3"/>
      <c r="GT922" s="3"/>
      <c r="GU922" s="3"/>
      <c r="GV922" s="3"/>
      <c r="GW922" s="3"/>
      <c r="GX922" s="3"/>
      <c r="GY922" s="3"/>
      <c r="GZ922" s="3"/>
      <c r="HA922" s="3"/>
      <c r="HB922" s="3"/>
    </row>
    <row r="923" spans="1:210" ht="15.75" customHeight="1">
      <c r="A923" s="50"/>
      <c r="B923" s="50"/>
      <c r="C923" s="50"/>
      <c r="D923" s="50"/>
      <c r="E923" s="50"/>
      <c r="F923" s="50"/>
      <c r="G923" s="51"/>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c r="AV923" s="50"/>
      <c r="AW923" s="50"/>
      <c r="AX923" s="50"/>
      <c r="AY923" s="50"/>
      <c r="AZ923" s="50"/>
      <c r="BA923" s="50"/>
      <c r="BB923" s="50"/>
      <c r="BC923" s="50"/>
      <c r="BD923" s="50"/>
      <c r="BE923" s="50"/>
      <c r="BF923" s="50"/>
      <c r="BG923" s="50"/>
      <c r="BH923" s="50"/>
      <c r="BI923" s="50"/>
      <c r="BJ923" s="50"/>
      <c r="BK923" s="50"/>
      <c r="BL923" s="50"/>
      <c r="BM923" s="50"/>
      <c r="BN923" s="50"/>
      <c r="BO923" s="50"/>
      <c r="BP923" s="50"/>
      <c r="BQ923" s="50"/>
      <c r="BR923" s="50"/>
      <c r="BS923" s="50"/>
      <c r="BT923" s="50"/>
      <c r="BU923" s="50"/>
      <c r="BV923" s="50"/>
      <c r="BW923" s="50"/>
      <c r="BX923" s="50"/>
      <c r="BY923" s="50"/>
      <c r="BZ923" s="50"/>
      <c r="CA923" s="50"/>
      <c r="CB923" s="50"/>
      <c r="CC923" s="50"/>
      <c r="CD923" s="52"/>
      <c r="CE923" s="50"/>
      <c r="CF923" s="50"/>
      <c r="CG923" s="50"/>
      <c r="CH923" s="50"/>
      <c r="CI923" s="50"/>
      <c r="CJ923" s="50"/>
      <c r="CK923" s="50"/>
      <c r="CL923" s="50"/>
      <c r="CM923" s="50"/>
      <c r="CN923" s="50"/>
      <c r="CO923" s="50"/>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c r="FF923" s="3"/>
      <c r="FG923" s="3"/>
      <c r="FH923" s="3"/>
      <c r="FI923" s="3"/>
      <c r="FJ923" s="3"/>
      <c r="FK923" s="3"/>
      <c r="FL923" s="3"/>
      <c r="FM923" s="3"/>
      <c r="FN923" s="3"/>
      <c r="FO923" s="3"/>
      <c r="FP923" s="3"/>
      <c r="FQ923" s="3"/>
      <c r="FR923" s="3"/>
      <c r="FS923" s="3"/>
      <c r="FT923" s="3"/>
      <c r="FU923" s="3"/>
      <c r="FV923" s="3"/>
      <c r="FW923" s="3"/>
      <c r="FX923" s="3"/>
      <c r="FY923" s="3"/>
      <c r="FZ923" s="3"/>
      <c r="GA923" s="3"/>
      <c r="GB923" s="3"/>
      <c r="GC923" s="3"/>
      <c r="GD923" s="3"/>
      <c r="GE923" s="3"/>
      <c r="GF923" s="3"/>
      <c r="GG923" s="3"/>
      <c r="GH923" s="3"/>
      <c r="GI923" s="3"/>
      <c r="GJ923" s="3"/>
      <c r="GK923" s="3"/>
      <c r="GL923" s="3"/>
      <c r="GM923" s="3"/>
      <c r="GN923" s="3"/>
      <c r="GO923" s="3"/>
      <c r="GP923" s="3"/>
      <c r="GQ923" s="3"/>
      <c r="GR923" s="3"/>
      <c r="GS923" s="3"/>
      <c r="GT923" s="3"/>
      <c r="GU923" s="3"/>
      <c r="GV923" s="3"/>
      <c r="GW923" s="3"/>
      <c r="GX923" s="3"/>
      <c r="GY923" s="3"/>
      <c r="GZ923" s="3"/>
      <c r="HA923" s="3"/>
      <c r="HB923" s="3"/>
    </row>
    <row r="924" spans="1:210" ht="15.75" customHeight="1">
      <c r="A924" s="50"/>
      <c r="B924" s="50"/>
      <c r="C924" s="50"/>
      <c r="D924" s="50"/>
      <c r="E924" s="50"/>
      <c r="F924" s="50"/>
      <c r="G924" s="51"/>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c r="AV924" s="50"/>
      <c r="AW924" s="50"/>
      <c r="AX924" s="50"/>
      <c r="AY924" s="50"/>
      <c r="AZ924" s="50"/>
      <c r="BA924" s="50"/>
      <c r="BB924" s="50"/>
      <c r="BC924" s="50"/>
      <c r="BD924" s="50"/>
      <c r="BE924" s="50"/>
      <c r="BF924" s="50"/>
      <c r="BG924" s="50"/>
      <c r="BH924" s="50"/>
      <c r="BI924" s="50"/>
      <c r="BJ924" s="50"/>
      <c r="BK924" s="50"/>
      <c r="BL924" s="50"/>
      <c r="BM924" s="50"/>
      <c r="BN924" s="50"/>
      <c r="BO924" s="50"/>
      <c r="BP924" s="50"/>
      <c r="BQ924" s="50"/>
      <c r="BR924" s="50"/>
      <c r="BS924" s="50"/>
      <c r="BT924" s="50"/>
      <c r="BU924" s="50"/>
      <c r="BV924" s="50"/>
      <c r="BW924" s="50"/>
      <c r="BX924" s="50"/>
      <c r="BY924" s="50"/>
      <c r="BZ924" s="50"/>
      <c r="CA924" s="50"/>
      <c r="CB924" s="50"/>
      <c r="CC924" s="50"/>
      <c r="CD924" s="52"/>
      <c r="CE924" s="50"/>
      <c r="CF924" s="50"/>
      <c r="CG924" s="50"/>
      <c r="CH924" s="50"/>
      <c r="CI924" s="50"/>
      <c r="CJ924" s="50"/>
      <c r="CK924" s="50"/>
      <c r="CL924" s="50"/>
      <c r="CM924" s="50"/>
      <c r="CN924" s="50"/>
      <c r="CO924" s="50"/>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c r="FF924" s="3"/>
      <c r="FG924" s="3"/>
      <c r="FH924" s="3"/>
      <c r="FI924" s="3"/>
      <c r="FJ924" s="3"/>
      <c r="FK924" s="3"/>
      <c r="FL924" s="3"/>
      <c r="FM924" s="3"/>
      <c r="FN924" s="3"/>
      <c r="FO924" s="3"/>
      <c r="FP924" s="3"/>
      <c r="FQ924" s="3"/>
      <c r="FR924" s="3"/>
      <c r="FS924" s="3"/>
      <c r="FT924" s="3"/>
      <c r="FU924" s="3"/>
      <c r="FV924" s="3"/>
      <c r="FW924" s="3"/>
      <c r="FX924" s="3"/>
      <c r="FY924" s="3"/>
      <c r="FZ924" s="3"/>
      <c r="GA924" s="3"/>
      <c r="GB924" s="3"/>
      <c r="GC924" s="3"/>
      <c r="GD924" s="3"/>
      <c r="GE924" s="3"/>
      <c r="GF924" s="3"/>
      <c r="GG924" s="3"/>
      <c r="GH924" s="3"/>
      <c r="GI924" s="3"/>
      <c r="GJ924" s="3"/>
      <c r="GK924" s="3"/>
      <c r="GL924" s="3"/>
      <c r="GM924" s="3"/>
      <c r="GN924" s="3"/>
      <c r="GO924" s="3"/>
      <c r="GP924" s="3"/>
      <c r="GQ924" s="3"/>
      <c r="GR924" s="3"/>
      <c r="GS924" s="3"/>
      <c r="GT924" s="3"/>
      <c r="GU924" s="3"/>
      <c r="GV924" s="3"/>
      <c r="GW924" s="3"/>
      <c r="GX924" s="3"/>
      <c r="GY924" s="3"/>
      <c r="GZ924" s="3"/>
      <c r="HA924" s="3"/>
      <c r="HB924" s="3"/>
    </row>
    <row r="925" spans="1:210" ht="15.75" customHeight="1">
      <c r="A925" s="50"/>
      <c r="B925" s="50"/>
      <c r="C925" s="50"/>
      <c r="D925" s="50"/>
      <c r="E925" s="50"/>
      <c r="F925" s="50"/>
      <c r="G925" s="51"/>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c r="AV925" s="50"/>
      <c r="AW925" s="50"/>
      <c r="AX925" s="50"/>
      <c r="AY925" s="50"/>
      <c r="AZ925" s="50"/>
      <c r="BA925" s="50"/>
      <c r="BB925" s="50"/>
      <c r="BC925" s="50"/>
      <c r="BD925" s="50"/>
      <c r="BE925" s="50"/>
      <c r="BF925" s="50"/>
      <c r="BG925" s="50"/>
      <c r="BH925" s="50"/>
      <c r="BI925" s="50"/>
      <c r="BJ925" s="50"/>
      <c r="BK925" s="50"/>
      <c r="BL925" s="50"/>
      <c r="BM925" s="50"/>
      <c r="BN925" s="50"/>
      <c r="BO925" s="50"/>
      <c r="BP925" s="50"/>
      <c r="BQ925" s="50"/>
      <c r="BR925" s="50"/>
      <c r="BS925" s="50"/>
      <c r="BT925" s="50"/>
      <c r="BU925" s="50"/>
      <c r="BV925" s="50"/>
      <c r="BW925" s="50"/>
      <c r="BX925" s="50"/>
      <c r="BY925" s="50"/>
      <c r="BZ925" s="50"/>
      <c r="CA925" s="50"/>
      <c r="CB925" s="50"/>
      <c r="CC925" s="50"/>
      <c r="CD925" s="52"/>
      <c r="CE925" s="50"/>
      <c r="CF925" s="50"/>
      <c r="CG925" s="50"/>
      <c r="CH925" s="50"/>
      <c r="CI925" s="50"/>
      <c r="CJ925" s="50"/>
      <c r="CK925" s="50"/>
      <c r="CL925" s="50"/>
      <c r="CM925" s="50"/>
      <c r="CN925" s="50"/>
      <c r="CO925" s="50"/>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c r="FF925" s="3"/>
      <c r="FG925" s="3"/>
      <c r="FH925" s="3"/>
      <c r="FI925" s="3"/>
      <c r="FJ925" s="3"/>
      <c r="FK925" s="3"/>
      <c r="FL925" s="3"/>
      <c r="FM925" s="3"/>
      <c r="FN925" s="3"/>
      <c r="FO925" s="3"/>
      <c r="FP925" s="3"/>
      <c r="FQ925" s="3"/>
      <c r="FR925" s="3"/>
      <c r="FS925" s="3"/>
      <c r="FT925" s="3"/>
      <c r="FU925" s="3"/>
      <c r="FV925" s="3"/>
      <c r="FW925" s="3"/>
      <c r="FX925" s="3"/>
      <c r="FY925" s="3"/>
      <c r="FZ925" s="3"/>
      <c r="GA925" s="3"/>
      <c r="GB925" s="3"/>
      <c r="GC925" s="3"/>
      <c r="GD925" s="3"/>
      <c r="GE925" s="3"/>
      <c r="GF925" s="3"/>
      <c r="GG925" s="3"/>
      <c r="GH925" s="3"/>
      <c r="GI925" s="3"/>
      <c r="GJ925" s="3"/>
      <c r="GK925" s="3"/>
      <c r="GL925" s="3"/>
      <c r="GM925" s="3"/>
      <c r="GN925" s="3"/>
      <c r="GO925" s="3"/>
      <c r="GP925" s="3"/>
      <c r="GQ925" s="3"/>
      <c r="GR925" s="3"/>
      <c r="GS925" s="3"/>
      <c r="GT925" s="3"/>
      <c r="GU925" s="3"/>
      <c r="GV925" s="3"/>
      <c r="GW925" s="3"/>
      <c r="GX925" s="3"/>
      <c r="GY925" s="3"/>
      <c r="GZ925" s="3"/>
      <c r="HA925" s="3"/>
      <c r="HB925" s="3"/>
    </row>
    <row r="926" spans="1:210" ht="15.75" customHeight="1">
      <c r="A926" s="50"/>
      <c r="B926" s="50"/>
      <c r="C926" s="50"/>
      <c r="D926" s="50"/>
      <c r="E926" s="50"/>
      <c r="F926" s="50"/>
      <c r="G926" s="51"/>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c r="AV926" s="50"/>
      <c r="AW926" s="50"/>
      <c r="AX926" s="50"/>
      <c r="AY926" s="50"/>
      <c r="AZ926" s="50"/>
      <c r="BA926" s="50"/>
      <c r="BB926" s="50"/>
      <c r="BC926" s="50"/>
      <c r="BD926" s="50"/>
      <c r="BE926" s="50"/>
      <c r="BF926" s="50"/>
      <c r="BG926" s="50"/>
      <c r="BH926" s="50"/>
      <c r="BI926" s="50"/>
      <c r="BJ926" s="50"/>
      <c r="BK926" s="50"/>
      <c r="BL926" s="50"/>
      <c r="BM926" s="50"/>
      <c r="BN926" s="50"/>
      <c r="BO926" s="50"/>
      <c r="BP926" s="50"/>
      <c r="BQ926" s="50"/>
      <c r="BR926" s="50"/>
      <c r="BS926" s="50"/>
      <c r="BT926" s="50"/>
      <c r="BU926" s="50"/>
      <c r="BV926" s="50"/>
      <c r="BW926" s="50"/>
      <c r="BX926" s="50"/>
      <c r="BY926" s="50"/>
      <c r="BZ926" s="50"/>
      <c r="CA926" s="50"/>
      <c r="CB926" s="50"/>
      <c r="CC926" s="50"/>
      <c r="CD926" s="52"/>
      <c r="CE926" s="50"/>
      <c r="CF926" s="50"/>
      <c r="CG926" s="50"/>
      <c r="CH926" s="50"/>
      <c r="CI926" s="50"/>
      <c r="CJ926" s="50"/>
      <c r="CK926" s="50"/>
      <c r="CL926" s="50"/>
      <c r="CM926" s="50"/>
      <c r="CN926" s="50"/>
      <c r="CO926" s="50"/>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c r="FF926" s="3"/>
      <c r="FG926" s="3"/>
      <c r="FH926" s="3"/>
      <c r="FI926" s="3"/>
      <c r="FJ926" s="3"/>
      <c r="FK926" s="3"/>
      <c r="FL926" s="3"/>
      <c r="FM926" s="3"/>
      <c r="FN926" s="3"/>
      <c r="FO926" s="3"/>
      <c r="FP926" s="3"/>
      <c r="FQ926" s="3"/>
      <c r="FR926" s="3"/>
      <c r="FS926" s="3"/>
      <c r="FT926" s="3"/>
      <c r="FU926" s="3"/>
      <c r="FV926" s="3"/>
      <c r="FW926" s="3"/>
      <c r="FX926" s="3"/>
      <c r="FY926" s="3"/>
      <c r="FZ926" s="3"/>
      <c r="GA926" s="3"/>
      <c r="GB926" s="3"/>
      <c r="GC926" s="3"/>
      <c r="GD926" s="3"/>
      <c r="GE926" s="3"/>
      <c r="GF926" s="3"/>
      <c r="GG926" s="3"/>
      <c r="GH926" s="3"/>
      <c r="GI926" s="3"/>
      <c r="GJ926" s="3"/>
      <c r="GK926" s="3"/>
      <c r="GL926" s="3"/>
      <c r="GM926" s="3"/>
      <c r="GN926" s="3"/>
      <c r="GO926" s="3"/>
      <c r="GP926" s="3"/>
      <c r="GQ926" s="3"/>
      <c r="GR926" s="3"/>
      <c r="GS926" s="3"/>
      <c r="GT926" s="3"/>
      <c r="GU926" s="3"/>
      <c r="GV926" s="3"/>
      <c r="GW926" s="3"/>
      <c r="GX926" s="3"/>
      <c r="GY926" s="3"/>
      <c r="GZ926" s="3"/>
      <c r="HA926" s="3"/>
      <c r="HB926" s="3"/>
    </row>
    <row r="927" spans="1:210" ht="15.75" customHeight="1">
      <c r="A927" s="50"/>
      <c r="B927" s="50"/>
      <c r="C927" s="50"/>
      <c r="D927" s="50"/>
      <c r="E927" s="50"/>
      <c r="F927" s="50"/>
      <c r="G927" s="51"/>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c r="AV927" s="50"/>
      <c r="AW927" s="50"/>
      <c r="AX927" s="50"/>
      <c r="AY927" s="50"/>
      <c r="AZ927" s="50"/>
      <c r="BA927" s="50"/>
      <c r="BB927" s="50"/>
      <c r="BC927" s="50"/>
      <c r="BD927" s="50"/>
      <c r="BE927" s="50"/>
      <c r="BF927" s="50"/>
      <c r="BG927" s="50"/>
      <c r="BH927" s="50"/>
      <c r="BI927" s="50"/>
      <c r="BJ927" s="50"/>
      <c r="BK927" s="50"/>
      <c r="BL927" s="50"/>
      <c r="BM927" s="50"/>
      <c r="BN927" s="50"/>
      <c r="BO927" s="50"/>
      <c r="BP927" s="50"/>
      <c r="BQ927" s="50"/>
      <c r="BR927" s="50"/>
      <c r="BS927" s="50"/>
      <c r="BT927" s="50"/>
      <c r="BU927" s="50"/>
      <c r="BV927" s="50"/>
      <c r="BW927" s="50"/>
      <c r="BX927" s="50"/>
      <c r="BY927" s="50"/>
      <c r="BZ927" s="50"/>
      <c r="CA927" s="50"/>
      <c r="CB927" s="50"/>
      <c r="CC927" s="50"/>
      <c r="CD927" s="52"/>
      <c r="CE927" s="50"/>
      <c r="CF927" s="50"/>
      <c r="CG927" s="50"/>
      <c r="CH927" s="50"/>
      <c r="CI927" s="50"/>
      <c r="CJ927" s="50"/>
      <c r="CK927" s="50"/>
      <c r="CL927" s="50"/>
      <c r="CM927" s="50"/>
      <c r="CN927" s="50"/>
      <c r="CO927" s="50"/>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c r="FF927" s="3"/>
      <c r="FG927" s="3"/>
      <c r="FH927" s="3"/>
      <c r="FI927" s="3"/>
      <c r="FJ927" s="3"/>
      <c r="FK927" s="3"/>
      <c r="FL927" s="3"/>
      <c r="FM927" s="3"/>
      <c r="FN927" s="3"/>
      <c r="FO927" s="3"/>
      <c r="FP927" s="3"/>
      <c r="FQ927" s="3"/>
      <c r="FR927" s="3"/>
      <c r="FS927" s="3"/>
      <c r="FT927" s="3"/>
      <c r="FU927" s="3"/>
      <c r="FV927" s="3"/>
      <c r="FW927" s="3"/>
      <c r="FX927" s="3"/>
      <c r="FY927" s="3"/>
      <c r="FZ927" s="3"/>
      <c r="GA927" s="3"/>
      <c r="GB927" s="3"/>
      <c r="GC927" s="3"/>
      <c r="GD927" s="3"/>
      <c r="GE927" s="3"/>
      <c r="GF927" s="3"/>
      <c r="GG927" s="3"/>
      <c r="GH927" s="3"/>
      <c r="GI927" s="3"/>
      <c r="GJ927" s="3"/>
      <c r="GK927" s="3"/>
      <c r="GL927" s="3"/>
      <c r="GM927" s="3"/>
      <c r="GN927" s="3"/>
      <c r="GO927" s="3"/>
      <c r="GP927" s="3"/>
      <c r="GQ927" s="3"/>
      <c r="GR927" s="3"/>
      <c r="GS927" s="3"/>
      <c r="GT927" s="3"/>
      <c r="GU927" s="3"/>
      <c r="GV927" s="3"/>
      <c r="GW927" s="3"/>
      <c r="GX927" s="3"/>
      <c r="GY927" s="3"/>
      <c r="GZ927" s="3"/>
      <c r="HA927" s="3"/>
      <c r="HB927" s="3"/>
    </row>
    <row r="928" spans="1:210" ht="15.75" customHeight="1">
      <c r="A928" s="50"/>
      <c r="B928" s="50"/>
      <c r="C928" s="50"/>
      <c r="D928" s="50"/>
      <c r="E928" s="50"/>
      <c r="F928" s="50"/>
      <c r="G928" s="51"/>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c r="AV928" s="50"/>
      <c r="AW928" s="50"/>
      <c r="AX928" s="50"/>
      <c r="AY928" s="50"/>
      <c r="AZ928" s="50"/>
      <c r="BA928" s="50"/>
      <c r="BB928" s="50"/>
      <c r="BC928" s="50"/>
      <c r="BD928" s="50"/>
      <c r="BE928" s="50"/>
      <c r="BF928" s="50"/>
      <c r="BG928" s="50"/>
      <c r="BH928" s="50"/>
      <c r="BI928" s="50"/>
      <c r="BJ928" s="50"/>
      <c r="BK928" s="50"/>
      <c r="BL928" s="50"/>
      <c r="BM928" s="50"/>
      <c r="BN928" s="50"/>
      <c r="BO928" s="50"/>
      <c r="BP928" s="50"/>
      <c r="BQ928" s="50"/>
      <c r="BR928" s="50"/>
      <c r="BS928" s="50"/>
      <c r="BT928" s="50"/>
      <c r="BU928" s="50"/>
      <c r="BV928" s="50"/>
      <c r="BW928" s="50"/>
      <c r="BX928" s="50"/>
      <c r="BY928" s="50"/>
      <c r="BZ928" s="50"/>
      <c r="CA928" s="50"/>
      <c r="CB928" s="50"/>
      <c r="CC928" s="50"/>
      <c r="CD928" s="52"/>
      <c r="CE928" s="50"/>
      <c r="CF928" s="50"/>
      <c r="CG928" s="50"/>
      <c r="CH928" s="50"/>
      <c r="CI928" s="50"/>
      <c r="CJ928" s="50"/>
      <c r="CK928" s="50"/>
      <c r="CL928" s="50"/>
      <c r="CM928" s="50"/>
      <c r="CN928" s="50"/>
      <c r="CO928" s="50"/>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c r="FF928" s="3"/>
      <c r="FG928" s="3"/>
      <c r="FH928" s="3"/>
      <c r="FI928" s="3"/>
      <c r="FJ928" s="3"/>
      <c r="FK928" s="3"/>
      <c r="FL928" s="3"/>
      <c r="FM928" s="3"/>
      <c r="FN928" s="3"/>
      <c r="FO928" s="3"/>
      <c r="FP928" s="3"/>
      <c r="FQ928" s="3"/>
      <c r="FR928" s="3"/>
      <c r="FS928" s="3"/>
      <c r="FT928" s="3"/>
      <c r="FU928" s="3"/>
      <c r="FV928" s="3"/>
      <c r="FW928" s="3"/>
      <c r="FX928" s="3"/>
      <c r="FY928" s="3"/>
      <c r="FZ928" s="3"/>
      <c r="GA928" s="3"/>
      <c r="GB928" s="3"/>
      <c r="GC928" s="3"/>
      <c r="GD928" s="3"/>
      <c r="GE928" s="3"/>
      <c r="GF928" s="3"/>
      <c r="GG928" s="3"/>
      <c r="GH928" s="3"/>
      <c r="GI928" s="3"/>
      <c r="GJ928" s="3"/>
      <c r="GK928" s="3"/>
      <c r="GL928" s="3"/>
      <c r="GM928" s="3"/>
      <c r="GN928" s="3"/>
      <c r="GO928" s="3"/>
      <c r="GP928" s="3"/>
      <c r="GQ928" s="3"/>
      <c r="GR928" s="3"/>
      <c r="GS928" s="3"/>
      <c r="GT928" s="3"/>
      <c r="GU928" s="3"/>
      <c r="GV928" s="3"/>
      <c r="GW928" s="3"/>
      <c r="GX928" s="3"/>
      <c r="GY928" s="3"/>
      <c r="GZ928" s="3"/>
      <c r="HA928" s="3"/>
      <c r="HB928" s="3"/>
    </row>
    <row r="929" spans="1:210" ht="15.75" customHeight="1">
      <c r="A929" s="50"/>
      <c r="B929" s="50"/>
      <c r="C929" s="50"/>
      <c r="D929" s="50"/>
      <c r="E929" s="50"/>
      <c r="F929" s="50"/>
      <c r="G929" s="51"/>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c r="AV929" s="50"/>
      <c r="AW929" s="50"/>
      <c r="AX929" s="50"/>
      <c r="AY929" s="50"/>
      <c r="AZ929" s="50"/>
      <c r="BA929" s="50"/>
      <c r="BB929" s="50"/>
      <c r="BC929" s="50"/>
      <c r="BD929" s="50"/>
      <c r="BE929" s="50"/>
      <c r="BF929" s="50"/>
      <c r="BG929" s="50"/>
      <c r="BH929" s="50"/>
      <c r="BI929" s="50"/>
      <c r="BJ929" s="50"/>
      <c r="BK929" s="50"/>
      <c r="BL929" s="50"/>
      <c r="BM929" s="50"/>
      <c r="BN929" s="50"/>
      <c r="BO929" s="50"/>
      <c r="BP929" s="50"/>
      <c r="BQ929" s="50"/>
      <c r="BR929" s="50"/>
      <c r="BS929" s="50"/>
      <c r="BT929" s="50"/>
      <c r="BU929" s="50"/>
      <c r="BV929" s="50"/>
      <c r="BW929" s="50"/>
      <c r="BX929" s="50"/>
      <c r="BY929" s="50"/>
      <c r="BZ929" s="50"/>
      <c r="CA929" s="50"/>
      <c r="CB929" s="50"/>
      <c r="CC929" s="50"/>
      <c r="CD929" s="52"/>
      <c r="CE929" s="50"/>
      <c r="CF929" s="50"/>
      <c r="CG929" s="50"/>
      <c r="CH929" s="50"/>
      <c r="CI929" s="50"/>
      <c r="CJ929" s="50"/>
      <c r="CK929" s="50"/>
      <c r="CL929" s="50"/>
      <c r="CM929" s="50"/>
      <c r="CN929" s="50"/>
      <c r="CO929" s="50"/>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c r="FF929" s="3"/>
      <c r="FG929" s="3"/>
      <c r="FH929" s="3"/>
      <c r="FI929" s="3"/>
      <c r="FJ929" s="3"/>
      <c r="FK929" s="3"/>
      <c r="FL929" s="3"/>
      <c r="FM929" s="3"/>
      <c r="FN929" s="3"/>
      <c r="FO929" s="3"/>
      <c r="FP929" s="3"/>
      <c r="FQ929" s="3"/>
      <c r="FR929" s="3"/>
      <c r="FS929" s="3"/>
      <c r="FT929" s="3"/>
      <c r="FU929" s="3"/>
      <c r="FV929" s="3"/>
      <c r="FW929" s="3"/>
      <c r="FX929" s="3"/>
      <c r="FY929" s="3"/>
      <c r="FZ929" s="3"/>
      <c r="GA929" s="3"/>
      <c r="GB929" s="3"/>
      <c r="GC929" s="3"/>
      <c r="GD929" s="3"/>
      <c r="GE929" s="3"/>
      <c r="GF929" s="3"/>
      <c r="GG929" s="3"/>
      <c r="GH929" s="3"/>
      <c r="GI929" s="3"/>
      <c r="GJ929" s="3"/>
      <c r="GK929" s="3"/>
      <c r="GL929" s="3"/>
      <c r="GM929" s="3"/>
      <c r="GN929" s="3"/>
      <c r="GO929" s="3"/>
      <c r="GP929" s="3"/>
      <c r="GQ929" s="3"/>
      <c r="GR929" s="3"/>
      <c r="GS929" s="3"/>
      <c r="GT929" s="3"/>
      <c r="GU929" s="3"/>
      <c r="GV929" s="3"/>
      <c r="GW929" s="3"/>
      <c r="GX929" s="3"/>
      <c r="GY929" s="3"/>
      <c r="GZ929" s="3"/>
      <c r="HA929" s="3"/>
      <c r="HB929" s="3"/>
    </row>
    <row r="930" spans="1:210" ht="15.75" customHeight="1">
      <c r="A930" s="50"/>
      <c r="B930" s="50"/>
      <c r="C930" s="50"/>
      <c r="D930" s="50"/>
      <c r="E930" s="50"/>
      <c r="F930" s="50"/>
      <c r="G930" s="51"/>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c r="AV930" s="50"/>
      <c r="AW930" s="50"/>
      <c r="AX930" s="50"/>
      <c r="AY930" s="50"/>
      <c r="AZ930" s="50"/>
      <c r="BA930" s="50"/>
      <c r="BB930" s="50"/>
      <c r="BC930" s="50"/>
      <c r="BD930" s="50"/>
      <c r="BE930" s="50"/>
      <c r="BF930" s="50"/>
      <c r="BG930" s="50"/>
      <c r="BH930" s="50"/>
      <c r="BI930" s="50"/>
      <c r="BJ930" s="50"/>
      <c r="BK930" s="50"/>
      <c r="BL930" s="50"/>
      <c r="BM930" s="50"/>
      <c r="BN930" s="50"/>
      <c r="BO930" s="50"/>
      <c r="BP930" s="50"/>
      <c r="BQ930" s="50"/>
      <c r="BR930" s="50"/>
      <c r="BS930" s="50"/>
      <c r="BT930" s="50"/>
      <c r="BU930" s="50"/>
      <c r="BV930" s="50"/>
      <c r="BW930" s="50"/>
      <c r="BX930" s="50"/>
      <c r="BY930" s="50"/>
      <c r="BZ930" s="50"/>
      <c r="CA930" s="50"/>
      <c r="CB930" s="50"/>
      <c r="CC930" s="50"/>
      <c r="CD930" s="52"/>
      <c r="CE930" s="50"/>
      <c r="CF930" s="50"/>
      <c r="CG930" s="50"/>
      <c r="CH930" s="50"/>
      <c r="CI930" s="50"/>
      <c r="CJ930" s="50"/>
      <c r="CK930" s="50"/>
      <c r="CL930" s="50"/>
      <c r="CM930" s="50"/>
      <c r="CN930" s="50"/>
      <c r="CO930" s="50"/>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c r="FF930" s="3"/>
      <c r="FG930" s="3"/>
      <c r="FH930" s="3"/>
      <c r="FI930" s="3"/>
      <c r="FJ930" s="3"/>
      <c r="FK930" s="3"/>
      <c r="FL930" s="3"/>
      <c r="FM930" s="3"/>
      <c r="FN930" s="3"/>
      <c r="FO930" s="3"/>
      <c r="FP930" s="3"/>
      <c r="FQ930" s="3"/>
      <c r="FR930" s="3"/>
      <c r="FS930" s="3"/>
      <c r="FT930" s="3"/>
      <c r="FU930" s="3"/>
      <c r="FV930" s="3"/>
      <c r="FW930" s="3"/>
      <c r="FX930" s="3"/>
      <c r="FY930" s="3"/>
      <c r="FZ930" s="3"/>
      <c r="GA930" s="3"/>
      <c r="GB930" s="3"/>
      <c r="GC930" s="3"/>
      <c r="GD930" s="3"/>
      <c r="GE930" s="3"/>
      <c r="GF930" s="3"/>
      <c r="GG930" s="3"/>
      <c r="GH930" s="3"/>
      <c r="GI930" s="3"/>
      <c r="GJ930" s="3"/>
      <c r="GK930" s="3"/>
      <c r="GL930" s="3"/>
      <c r="GM930" s="3"/>
      <c r="GN930" s="3"/>
      <c r="GO930" s="3"/>
      <c r="GP930" s="3"/>
      <c r="GQ930" s="3"/>
      <c r="GR930" s="3"/>
      <c r="GS930" s="3"/>
      <c r="GT930" s="3"/>
      <c r="GU930" s="3"/>
      <c r="GV930" s="3"/>
      <c r="GW930" s="3"/>
      <c r="GX930" s="3"/>
      <c r="GY930" s="3"/>
      <c r="GZ930" s="3"/>
      <c r="HA930" s="3"/>
      <c r="HB930" s="3"/>
    </row>
    <row r="931" spans="1:210" ht="15.75" customHeight="1">
      <c r="A931" s="50"/>
      <c r="B931" s="50"/>
      <c r="C931" s="50"/>
      <c r="D931" s="50"/>
      <c r="E931" s="50"/>
      <c r="F931" s="50"/>
      <c r="G931" s="51"/>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c r="AV931" s="50"/>
      <c r="AW931" s="50"/>
      <c r="AX931" s="50"/>
      <c r="AY931" s="50"/>
      <c r="AZ931" s="50"/>
      <c r="BA931" s="50"/>
      <c r="BB931" s="50"/>
      <c r="BC931" s="50"/>
      <c r="BD931" s="50"/>
      <c r="BE931" s="50"/>
      <c r="BF931" s="50"/>
      <c r="BG931" s="50"/>
      <c r="BH931" s="50"/>
      <c r="BI931" s="50"/>
      <c r="BJ931" s="50"/>
      <c r="BK931" s="50"/>
      <c r="BL931" s="50"/>
      <c r="BM931" s="50"/>
      <c r="BN931" s="50"/>
      <c r="BO931" s="50"/>
      <c r="BP931" s="50"/>
      <c r="BQ931" s="50"/>
      <c r="BR931" s="50"/>
      <c r="BS931" s="50"/>
      <c r="BT931" s="50"/>
      <c r="BU931" s="50"/>
      <c r="BV931" s="50"/>
      <c r="BW931" s="50"/>
      <c r="BX931" s="50"/>
      <c r="BY931" s="50"/>
      <c r="BZ931" s="50"/>
      <c r="CA931" s="50"/>
      <c r="CB931" s="50"/>
      <c r="CC931" s="50"/>
      <c r="CD931" s="52"/>
      <c r="CE931" s="50"/>
      <c r="CF931" s="50"/>
      <c r="CG931" s="50"/>
      <c r="CH931" s="50"/>
      <c r="CI931" s="50"/>
      <c r="CJ931" s="50"/>
      <c r="CK931" s="50"/>
      <c r="CL931" s="50"/>
      <c r="CM931" s="50"/>
      <c r="CN931" s="50"/>
      <c r="CO931" s="50"/>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c r="FF931" s="3"/>
      <c r="FG931" s="3"/>
      <c r="FH931" s="3"/>
      <c r="FI931" s="3"/>
      <c r="FJ931" s="3"/>
      <c r="FK931" s="3"/>
      <c r="FL931" s="3"/>
      <c r="FM931" s="3"/>
      <c r="FN931" s="3"/>
      <c r="FO931" s="3"/>
      <c r="FP931" s="3"/>
      <c r="FQ931" s="3"/>
      <c r="FR931" s="3"/>
      <c r="FS931" s="3"/>
      <c r="FT931" s="3"/>
      <c r="FU931" s="3"/>
      <c r="FV931" s="3"/>
      <c r="FW931" s="3"/>
      <c r="FX931" s="3"/>
      <c r="FY931" s="3"/>
      <c r="FZ931" s="3"/>
      <c r="GA931" s="3"/>
      <c r="GB931" s="3"/>
      <c r="GC931" s="3"/>
      <c r="GD931" s="3"/>
      <c r="GE931" s="3"/>
      <c r="GF931" s="3"/>
      <c r="GG931" s="3"/>
      <c r="GH931" s="3"/>
      <c r="GI931" s="3"/>
      <c r="GJ931" s="3"/>
      <c r="GK931" s="3"/>
      <c r="GL931" s="3"/>
      <c r="GM931" s="3"/>
      <c r="GN931" s="3"/>
      <c r="GO931" s="3"/>
      <c r="GP931" s="3"/>
      <c r="GQ931" s="3"/>
      <c r="GR931" s="3"/>
      <c r="GS931" s="3"/>
      <c r="GT931" s="3"/>
      <c r="GU931" s="3"/>
      <c r="GV931" s="3"/>
      <c r="GW931" s="3"/>
      <c r="GX931" s="3"/>
      <c r="GY931" s="3"/>
      <c r="GZ931" s="3"/>
      <c r="HA931" s="3"/>
      <c r="HB931" s="3"/>
    </row>
    <row r="932" spans="1:210" ht="15.75" customHeight="1">
      <c r="A932" s="50"/>
      <c r="B932" s="50"/>
      <c r="C932" s="50"/>
      <c r="D932" s="50"/>
      <c r="E932" s="50"/>
      <c r="F932" s="50"/>
      <c r="G932" s="51"/>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c r="AV932" s="50"/>
      <c r="AW932" s="50"/>
      <c r="AX932" s="50"/>
      <c r="AY932" s="50"/>
      <c r="AZ932" s="50"/>
      <c r="BA932" s="50"/>
      <c r="BB932" s="50"/>
      <c r="BC932" s="50"/>
      <c r="BD932" s="50"/>
      <c r="BE932" s="50"/>
      <c r="BF932" s="50"/>
      <c r="BG932" s="50"/>
      <c r="BH932" s="50"/>
      <c r="BI932" s="50"/>
      <c r="BJ932" s="50"/>
      <c r="BK932" s="50"/>
      <c r="BL932" s="50"/>
      <c r="BM932" s="50"/>
      <c r="BN932" s="50"/>
      <c r="BO932" s="50"/>
      <c r="BP932" s="50"/>
      <c r="BQ932" s="50"/>
      <c r="BR932" s="50"/>
      <c r="BS932" s="50"/>
      <c r="BT932" s="50"/>
      <c r="BU932" s="50"/>
      <c r="BV932" s="50"/>
      <c r="BW932" s="50"/>
      <c r="BX932" s="50"/>
      <c r="BY932" s="50"/>
      <c r="BZ932" s="50"/>
      <c r="CA932" s="50"/>
      <c r="CB932" s="50"/>
      <c r="CC932" s="50"/>
      <c r="CD932" s="52"/>
      <c r="CE932" s="50"/>
      <c r="CF932" s="50"/>
      <c r="CG932" s="50"/>
      <c r="CH932" s="50"/>
      <c r="CI932" s="50"/>
      <c r="CJ932" s="50"/>
      <c r="CK932" s="50"/>
      <c r="CL932" s="50"/>
      <c r="CM932" s="50"/>
      <c r="CN932" s="50"/>
      <c r="CO932" s="50"/>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c r="FF932" s="3"/>
      <c r="FG932" s="3"/>
      <c r="FH932" s="3"/>
      <c r="FI932" s="3"/>
      <c r="FJ932" s="3"/>
      <c r="FK932" s="3"/>
      <c r="FL932" s="3"/>
      <c r="FM932" s="3"/>
      <c r="FN932" s="3"/>
      <c r="FO932" s="3"/>
      <c r="FP932" s="3"/>
      <c r="FQ932" s="3"/>
      <c r="FR932" s="3"/>
      <c r="FS932" s="3"/>
      <c r="FT932" s="3"/>
      <c r="FU932" s="3"/>
      <c r="FV932" s="3"/>
      <c r="FW932" s="3"/>
      <c r="FX932" s="3"/>
      <c r="FY932" s="3"/>
      <c r="FZ932" s="3"/>
      <c r="GA932" s="3"/>
      <c r="GB932" s="3"/>
      <c r="GC932" s="3"/>
      <c r="GD932" s="3"/>
      <c r="GE932" s="3"/>
      <c r="GF932" s="3"/>
      <c r="GG932" s="3"/>
      <c r="GH932" s="3"/>
      <c r="GI932" s="3"/>
      <c r="GJ932" s="3"/>
      <c r="GK932" s="3"/>
      <c r="GL932" s="3"/>
      <c r="GM932" s="3"/>
      <c r="GN932" s="3"/>
      <c r="GO932" s="3"/>
      <c r="GP932" s="3"/>
      <c r="GQ932" s="3"/>
      <c r="GR932" s="3"/>
      <c r="GS932" s="3"/>
      <c r="GT932" s="3"/>
      <c r="GU932" s="3"/>
      <c r="GV932" s="3"/>
      <c r="GW932" s="3"/>
      <c r="GX932" s="3"/>
      <c r="GY932" s="3"/>
      <c r="GZ932" s="3"/>
      <c r="HA932" s="3"/>
      <c r="HB932" s="3"/>
    </row>
    <row r="933" spans="1:210" ht="15.75" customHeight="1">
      <c r="A933" s="50"/>
      <c r="B933" s="50"/>
      <c r="C933" s="50"/>
      <c r="D933" s="50"/>
      <c r="E933" s="50"/>
      <c r="F933" s="50"/>
      <c r="G933" s="51"/>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c r="AV933" s="50"/>
      <c r="AW933" s="50"/>
      <c r="AX933" s="50"/>
      <c r="AY933" s="50"/>
      <c r="AZ933" s="50"/>
      <c r="BA933" s="50"/>
      <c r="BB933" s="50"/>
      <c r="BC933" s="50"/>
      <c r="BD933" s="50"/>
      <c r="BE933" s="50"/>
      <c r="BF933" s="50"/>
      <c r="BG933" s="50"/>
      <c r="BH933" s="50"/>
      <c r="BI933" s="50"/>
      <c r="BJ933" s="50"/>
      <c r="BK933" s="50"/>
      <c r="BL933" s="50"/>
      <c r="BM933" s="50"/>
      <c r="BN933" s="50"/>
      <c r="BO933" s="50"/>
      <c r="BP933" s="50"/>
      <c r="BQ933" s="50"/>
      <c r="BR933" s="50"/>
      <c r="BS933" s="50"/>
      <c r="BT933" s="50"/>
      <c r="BU933" s="50"/>
      <c r="BV933" s="50"/>
      <c r="BW933" s="50"/>
      <c r="BX933" s="50"/>
      <c r="BY933" s="50"/>
      <c r="BZ933" s="50"/>
      <c r="CA933" s="50"/>
      <c r="CB933" s="50"/>
      <c r="CC933" s="50"/>
      <c r="CD933" s="52"/>
      <c r="CE933" s="50"/>
      <c r="CF933" s="50"/>
      <c r="CG933" s="50"/>
      <c r="CH933" s="50"/>
      <c r="CI933" s="50"/>
      <c r="CJ933" s="50"/>
      <c r="CK933" s="50"/>
      <c r="CL933" s="50"/>
      <c r="CM933" s="50"/>
      <c r="CN933" s="50"/>
      <c r="CO933" s="50"/>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c r="FF933" s="3"/>
      <c r="FG933" s="3"/>
      <c r="FH933" s="3"/>
      <c r="FI933" s="3"/>
      <c r="FJ933" s="3"/>
      <c r="FK933" s="3"/>
      <c r="FL933" s="3"/>
      <c r="FM933" s="3"/>
      <c r="FN933" s="3"/>
      <c r="FO933" s="3"/>
      <c r="FP933" s="3"/>
      <c r="FQ933" s="3"/>
      <c r="FR933" s="3"/>
      <c r="FS933" s="3"/>
      <c r="FT933" s="3"/>
      <c r="FU933" s="3"/>
      <c r="FV933" s="3"/>
      <c r="FW933" s="3"/>
      <c r="FX933" s="3"/>
      <c r="FY933" s="3"/>
      <c r="FZ933" s="3"/>
      <c r="GA933" s="3"/>
      <c r="GB933" s="3"/>
      <c r="GC933" s="3"/>
      <c r="GD933" s="3"/>
      <c r="GE933" s="3"/>
      <c r="GF933" s="3"/>
      <c r="GG933" s="3"/>
      <c r="GH933" s="3"/>
      <c r="GI933" s="3"/>
      <c r="GJ933" s="3"/>
      <c r="GK933" s="3"/>
      <c r="GL933" s="3"/>
      <c r="GM933" s="3"/>
      <c r="GN933" s="3"/>
      <c r="GO933" s="3"/>
      <c r="GP933" s="3"/>
      <c r="GQ933" s="3"/>
      <c r="GR933" s="3"/>
      <c r="GS933" s="3"/>
      <c r="GT933" s="3"/>
      <c r="GU933" s="3"/>
      <c r="GV933" s="3"/>
      <c r="GW933" s="3"/>
      <c r="GX933" s="3"/>
      <c r="GY933" s="3"/>
      <c r="GZ933" s="3"/>
      <c r="HA933" s="3"/>
      <c r="HB933" s="3"/>
    </row>
    <row r="934" spans="1:210" ht="15.75" customHeight="1">
      <c r="A934" s="50"/>
      <c r="B934" s="50"/>
      <c r="C934" s="50"/>
      <c r="D934" s="50"/>
      <c r="E934" s="50"/>
      <c r="F934" s="50"/>
      <c r="G934" s="51"/>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c r="AX934" s="50"/>
      <c r="AY934" s="50"/>
      <c r="AZ934" s="50"/>
      <c r="BA934" s="50"/>
      <c r="BB934" s="50"/>
      <c r="BC934" s="50"/>
      <c r="BD934" s="50"/>
      <c r="BE934" s="50"/>
      <c r="BF934" s="50"/>
      <c r="BG934" s="50"/>
      <c r="BH934" s="50"/>
      <c r="BI934" s="50"/>
      <c r="BJ934" s="50"/>
      <c r="BK934" s="50"/>
      <c r="BL934" s="50"/>
      <c r="BM934" s="50"/>
      <c r="BN934" s="50"/>
      <c r="BO934" s="50"/>
      <c r="BP934" s="50"/>
      <c r="BQ934" s="50"/>
      <c r="BR934" s="50"/>
      <c r="BS934" s="50"/>
      <c r="BT934" s="50"/>
      <c r="BU934" s="50"/>
      <c r="BV934" s="50"/>
      <c r="BW934" s="50"/>
      <c r="BX934" s="50"/>
      <c r="BY934" s="50"/>
      <c r="BZ934" s="50"/>
      <c r="CA934" s="50"/>
      <c r="CB934" s="50"/>
      <c r="CC934" s="50"/>
      <c r="CD934" s="52"/>
      <c r="CE934" s="50"/>
      <c r="CF934" s="50"/>
      <c r="CG934" s="50"/>
      <c r="CH934" s="50"/>
      <c r="CI934" s="50"/>
      <c r="CJ934" s="50"/>
      <c r="CK934" s="50"/>
      <c r="CL934" s="50"/>
      <c r="CM934" s="50"/>
      <c r="CN934" s="50"/>
      <c r="CO934" s="50"/>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c r="EJ934" s="3"/>
      <c r="EK934" s="3"/>
      <c r="EL934" s="3"/>
      <c r="EM934" s="3"/>
      <c r="EN934" s="3"/>
      <c r="EO934" s="3"/>
      <c r="EP934" s="3"/>
      <c r="EQ934" s="3"/>
      <c r="ER934" s="3"/>
      <c r="ES934" s="3"/>
      <c r="ET934" s="3"/>
      <c r="EU934" s="3"/>
      <c r="EV934" s="3"/>
      <c r="EW934" s="3"/>
      <c r="EX934" s="3"/>
      <c r="EY934" s="3"/>
      <c r="EZ934" s="3"/>
      <c r="FA934" s="3"/>
      <c r="FB934" s="3"/>
      <c r="FC934" s="3"/>
      <c r="FD934" s="3"/>
      <c r="FE934" s="3"/>
      <c r="FF934" s="3"/>
      <c r="FG934" s="3"/>
      <c r="FH934" s="3"/>
      <c r="FI934" s="3"/>
      <c r="FJ934" s="3"/>
      <c r="FK934" s="3"/>
      <c r="FL934" s="3"/>
      <c r="FM934" s="3"/>
      <c r="FN934" s="3"/>
      <c r="FO934" s="3"/>
      <c r="FP934" s="3"/>
      <c r="FQ934" s="3"/>
      <c r="FR934" s="3"/>
      <c r="FS934" s="3"/>
      <c r="FT934" s="3"/>
      <c r="FU934" s="3"/>
      <c r="FV934" s="3"/>
      <c r="FW934" s="3"/>
      <c r="FX934" s="3"/>
      <c r="FY934" s="3"/>
      <c r="FZ934" s="3"/>
      <c r="GA934" s="3"/>
      <c r="GB934" s="3"/>
      <c r="GC934" s="3"/>
      <c r="GD934" s="3"/>
      <c r="GE934" s="3"/>
      <c r="GF934" s="3"/>
      <c r="GG934" s="3"/>
      <c r="GH934" s="3"/>
      <c r="GI934" s="3"/>
      <c r="GJ934" s="3"/>
      <c r="GK934" s="3"/>
      <c r="GL934" s="3"/>
      <c r="GM934" s="3"/>
      <c r="GN934" s="3"/>
      <c r="GO934" s="3"/>
      <c r="GP934" s="3"/>
      <c r="GQ934" s="3"/>
      <c r="GR934" s="3"/>
      <c r="GS934" s="3"/>
      <c r="GT934" s="3"/>
      <c r="GU934" s="3"/>
      <c r="GV934" s="3"/>
      <c r="GW934" s="3"/>
      <c r="GX934" s="3"/>
      <c r="GY934" s="3"/>
      <c r="GZ934" s="3"/>
      <c r="HA934" s="3"/>
      <c r="HB934" s="3"/>
    </row>
    <row r="935" spans="1:210" ht="15.75" customHeight="1">
      <c r="A935" s="50"/>
      <c r="B935" s="50"/>
      <c r="C935" s="50"/>
      <c r="D935" s="50"/>
      <c r="E935" s="50"/>
      <c r="F935" s="50"/>
      <c r="G935" s="51"/>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c r="AV935" s="50"/>
      <c r="AW935" s="50"/>
      <c r="AX935" s="50"/>
      <c r="AY935" s="50"/>
      <c r="AZ935" s="50"/>
      <c r="BA935" s="50"/>
      <c r="BB935" s="50"/>
      <c r="BC935" s="50"/>
      <c r="BD935" s="50"/>
      <c r="BE935" s="50"/>
      <c r="BF935" s="50"/>
      <c r="BG935" s="50"/>
      <c r="BH935" s="50"/>
      <c r="BI935" s="50"/>
      <c r="BJ935" s="50"/>
      <c r="BK935" s="50"/>
      <c r="BL935" s="50"/>
      <c r="BM935" s="50"/>
      <c r="BN935" s="50"/>
      <c r="BO935" s="50"/>
      <c r="BP935" s="50"/>
      <c r="BQ935" s="50"/>
      <c r="BR935" s="50"/>
      <c r="BS935" s="50"/>
      <c r="BT935" s="50"/>
      <c r="BU935" s="50"/>
      <c r="BV935" s="50"/>
      <c r="BW935" s="50"/>
      <c r="BX935" s="50"/>
      <c r="BY935" s="50"/>
      <c r="BZ935" s="50"/>
      <c r="CA935" s="50"/>
      <c r="CB935" s="50"/>
      <c r="CC935" s="50"/>
      <c r="CD935" s="52"/>
      <c r="CE935" s="50"/>
      <c r="CF935" s="50"/>
      <c r="CG935" s="50"/>
      <c r="CH935" s="50"/>
      <c r="CI935" s="50"/>
      <c r="CJ935" s="50"/>
      <c r="CK935" s="50"/>
      <c r="CL935" s="50"/>
      <c r="CM935" s="50"/>
      <c r="CN935" s="50"/>
      <c r="CO935" s="50"/>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c r="EJ935" s="3"/>
      <c r="EK935" s="3"/>
      <c r="EL935" s="3"/>
      <c r="EM935" s="3"/>
      <c r="EN935" s="3"/>
      <c r="EO935" s="3"/>
      <c r="EP935" s="3"/>
      <c r="EQ935" s="3"/>
      <c r="ER935" s="3"/>
      <c r="ES935" s="3"/>
      <c r="ET935" s="3"/>
      <c r="EU935" s="3"/>
      <c r="EV935" s="3"/>
      <c r="EW935" s="3"/>
      <c r="EX935" s="3"/>
      <c r="EY935" s="3"/>
      <c r="EZ935" s="3"/>
      <c r="FA935" s="3"/>
      <c r="FB935" s="3"/>
      <c r="FC935" s="3"/>
      <c r="FD935" s="3"/>
      <c r="FE935" s="3"/>
      <c r="FF935" s="3"/>
      <c r="FG935" s="3"/>
      <c r="FH935" s="3"/>
      <c r="FI935" s="3"/>
      <c r="FJ935" s="3"/>
      <c r="FK935" s="3"/>
      <c r="FL935" s="3"/>
      <c r="FM935" s="3"/>
      <c r="FN935" s="3"/>
      <c r="FO935" s="3"/>
      <c r="FP935" s="3"/>
      <c r="FQ935" s="3"/>
      <c r="FR935" s="3"/>
      <c r="FS935" s="3"/>
      <c r="FT935" s="3"/>
      <c r="FU935" s="3"/>
      <c r="FV935" s="3"/>
      <c r="FW935" s="3"/>
      <c r="FX935" s="3"/>
      <c r="FY935" s="3"/>
      <c r="FZ935" s="3"/>
      <c r="GA935" s="3"/>
      <c r="GB935" s="3"/>
      <c r="GC935" s="3"/>
      <c r="GD935" s="3"/>
      <c r="GE935" s="3"/>
      <c r="GF935" s="3"/>
      <c r="GG935" s="3"/>
      <c r="GH935" s="3"/>
      <c r="GI935" s="3"/>
      <c r="GJ935" s="3"/>
      <c r="GK935" s="3"/>
      <c r="GL935" s="3"/>
      <c r="GM935" s="3"/>
      <c r="GN935" s="3"/>
      <c r="GO935" s="3"/>
      <c r="GP935" s="3"/>
      <c r="GQ935" s="3"/>
      <c r="GR935" s="3"/>
      <c r="GS935" s="3"/>
      <c r="GT935" s="3"/>
      <c r="GU935" s="3"/>
      <c r="GV935" s="3"/>
      <c r="GW935" s="3"/>
      <c r="GX935" s="3"/>
      <c r="GY935" s="3"/>
      <c r="GZ935" s="3"/>
      <c r="HA935" s="3"/>
      <c r="HB935" s="3"/>
    </row>
    <row r="936" spans="1:210" ht="15.75" customHeight="1">
      <c r="A936" s="50"/>
      <c r="B936" s="50"/>
      <c r="C936" s="50"/>
      <c r="D936" s="50"/>
      <c r="E936" s="50"/>
      <c r="F936" s="50"/>
      <c r="G936" s="51"/>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c r="AV936" s="50"/>
      <c r="AW936" s="50"/>
      <c r="AX936" s="50"/>
      <c r="AY936" s="50"/>
      <c r="AZ936" s="50"/>
      <c r="BA936" s="50"/>
      <c r="BB936" s="50"/>
      <c r="BC936" s="50"/>
      <c r="BD936" s="50"/>
      <c r="BE936" s="50"/>
      <c r="BF936" s="50"/>
      <c r="BG936" s="50"/>
      <c r="BH936" s="50"/>
      <c r="BI936" s="50"/>
      <c r="BJ936" s="50"/>
      <c r="BK936" s="50"/>
      <c r="BL936" s="50"/>
      <c r="BM936" s="50"/>
      <c r="BN936" s="50"/>
      <c r="BO936" s="50"/>
      <c r="BP936" s="50"/>
      <c r="BQ936" s="50"/>
      <c r="BR936" s="50"/>
      <c r="BS936" s="50"/>
      <c r="BT936" s="50"/>
      <c r="BU936" s="50"/>
      <c r="BV936" s="50"/>
      <c r="BW936" s="50"/>
      <c r="BX936" s="50"/>
      <c r="BY936" s="50"/>
      <c r="BZ936" s="50"/>
      <c r="CA936" s="50"/>
      <c r="CB936" s="50"/>
      <c r="CC936" s="50"/>
      <c r="CD936" s="52"/>
      <c r="CE936" s="50"/>
      <c r="CF936" s="50"/>
      <c r="CG936" s="50"/>
      <c r="CH936" s="50"/>
      <c r="CI936" s="50"/>
      <c r="CJ936" s="50"/>
      <c r="CK936" s="50"/>
      <c r="CL936" s="50"/>
      <c r="CM936" s="50"/>
      <c r="CN936" s="50"/>
      <c r="CO936" s="50"/>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c r="ER936" s="3"/>
      <c r="ES936" s="3"/>
      <c r="ET936" s="3"/>
      <c r="EU936" s="3"/>
      <c r="EV936" s="3"/>
      <c r="EW936" s="3"/>
      <c r="EX936" s="3"/>
      <c r="EY936" s="3"/>
      <c r="EZ936" s="3"/>
      <c r="FA936" s="3"/>
      <c r="FB936" s="3"/>
      <c r="FC936" s="3"/>
      <c r="FD936" s="3"/>
      <c r="FE936" s="3"/>
      <c r="FF936" s="3"/>
      <c r="FG936" s="3"/>
      <c r="FH936" s="3"/>
      <c r="FI936" s="3"/>
      <c r="FJ936" s="3"/>
      <c r="FK936" s="3"/>
      <c r="FL936" s="3"/>
      <c r="FM936" s="3"/>
      <c r="FN936" s="3"/>
      <c r="FO936" s="3"/>
      <c r="FP936" s="3"/>
      <c r="FQ936" s="3"/>
      <c r="FR936" s="3"/>
      <c r="FS936" s="3"/>
      <c r="FT936" s="3"/>
      <c r="FU936" s="3"/>
      <c r="FV936" s="3"/>
      <c r="FW936" s="3"/>
      <c r="FX936" s="3"/>
      <c r="FY936" s="3"/>
      <c r="FZ936" s="3"/>
      <c r="GA936" s="3"/>
      <c r="GB936" s="3"/>
      <c r="GC936" s="3"/>
      <c r="GD936" s="3"/>
      <c r="GE936" s="3"/>
      <c r="GF936" s="3"/>
      <c r="GG936" s="3"/>
      <c r="GH936" s="3"/>
      <c r="GI936" s="3"/>
      <c r="GJ936" s="3"/>
      <c r="GK936" s="3"/>
      <c r="GL936" s="3"/>
      <c r="GM936" s="3"/>
      <c r="GN936" s="3"/>
      <c r="GO936" s="3"/>
      <c r="GP936" s="3"/>
      <c r="GQ936" s="3"/>
      <c r="GR936" s="3"/>
      <c r="GS936" s="3"/>
      <c r="GT936" s="3"/>
      <c r="GU936" s="3"/>
      <c r="GV936" s="3"/>
      <c r="GW936" s="3"/>
      <c r="GX936" s="3"/>
      <c r="GY936" s="3"/>
      <c r="GZ936" s="3"/>
      <c r="HA936" s="3"/>
      <c r="HB936" s="3"/>
    </row>
    <row r="937" spans="1:210" ht="15.75" customHeight="1">
      <c r="A937" s="50"/>
      <c r="B937" s="50"/>
      <c r="C937" s="50"/>
      <c r="D937" s="50"/>
      <c r="E937" s="50"/>
      <c r="F937" s="50"/>
      <c r="G937" s="51"/>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c r="AV937" s="50"/>
      <c r="AW937" s="50"/>
      <c r="AX937" s="50"/>
      <c r="AY937" s="50"/>
      <c r="AZ937" s="50"/>
      <c r="BA937" s="50"/>
      <c r="BB937" s="50"/>
      <c r="BC937" s="50"/>
      <c r="BD937" s="50"/>
      <c r="BE937" s="50"/>
      <c r="BF937" s="50"/>
      <c r="BG937" s="50"/>
      <c r="BH937" s="50"/>
      <c r="BI937" s="50"/>
      <c r="BJ937" s="50"/>
      <c r="BK937" s="50"/>
      <c r="BL937" s="50"/>
      <c r="BM937" s="50"/>
      <c r="BN937" s="50"/>
      <c r="BO937" s="50"/>
      <c r="BP937" s="50"/>
      <c r="BQ937" s="50"/>
      <c r="BR937" s="50"/>
      <c r="BS937" s="50"/>
      <c r="BT937" s="50"/>
      <c r="BU937" s="50"/>
      <c r="BV937" s="50"/>
      <c r="BW937" s="50"/>
      <c r="BX937" s="50"/>
      <c r="BY937" s="50"/>
      <c r="BZ937" s="50"/>
      <c r="CA937" s="50"/>
      <c r="CB937" s="50"/>
      <c r="CC937" s="50"/>
      <c r="CD937" s="52"/>
      <c r="CE937" s="50"/>
      <c r="CF937" s="50"/>
      <c r="CG937" s="50"/>
      <c r="CH937" s="50"/>
      <c r="CI937" s="50"/>
      <c r="CJ937" s="50"/>
      <c r="CK937" s="50"/>
      <c r="CL937" s="50"/>
      <c r="CM937" s="50"/>
      <c r="CN937" s="50"/>
      <c r="CO937" s="50"/>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c r="ER937" s="3"/>
      <c r="ES937" s="3"/>
      <c r="ET937" s="3"/>
      <c r="EU937" s="3"/>
      <c r="EV937" s="3"/>
      <c r="EW937" s="3"/>
      <c r="EX937" s="3"/>
      <c r="EY937" s="3"/>
      <c r="EZ937" s="3"/>
      <c r="FA937" s="3"/>
      <c r="FB937" s="3"/>
      <c r="FC937" s="3"/>
      <c r="FD937" s="3"/>
      <c r="FE937" s="3"/>
      <c r="FF937" s="3"/>
      <c r="FG937" s="3"/>
      <c r="FH937" s="3"/>
      <c r="FI937" s="3"/>
      <c r="FJ937" s="3"/>
      <c r="FK937" s="3"/>
      <c r="FL937" s="3"/>
      <c r="FM937" s="3"/>
      <c r="FN937" s="3"/>
      <c r="FO937" s="3"/>
      <c r="FP937" s="3"/>
      <c r="FQ937" s="3"/>
      <c r="FR937" s="3"/>
      <c r="FS937" s="3"/>
      <c r="FT937" s="3"/>
      <c r="FU937" s="3"/>
      <c r="FV937" s="3"/>
      <c r="FW937" s="3"/>
      <c r="FX937" s="3"/>
      <c r="FY937" s="3"/>
      <c r="FZ937" s="3"/>
      <c r="GA937" s="3"/>
      <c r="GB937" s="3"/>
      <c r="GC937" s="3"/>
      <c r="GD937" s="3"/>
      <c r="GE937" s="3"/>
      <c r="GF937" s="3"/>
      <c r="GG937" s="3"/>
      <c r="GH937" s="3"/>
      <c r="GI937" s="3"/>
      <c r="GJ937" s="3"/>
      <c r="GK937" s="3"/>
      <c r="GL937" s="3"/>
      <c r="GM937" s="3"/>
      <c r="GN937" s="3"/>
      <c r="GO937" s="3"/>
      <c r="GP937" s="3"/>
      <c r="GQ937" s="3"/>
      <c r="GR937" s="3"/>
      <c r="GS937" s="3"/>
      <c r="GT937" s="3"/>
      <c r="GU937" s="3"/>
      <c r="GV937" s="3"/>
      <c r="GW937" s="3"/>
      <c r="GX937" s="3"/>
      <c r="GY937" s="3"/>
      <c r="GZ937" s="3"/>
      <c r="HA937" s="3"/>
      <c r="HB937" s="3"/>
    </row>
    <row r="938" spans="1:210" ht="15.75" customHeight="1">
      <c r="A938" s="50"/>
      <c r="B938" s="50"/>
      <c r="C938" s="50"/>
      <c r="D938" s="50"/>
      <c r="E938" s="50"/>
      <c r="F938" s="50"/>
      <c r="G938" s="51"/>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c r="AV938" s="50"/>
      <c r="AW938" s="50"/>
      <c r="AX938" s="50"/>
      <c r="AY938" s="50"/>
      <c r="AZ938" s="50"/>
      <c r="BA938" s="50"/>
      <c r="BB938" s="50"/>
      <c r="BC938" s="50"/>
      <c r="BD938" s="50"/>
      <c r="BE938" s="50"/>
      <c r="BF938" s="50"/>
      <c r="BG938" s="50"/>
      <c r="BH938" s="50"/>
      <c r="BI938" s="50"/>
      <c r="BJ938" s="50"/>
      <c r="BK938" s="50"/>
      <c r="BL938" s="50"/>
      <c r="BM938" s="50"/>
      <c r="BN938" s="50"/>
      <c r="BO938" s="50"/>
      <c r="BP938" s="50"/>
      <c r="BQ938" s="50"/>
      <c r="BR938" s="50"/>
      <c r="BS938" s="50"/>
      <c r="BT938" s="50"/>
      <c r="BU938" s="50"/>
      <c r="BV938" s="50"/>
      <c r="BW938" s="50"/>
      <c r="BX938" s="50"/>
      <c r="BY938" s="50"/>
      <c r="BZ938" s="50"/>
      <c r="CA938" s="50"/>
      <c r="CB938" s="50"/>
      <c r="CC938" s="50"/>
      <c r="CD938" s="52"/>
      <c r="CE938" s="50"/>
      <c r="CF938" s="50"/>
      <c r="CG938" s="50"/>
      <c r="CH938" s="50"/>
      <c r="CI938" s="50"/>
      <c r="CJ938" s="50"/>
      <c r="CK938" s="50"/>
      <c r="CL938" s="50"/>
      <c r="CM938" s="50"/>
      <c r="CN938" s="50"/>
      <c r="CO938" s="50"/>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c r="FA938" s="3"/>
      <c r="FB938" s="3"/>
      <c r="FC938" s="3"/>
      <c r="FD938" s="3"/>
      <c r="FE938" s="3"/>
      <c r="FF938" s="3"/>
      <c r="FG938" s="3"/>
      <c r="FH938" s="3"/>
      <c r="FI938" s="3"/>
      <c r="FJ938" s="3"/>
      <c r="FK938" s="3"/>
      <c r="FL938" s="3"/>
      <c r="FM938" s="3"/>
      <c r="FN938" s="3"/>
      <c r="FO938" s="3"/>
      <c r="FP938" s="3"/>
      <c r="FQ938" s="3"/>
      <c r="FR938" s="3"/>
      <c r="FS938" s="3"/>
      <c r="FT938" s="3"/>
      <c r="FU938" s="3"/>
      <c r="FV938" s="3"/>
      <c r="FW938" s="3"/>
      <c r="FX938" s="3"/>
      <c r="FY938" s="3"/>
      <c r="FZ938" s="3"/>
      <c r="GA938" s="3"/>
      <c r="GB938" s="3"/>
      <c r="GC938" s="3"/>
      <c r="GD938" s="3"/>
      <c r="GE938" s="3"/>
      <c r="GF938" s="3"/>
      <c r="GG938" s="3"/>
      <c r="GH938" s="3"/>
      <c r="GI938" s="3"/>
      <c r="GJ938" s="3"/>
      <c r="GK938" s="3"/>
      <c r="GL938" s="3"/>
      <c r="GM938" s="3"/>
      <c r="GN938" s="3"/>
      <c r="GO938" s="3"/>
      <c r="GP938" s="3"/>
      <c r="GQ938" s="3"/>
      <c r="GR938" s="3"/>
      <c r="GS938" s="3"/>
      <c r="GT938" s="3"/>
      <c r="GU938" s="3"/>
      <c r="GV938" s="3"/>
      <c r="GW938" s="3"/>
      <c r="GX938" s="3"/>
      <c r="GY938" s="3"/>
      <c r="GZ938" s="3"/>
      <c r="HA938" s="3"/>
      <c r="HB938" s="3"/>
    </row>
    <row r="939" spans="1:210" ht="15.75" customHeight="1">
      <c r="A939" s="50"/>
      <c r="B939" s="50"/>
      <c r="C939" s="50"/>
      <c r="D939" s="50"/>
      <c r="E939" s="50"/>
      <c r="F939" s="50"/>
      <c r="G939" s="51"/>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c r="AV939" s="50"/>
      <c r="AW939" s="50"/>
      <c r="AX939" s="50"/>
      <c r="AY939" s="50"/>
      <c r="AZ939" s="50"/>
      <c r="BA939" s="50"/>
      <c r="BB939" s="50"/>
      <c r="BC939" s="50"/>
      <c r="BD939" s="50"/>
      <c r="BE939" s="50"/>
      <c r="BF939" s="50"/>
      <c r="BG939" s="50"/>
      <c r="BH939" s="50"/>
      <c r="BI939" s="50"/>
      <c r="BJ939" s="50"/>
      <c r="BK939" s="50"/>
      <c r="BL939" s="50"/>
      <c r="BM939" s="50"/>
      <c r="BN939" s="50"/>
      <c r="BO939" s="50"/>
      <c r="BP939" s="50"/>
      <c r="BQ939" s="50"/>
      <c r="BR939" s="50"/>
      <c r="BS939" s="50"/>
      <c r="BT939" s="50"/>
      <c r="BU939" s="50"/>
      <c r="BV939" s="50"/>
      <c r="BW939" s="50"/>
      <c r="BX939" s="50"/>
      <c r="BY939" s="50"/>
      <c r="BZ939" s="50"/>
      <c r="CA939" s="50"/>
      <c r="CB939" s="50"/>
      <c r="CC939" s="50"/>
      <c r="CD939" s="52"/>
      <c r="CE939" s="50"/>
      <c r="CF939" s="50"/>
      <c r="CG939" s="50"/>
      <c r="CH939" s="50"/>
      <c r="CI939" s="50"/>
      <c r="CJ939" s="50"/>
      <c r="CK939" s="50"/>
      <c r="CL939" s="50"/>
      <c r="CM939" s="50"/>
      <c r="CN939" s="50"/>
      <c r="CO939" s="50"/>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c r="ER939" s="3"/>
      <c r="ES939" s="3"/>
      <c r="ET939" s="3"/>
      <c r="EU939" s="3"/>
      <c r="EV939" s="3"/>
      <c r="EW939" s="3"/>
      <c r="EX939" s="3"/>
      <c r="EY939" s="3"/>
      <c r="EZ939" s="3"/>
      <c r="FA939" s="3"/>
      <c r="FB939" s="3"/>
      <c r="FC939" s="3"/>
      <c r="FD939" s="3"/>
      <c r="FE939" s="3"/>
      <c r="FF939" s="3"/>
      <c r="FG939" s="3"/>
      <c r="FH939" s="3"/>
      <c r="FI939" s="3"/>
      <c r="FJ939" s="3"/>
      <c r="FK939" s="3"/>
      <c r="FL939" s="3"/>
      <c r="FM939" s="3"/>
      <c r="FN939" s="3"/>
      <c r="FO939" s="3"/>
      <c r="FP939" s="3"/>
      <c r="FQ939" s="3"/>
      <c r="FR939" s="3"/>
      <c r="FS939" s="3"/>
      <c r="FT939" s="3"/>
      <c r="FU939" s="3"/>
      <c r="FV939" s="3"/>
      <c r="FW939" s="3"/>
      <c r="FX939" s="3"/>
      <c r="FY939" s="3"/>
      <c r="FZ939" s="3"/>
      <c r="GA939" s="3"/>
      <c r="GB939" s="3"/>
      <c r="GC939" s="3"/>
      <c r="GD939" s="3"/>
      <c r="GE939" s="3"/>
      <c r="GF939" s="3"/>
      <c r="GG939" s="3"/>
      <c r="GH939" s="3"/>
      <c r="GI939" s="3"/>
      <c r="GJ939" s="3"/>
      <c r="GK939" s="3"/>
      <c r="GL939" s="3"/>
      <c r="GM939" s="3"/>
      <c r="GN939" s="3"/>
      <c r="GO939" s="3"/>
      <c r="GP939" s="3"/>
      <c r="GQ939" s="3"/>
      <c r="GR939" s="3"/>
      <c r="GS939" s="3"/>
      <c r="GT939" s="3"/>
      <c r="GU939" s="3"/>
      <c r="GV939" s="3"/>
      <c r="GW939" s="3"/>
      <c r="GX939" s="3"/>
      <c r="GY939" s="3"/>
      <c r="GZ939" s="3"/>
      <c r="HA939" s="3"/>
      <c r="HB939" s="3"/>
    </row>
    <row r="940" spans="1:210" ht="15.75" customHeight="1">
      <c r="A940" s="50"/>
      <c r="B940" s="50"/>
      <c r="C940" s="50"/>
      <c r="D940" s="50"/>
      <c r="E940" s="50"/>
      <c r="F940" s="50"/>
      <c r="G940" s="51"/>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c r="AV940" s="50"/>
      <c r="AW940" s="50"/>
      <c r="AX940" s="50"/>
      <c r="AY940" s="50"/>
      <c r="AZ940" s="50"/>
      <c r="BA940" s="50"/>
      <c r="BB940" s="50"/>
      <c r="BC940" s="50"/>
      <c r="BD940" s="50"/>
      <c r="BE940" s="50"/>
      <c r="BF940" s="50"/>
      <c r="BG940" s="50"/>
      <c r="BH940" s="50"/>
      <c r="BI940" s="50"/>
      <c r="BJ940" s="50"/>
      <c r="BK940" s="50"/>
      <c r="BL940" s="50"/>
      <c r="BM940" s="50"/>
      <c r="BN940" s="50"/>
      <c r="BO940" s="50"/>
      <c r="BP940" s="50"/>
      <c r="BQ940" s="50"/>
      <c r="BR940" s="50"/>
      <c r="BS940" s="50"/>
      <c r="BT940" s="50"/>
      <c r="BU940" s="50"/>
      <c r="BV940" s="50"/>
      <c r="BW940" s="50"/>
      <c r="BX940" s="50"/>
      <c r="BY940" s="50"/>
      <c r="BZ940" s="50"/>
      <c r="CA940" s="50"/>
      <c r="CB940" s="50"/>
      <c r="CC940" s="50"/>
      <c r="CD940" s="52"/>
      <c r="CE940" s="50"/>
      <c r="CF940" s="50"/>
      <c r="CG940" s="50"/>
      <c r="CH940" s="50"/>
      <c r="CI940" s="50"/>
      <c r="CJ940" s="50"/>
      <c r="CK940" s="50"/>
      <c r="CL940" s="50"/>
      <c r="CM940" s="50"/>
      <c r="CN940" s="50"/>
      <c r="CO940" s="50"/>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c r="ER940" s="3"/>
      <c r="ES940" s="3"/>
      <c r="ET940" s="3"/>
      <c r="EU940" s="3"/>
      <c r="EV940" s="3"/>
      <c r="EW940" s="3"/>
      <c r="EX940" s="3"/>
      <c r="EY940" s="3"/>
      <c r="EZ940" s="3"/>
      <c r="FA940" s="3"/>
      <c r="FB940" s="3"/>
      <c r="FC940" s="3"/>
      <c r="FD940" s="3"/>
      <c r="FE940" s="3"/>
      <c r="FF940" s="3"/>
      <c r="FG940" s="3"/>
      <c r="FH940" s="3"/>
      <c r="FI940" s="3"/>
      <c r="FJ940" s="3"/>
      <c r="FK940" s="3"/>
      <c r="FL940" s="3"/>
      <c r="FM940" s="3"/>
      <c r="FN940" s="3"/>
      <c r="FO940" s="3"/>
      <c r="FP940" s="3"/>
      <c r="FQ940" s="3"/>
      <c r="FR940" s="3"/>
      <c r="FS940" s="3"/>
      <c r="FT940" s="3"/>
      <c r="FU940" s="3"/>
      <c r="FV940" s="3"/>
      <c r="FW940" s="3"/>
      <c r="FX940" s="3"/>
      <c r="FY940" s="3"/>
      <c r="FZ940" s="3"/>
      <c r="GA940" s="3"/>
      <c r="GB940" s="3"/>
      <c r="GC940" s="3"/>
      <c r="GD940" s="3"/>
      <c r="GE940" s="3"/>
      <c r="GF940" s="3"/>
      <c r="GG940" s="3"/>
      <c r="GH940" s="3"/>
      <c r="GI940" s="3"/>
      <c r="GJ940" s="3"/>
      <c r="GK940" s="3"/>
      <c r="GL940" s="3"/>
      <c r="GM940" s="3"/>
      <c r="GN940" s="3"/>
      <c r="GO940" s="3"/>
      <c r="GP940" s="3"/>
      <c r="GQ940" s="3"/>
      <c r="GR940" s="3"/>
      <c r="GS940" s="3"/>
      <c r="GT940" s="3"/>
      <c r="GU940" s="3"/>
      <c r="GV940" s="3"/>
      <c r="GW940" s="3"/>
      <c r="GX940" s="3"/>
      <c r="GY940" s="3"/>
      <c r="GZ940" s="3"/>
      <c r="HA940" s="3"/>
      <c r="HB940" s="3"/>
    </row>
    <row r="941" spans="1:210" ht="15.75" customHeight="1">
      <c r="A941" s="50"/>
      <c r="B941" s="50"/>
      <c r="C941" s="50"/>
      <c r="D941" s="50"/>
      <c r="E941" s="50"/>
      <c r="F941" s="50"/>
      <c r="G941" s="51"/>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c r="AV941" s="50"/>
      <c r="AW941" s="50"/>
      <c r="AX941" s="50"/>
      <c r="AY941" s="50"/>
      <c r="AZ941" s="50"/>
      <c r="BA941" s="50"/>
      <c r="BB941" s="50"/>
      <c r="BC941" s="50"/>
      <c r="BD941" s="50"/>
      <c r="BE941" s="50"/>
      <c r="BF941" s="50"/>
      <c r="BG941" s="50"/>
      <c r="BH941" s="50"/>
      <c r="BI941" s="50"/>
      <c r="BJ941" s="50"/>
      <c r="BK941" s="50"/>
      <c r="BL941" s="50"/>
      <c r="BM941" s="50"/>
      <c r="BN941" s="50"/>
      <c r="BO941" s="50"/>
      <c r="BP941" s="50"/>
      <c r="BQ941" s="50"/>
      <c r="BR941" s="50"/>
      <c r="BS941" s="50"/>
      <c r="BT941" s="50"/>
      <c r="BU941" s="50"/>
      <c r="BV941" s="50"/>
      <c r="BW941" s="50"/>
      <c r="BX941" s="50"/>
      <c r="BY941" s="50"/>
      <c r="BZ941" s="50"/>
      <c r="CA941" s="50"/>
      <c r="CB941" s="50"/>
      <c r="CC941" s="50"/>
      <c r="CD941" s="52"/>
      <c r="CE941" s="50"/>
      <c r="CF941" s="50"/>
      <c r="CG941" s="50"/>
      <c r="CH941" s="50"/>
      <c r="CI941" s="50"/>
      <c r="CJ941" s="50"/>
      <c r="CK941" s="50"/>
      <c r="CL941" s="50"/>
      <c r="CM941" s="50"/>
      <c r="CN941" s="50"/>
      <c r="CO941" s="50"/>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c r="ER941" s="3"/>
      <c r="ES941" s="3"/>
      <c r="ET941" s="3"/>
      <c r="EU941" s="3"/>
      <c r="EV941" s="3"/>
      <c r="EW941" s="3"/>
      <c r="EX941" s="3"/>
      <c r="EY941" s="3"/>
      <c r="EZ941" s="3"/>
      <c r="FA941" s="3"/>
      <c r="FB941" s="3"/>
      <c r="FC941" s="3"/>
      <c r="FD941" s="3"/>
      <c r="FE941" s="3"/>
      <c r="FF941" s="3"/>
      <c r="FG941" s="3"/>
      <c r="FH941" s="3"/>
      <c r="FI941" s="3"/>
      <c r="FJ941" s="3"/>
      <c r="FK941" s="3"/>
      <c r="FL941" s="3"/>
      <c r="FM941" s="3"/>
      <c r="FN941" s="3"/>
      <c r="FO941" s="3"/>
      <c r="FP941" s="3"/>
      <c r="FQ941" s="3"/>
      <c r="FR941" s="3"/>
      <c r="FS941" s="3"/>
      <c r="FT941" s="3"/>
      <c r="FU941" s="3"/>
      <c r="FV941" s="3"/>
      <c r="FW941" s="3"/>
      <c r="FX941" s="3"/>
      <c r="FY941" s="3"/>
      <c r="FZ941" s="3"/>
      <c r="GA941" s="3"/>
      <c r="GB941" s="3"/>
      <c r="GC941" s="3"/>
      <c r="GD941" s="3"/>
      <c r="GE941" s="3"/>
      <c r="GF941" s="3"/>
      <c r="GG941" s="3"/>
      <c r="GH941" s="3"/>
      <c r="GI941" s="3"/>
      <c r="GJ941" s="3"/>
      <c r="GK941" s="3"/>
      <c r="GL941" s="3"/>
      <c r="GM941" s="3"/>
      <c r="GN941" s="3"/>
      <c r="GO941" s="3"/>
      <c r="GP941" s="3"/>
      <c r="GQ941" s="3"/>
      <c r="GR941" s="3"/>
      <c r="GS941" s="3"/>
      <c r="GT941" s="3"/>
      <c r="GU941" s="3"/>
      <c r="GV941" s="3"/>
      <c r="GW941" s="3"/>
      <c r="GX941" s="3"/>
      <c r="GY941" s="3"/>
      <c r="GZ941" s="3"/>
      <c r="HA941" s="3"/>
      <c r="HB941" s="3"/>
    </row>
    <row r="942" spans="1:210" ht="15.75" customHeight="1">
      <c r="A942" s="50"/>
      <c r="B942" s="50"/>
      <c r="C942" s="50"/>
      <c r="D942" s="50"/>
      <c r="E942" s="50"/>
      <c r="F942" s="50"/>
      <c r="G942" s="51"/>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c r="AX942" s="50"/>
      <c r="AY942" s="50"/>
      <c r="AZ942" s="50"/>
      <c r="BA942" s="50"/>
      <c r="BB942" s="50"/>
      <c r="BC942" s="50"/>
      <c r="BD942" s="50"/>
      <c r="BE942" s="50"/>
      <c r="BF942" s="50"/>
      <c r="BG942" s="50"/>
      <c r="BH942" s="50"/>
      <c r="BI942" s="50"/>
      <c r="BJ942" s="50"/>
      <c r="BK942" s="50"/>
      <c r="BL942" s="50"/>
      <c r="BM942" s="50"/>
      <c r="BN942" s="50"/>
      <c r="BO942" s="50"/>
      <c r="BP942" s="50"/>
      <c r="BQ942" s="50"/>
      <c r="BR942" s="50"/>
      <c r="BS942" s="50"/>
      <c r="BT942" s="50"/>
      <c r="BU942" s="50"/>
      <c r="BV942" s="50"/>
      <c r="BW942" s="50"/>
      <c r="BX942" s="50"/>
      <c r="BY942" s="50"/>
      <c r="BZ942" s="50"/>
      <c r="CA942" s="50"/>
      <c r="CB942" s="50"/>
      <c r="CC942" s="50"/>
      <c r="CD942" s="52"/>
      <c r="CE942" s="50"/>
      <c r="CF942" s="50"/>
      <c r="CG942" s="50"/>
      <c r="CH942" s="50"/>
      <c r="CI942" s="50"/>
      <c r="CJ942" s="50"/>
      <c r="CK942" s="50"/>
      <c r="CL942" s="50"/>
      <c r="CM942" s="50"/>
      <c r="CN942" s="50"/>
      <c r="CO942" s="50"/>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c r="FA942" s="3"/>
      <c r="FB942" s="3"/>
      <c r="FC942" s="3"/>
      <c r="FD942" s="3"/>
      <c r="FE942" s="3"/>
      <c r="FF942" s="3"/>
      <c r="FG942" s="3"/>
      <c r="FH942" s="3"/>
      <c r="FI942" s="3"/>
      <c r="FJ942" s="3"/>
      <c r="FK942" s="3"/>
      <c r="FL942" s="3"/>
      <c r="FM942" s="3"/>
      <c r="FN942" s="3"/>
      <c r="FO942" s="3"/>
      <c r="FP942" s="3"/>
      <c r="FQ942" s="3"/>
      <c r="FR942" s="3"/>
      <c r="FS942" s="3"/>
      <c r="FT942" s="3"/>
      <c r="FU942" s="3"/>
      <c r="FV942" s="3"/>
      <c r="FW942" s="3"/>
      <c r="FX942" s="3"/>
      <c r="FY942" s="3"/>
      <c r="FZ942" s="3"/>
      <c r="GA942" s="3"/>
      <c r="GB942" s="3"/>
      <c r="GC942" s="3"/>
      <c r="GD942" s="3"/>
      <c r="GE942" s="3"/>
      <c r="GF942" s="3"/>
      <c r="GG942" s="3"/>
      <c r="GH942" s="3"/>
      <c r="GI942" s="3"/>
      <c r="GJ942" s="3"/>
      <c r="GK942" s="3"/>
      <c r="GL942" s="3"/>
      <c r="GM942" s="3"/>
      <c r="GN942" s="3"/>
      <c r="GO942" s="3"/>
      <c r="GP942" s="3"/>
      <c r="GQ942" s="3"/>
      <c r="GR942" s="3"/>
      <c r="GS942" s="3"/>
      <c r="GT942" s="3"/>
      <c r="GU942" s="3"/>
      <c r="GV942" s="3"/>
      <c r="GW942" s="3"/>
      <c r="GX942" s="3"/>
      <c r="GY942" s="3"/>
      <c r="GZ942" s="3"/>
      <c r="HA942" s="3"/>
      <c r="HB942" s="3"/>
    </row>
    <row r="943" spans="1:210" ht="15.75" customHeight="1">
      <c r="A943" s="50"/>
      <c r="B943" s="50"/>
      <c r="C943" s="50"/>
      <c r="D943" s="50"/>
      <c r="E943" s="50"/>
      <c r="F943" s="50"/>
      <c r="G943" s="51"/>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c r="AV943" s="50"/>
      <c r="AW943" s="50"/>
      <c r="AX943" s="50"/>
      <c r="AY943" s="50"/>
      <c r="AZ943" s="50"/>
      <c r="BA943" s="50"/>
      <c r="BB943" s="50"/>
      <c r="BC943" s="50"/>
      <c r="BD943" s="50"/>
      <c r="BE943" s="50"/>
      <c r="BF943" s="50"/>
      <c r="BG943" s="50"/>
      <c r="BH943" s="50"/>
      <c r="BI943" s="50"/>
      <c r="BJ943" s="50"/>
      <c r="BK943" s="50"/>
      <c r="BL943" s="50"/>
      <c r="BM943" s="50"/>
      <c r="BN943" s="50"/>
      <c r="BO943" s="50"/>
      <c r="BP943" s="50"/>
      <c r="BQ943" s="50"/>
      <c r="BR943" s="50"/>
      <c r="BS943" s="50"/>
      <c r="BT943" s="50"/>
      <c r="BU943" s="50"/>
      <c r="BV943" s="50"/>
      <c r="BW943" s="50"/>
      <c r="BX943" s="50"/>
      <c r="BY943" s="50"/>
      <c r="BZ943" s="50"/>
      <c r="CA943" s="50"/>
      <c r="CB943" s="50"/>
      <c r="CC943" s="50"/>
      <c r="CD943" s="52"/>
      <c r="CE943" s="50"/>
      <c r="CF943" s="50"/>
      <c r="CG943" s="50"/>
      <c r="CH943" s="50"/>
      <c r="CI943" s="50"/>
      <c r="CJ943" s="50"/>
      <c r="CK943" s="50"/>
      <c r="CL943" s="50"/>
      <c r="CM943" s="50"/>
      <c r="CN943" s="50"/>
      <c r="CO943" s="50"/>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c r="ER943" s="3"/>
      <c r="ES943" s="3"/>
      <c r="ET943" s="3"/>
      <c r="EU943" s="3"/>
      <c r="EV943" s="3"/>
      <c r="EW943" s="3"/>
      <c r="EX943" s="3"/>
      <c r="EY943" s="3"/>
      <c r="EZ943" s="3"/>
      <c r="FA943" s="3"/>
      <c r="FB943" s="3"/>
      <c r="FC943" s="3"/>
      <c r="FD943" s="3"/>
      <c r="FE943" s="3"/>
      <c r="FF943" s="3"/>
      <c r="FG943" s="3"/>
      <c r="FH943" s="3"/>
      <c r="FI943" s="3"/>
      <c r="FJ943" s="3"/>
      <c r="FK943" s="3"/>
      <c r="FL943" s="3"/>
      <c r="FM943" s="3"/>
      <c r="FN943" s="3"/>
      <c r="FO943" s="3"/>
      <c r="FP943" s="3"/>
      <c r="FQ943" s="3"/>
      <c r="FR943" s="3"/>
      <c r="FS943" s="3"/>
      <c r="FT943" s="3"/>
      <c r="FU943" s="3"/>
      <c r="FV943" s="3"/>
      <c r="FW943" s="3"/>
      <c r="FX943" s="3"/>
      <c r="FY943" s="3"/>
      <c r="FZ943" s="3"/>
      <c r="GA943" s="3"/>
      <c r="GB943" s="3"/>
      <c r="GC943" s="3"/>
      <c r="GD943" s="3"/>
      <c r="GE943" s="3"/>
      <c r="GF943" s="3"/>
      <c r="GG943" s="3"/>
      <c r="GH943" s="3"/>
      <c r="GI943" s="3"/>
      <c r="GJ943" s="3"/>
      <c r="GK943" s="3"/>
      <c r="GL943" s="3"/>
      <c r="GM943" s="3"/>
      <c r="GN943" s="3"/>
      <c r="GO943" s="3"/>
      <c r="GP943" s="3"/>
      <c r="GQ943" s="3"/>
      <c r="GR943" s="3"/>
      <c r="GS943" s="3"/>
      <c r="GT943" s="3"/>
      <c r="GU943" s="3"/>
      <c r="GV943" s="3"/>
      <c r="GW943" s="3"/>
      <c r="GX943" s="3"/>
      <c r="GY943" s="3"/>
      <c r="GZ943" s="3"/>
      <c r="HA943" s="3"/>
      <c r="HB943" s="3"/>
    </row>
    <row r="944" spans="1:210" ht="15.75" customHeight="1">
      <c r="A944" s="50"/>
      <c r="B944" s="50"/>
      <c r="C944" s="50"/>
      <c r="D944" s="50"/>
      <c r="E944" s="50"/>
      <c r="F944" s="50"/>
      <c r="G944" s="51"/>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c r="AX944" s="50"/>
      <c r="AY944" s="50"/>
      <c r="AZ944" s="50"/>
      <c r="BA944" s="50"/>
      <c r="BB944" s="50"/>
      <c r="BC944" s="50"/>
      <c r="BD944" s="50"/>
      <c r="BE944" s="50"/>
      <c r="BF944" s="50"/>
      <c r="BG944" s="50"/>
      <c r="BH944" s="50"/>
      <c r="BI944" s="50"/>
      <c r="BJ944" s="50"/>
      <c r="BK944" s="50"/>
      <c r="BL944" s="50"/>
      <c r="BM944" s="50"/>
      <c r="BN944" s="50"/>
      <c r="BO944" s="50"/>
      <c r="BP944" s="50"/>
      <c r="BQ944" s="50"/>
      <c r="BR944" s="50"/>
      <c r="BS944" s="50"/>
      <c r="BT944" s="50"/>
      <c r="BU944" s="50"/>
      <c r="BV944" s="50"/>
      <c r="BW944" s="50"/>
      <c r="BX944" s="50"/>
      <c r="BY944" s="50"/>
      <c r="BZ944" s="50"/>
      <c r="CA944" s="50"/>
      <c r="CB944" s="50"/>
      <c r="CC944" s="50"/>
      <c r="CD944" s="52"/>
      <c r="CE944" s="50"/>
      <c r="CF944" s="50"/>
      <c r="CG944" s="50"/>
      <c r="CH944" s="50"/>
      <c r="CI944" s="50"/>
      <c r="CJ944" s="50"/>
      <c r="CK944" s="50"/>
      <c r="CL944" s="50"/>
      <c r="CM944" s="50"/>
      <c r="CN944" s="50"/>
      <c r="CO944" s="50"/>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c r="EJ944" s="3"/>
      <c r="EK944" s="3"/>
      <c r="EL944" s="3"/>
      <c r="EM944" s="3"/>
      <c r="EN944" s="3"/>
      <c r="EO944" s="3"/>
      <c r="EP944" s="3"/>
      <c r="EQ944" s="3"/>
      <c r="ER944" s="3"/>
      <c r="ES944" s="3"/>
      <c r="ET944" s="3"/>
      <c r="EU944" s="3"/>
      <c r="EV944" s="3"/>
      <c r="EW944" s="3"/>
      <c r="EX944" s="3"/>
      <c r="EY944" s="3"/>
      <c r="EZ944" s="3"/>
      <c r="FA944" s="3"/>
      <c r="FB944" s="3"/>
      <c r="FC944" s="3"/>
      <c r="FD944" s="3"/>
      <c r="FE944" s="3"/>
      <c r="FF944" s="3"/>
      <c r="FG944" s="3"/>
      <c r="FH944" s="3"/>
      <c r="FI944" s="3"/>
      <c r="FJ944" s="3"/>
      <c r="FK944" s="3"/>
      <c r="FL944" s="3"/>
      <c r="FM944" s="3"/>
      <c r="FN944" s="3"/>
      <c r="FO944" s="3"/>
      <c r="FP944" s="3"/>
      <c r="FQ944" s="3"/>
      <c r="FR944" s="3"/>
      <c r="FS944" s="3"/>
      <c r="FT944" s="3"/>
      <c r="FU944" s="3"/>
      <c r="FV944" s="3"/>
      <c r="FW944" s="3"/>
      <c r="FX944" s="3"/>
      <c r="FY944" s="3"/>
      <c r="FZ944" s="3"/>
      <c r="GA944" s="3"/>
      <c r="GB944" s="3"/>
      <c r="GC944" s="3"/>
      <c r="GD944" s="3"/>
      <c r="GE944" s="3"/>
      <c r="GF944" s="3"/>
      <c r="GG944" s="3"/>
      <c r="GH944" s="3"/>
      <c r="GI944" s="3"/>
      <c r="GJ944" s="3"/>
      <c r="GK944" s="3"/>
      <c r="GL944" s="3"/>
      <c r="GM944" s="3"/>
      <c r="GN944" s="3"/>
      <c r="GO944" s="3"/>
      <c r="GP944" s="3"/>
      <c r="GQ944" s="3"/>
      <c r="GR944" s="3"/>
      <c r="GS944" s="3"/>
      <c r="GT944" s="3"/>
      <c r="GU944" s="3"/>
      <c r="GV944" s="3"/>
      <c r="GW944" s="3"/>
      <c r="GX944" s="3"/>
      <c r="GY944" s="3"/>
      <c r="GZ944" s="3"/>
      <c r="HA944" s="3"/>
      <c r="HB944" s="3"/>
    </row>
    <row r="945" spans="1:210" ht="15.75" customHeight="1">
      <c r="A945" s="50"/>
      <c r="B945" s="50"/>
      <c r="C945" s="50"/>
      <c r="D945" s="50"/>
      <c r="E945" s="50"/>
      <c r="F945" s="50"/>
      <c r="G945" s="51"/>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c r="AV945" s="50"/>
      <c r="AW945" s="50"/>
      <c r="AX945" s="50"/>
      <c r="AY945" s="50"/>
      <c r="AZ945" s="50"/>
      <c r="BA945" s="50"/>
      <c r="BB945" s="50"/>
      <c r="BC945" s="50"/>
      <c r="BD945" s="50"/>
      <c r="BE945" s="50"/>
      <c r="BF945" s="50"/>
      <c r="BG945" s="50"/>
      <c r="BH945" s="50"/>
      <c r="BI945" s="50"/>
      <c r="BJ945" s="50"/>
      <c r="BK945" s="50"/>
      <c r="BL945" s="50"/>
      <c r="BM945" s="50"/>
      <c r="BN945" s="50"/>
      <c r="BO945" s="50"/>
      <c r="BP945" s="50"/>
      <c r="BQ945" s="50"/>
      <c r="BR945" s="50"/>
      <c r="BS945" s="50"/>
      <c r="BT945" s="50"/>
      <c r="BU945" s="50"/>
      <c r="BV945" s="50"/>
      <c r="BW945" s="50"/>
      <c r="BX945" s="50"/>
      <c r="BY945" s="50"/>
      <c r="BZ945" s="50"/>
      <c r="CA945" s="50"/>
      <c r="CB945" s="50"/>
      <c r="CC945" s="50"/>
      <c r="CD945" s="52"/>
      <c r="CE945" s="50"/>
      <c r="CF945" s="50"/>
      <c r="CG945" s="50"/>
      <c r="CH945" s="50"/>
      <c r="CI945" s="50"/>
      <c r="CJ945" s="50"/>
      <c r="CK945" s="50"/>
      <c r="CL945" s="50"/>
      <c r="CM945" s="50"/>
      <c r="CN945" s="50"/>
      <c r="CO945" s="50"/>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c r="EJ945" s="3"/>
      <c r="EK945" s="3"/>
      <c r="EL945" s="3"/>
      <c r="EM945" s="3"/>
      <c r="EN945" s="3"/>
      <c r="EO945" s="3"/>
      <c r="EP945" s="3"/>
      <c r="EQ945" s="3"/>
      <c r="ER945" s="3"/>
      <c r="ES945" s="3"/>
      <c r="ET945" s="3"/>
      <c r="EU945" s="3"/>
      <c r="EV945" s="3"/>
      <c r="EW945" s="3"/>
      <c r="EX945" s="3"/>
      <c r="EY945" s="3"/>
      <c r="EZ945" s="3"/>
      <c r="FA945" s="3"/>
      <c r="FB945" s="3"/>
      <c r="FC945" s="3"/>
      <c r="FD945" s="3"/>
      <c r="FE945" s="3"/>
      <c r="FF945" s="3"/>
      <c r="FG945" s="3"/>
      <c r="FH945" s="3"/>
      <c r="FI945" s="3"/>
      <c r="FJ945" s="3"/>
      <c r="FK945" s="3"/>
      <c r="FL945" s="3"/>
      <c r="FM945" s="3"/>
      <c r="FN945" s="3"/>
      <c r="FO945" s="3"/>
      <c r="FP945" s="3"/>
      <c r="FQ945" s="3"/>
      <c r="FR945" s="3"/>
      <c r="FS945" s="3"/>
      <c r="FT945" s="3"/>
      <c r="FU945" s="3"/>
      <c r="FV945" s="3"/>
      <c r="FW945" s="3"/>
      <c r="FX945" s="3"/>
      <c r="FY945" s="3"/>
      <c r="FZ945" s="3"/>
      <c r="GA945" s="3"/>
      <c r="GB945" s="3"/>
      <c r="GC945" s="3"/>
      <c r="GD945" s="3"/>
      <c r="GE945" s="3"/>
      <c r="GF945" s="3"/>
      <c r="GG945" s="3"/>
      <c r="GH945" s="3"/>
      <c r="GI945" s="3"/>
      <c r="GJ945" s="3"/>
      <c r="GK945" s="3"/>
      <c r="GL945" s="3"/>
      <c r="GM945" s="3"/>
      <c r="GN945" s="3"/>
      <c r="GO945" s="3"/>
      <c r="GP945" s="3"/>
      <c r="GQ945" s="3"/>
      <c r="GR945" s="3"/>
      <c r="GS945" s="3"/>
      <c r="GT945" s="3"/>
      <c r="GU945" s="3"/>
      <c r="GV945" s="3"/>
      <c r="GW945" s="3"/>
      <c r="GX945" s="3"/>
      <c r="GY945" s="3"/>
      <c r="GZ945" s="3"/>
      <c r="HA945" s="3"/>
      <c r="HB945" s="3"/>
    </row>
    <row r="946" spans="1:210" ht="15.75" customHeight="1">
      <c r="A946" s="50"/>
      <c r="B946" s="50"/>
      <c r="C946" s="50"/>
      <c r="D946" s="50"/>
      <c r="E946" s="50"/>
      <c r="F946" s="50"/>
      <c r="G946" s="51"/>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c r="AV946" s="50"/>
      <c r="AW946" s="50"/>
      <c r="AX946" s="50"/>
      <c r="AY946" s="50"/>
      <c r="AZ946" s="50"/>
      <c r="BA946" s="50"/>
      <c r="BB946" s="50"/>
      <c r="BC946" s="50"/>
      <c r="BD946" s="50"/>
      <c r="BE946" s="50"/>
      <c r="BF946" s="50"/>
      <c r="BG946" s="50"/>
      <c r="BH946" s="50"/>
      <c r="BI946" s="50"/>
      <c r="BJ946" s="50"/>
      <c r="BK946" s="50"/>
      <c r="BL946" s="50"/>
      <c r="BM946" s="50"/>
      <c r="BN946" s="50"/>
      <c r="BO946" s="50"/>
      <c r="BP946" s="50"/>
      <c r="BQ946" s="50"/>
      <c r="BR946" s="50"/>
      <c r="BS946" s="50"/>
      <c r="BT946" s="50"/>
      <c r="BU946" s="50"/>
      <c r="BV946" s="50"/>
      <c r="BW946" s="50"/>
      <c r="BX946" s="50"/>
      <c r="BY946" s="50"/>
      <c r="BZ946" s="50"/>
      <c r="CA946" s="50"/>
      <c r="CB946" s="50"/>
      <c r="CC946" s="50"/>
      <c r="CD946" s="52"/>
      <c r="CE946" s="50"/>
      <c r="CF946" s="50"/>
      <c r="CG946" s="50"/>
      <c r="CH946" s="50"/>
      <c r="CI946" s="50"/>
      <c r="CJ946" s="50"/>
      <c r="CK946" s="50"/>
      <c r="CL946" s="50"/>
      <c r="CM946" s="50"/>
      <c r="CN946" s="50"/>
      <c r="CO946" s="50"/>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c r="EJ946" s="3"/>
      <c r="EK946" s="3"/>
      <c r="EL946" s="3"/>
      <c r="EM946" s="3"/>
      <c r="EN946" s="3"/>
      <c r="EO946" s="3"/>
      <c r="EP946" s="3"/>
      <c r="EQ946" s="3"/>
      <c r="ER946" s="3"/>
      <c r="ES946" s="3"/>
      <c r="ET946" s="3"/>
      <c r="EU946" s="3"/>
      <c r="EV946" s="3"/>
      <c r="EW946" s="3"/>
      <c r="EX946" s="3"/>
      <c r="EY946" s="3"/>
      <c r="EZ946" s="3"/>
      <c r="FA946" s="3"/>
      <c r="FB946" s="3"/>
      <c r="FC946" s="3"/>
      <c r="FD946" s="3"/>
      <c r="FE946" s="3"/>
      <c r="FF946" s="3"/>
      <c r="FG946" s="3"/>
      <c r="FH946" s="3"/>
      <c r="FI946" s="3"/>
      <c r="FJ946" s="3"/>
      <c r="FK946" s="3"/>
      <c r="FL946" s="3"/>
      <c r="FM946" s="3"/>
      <c r="FN946" s="3"/>
      <c r="FO946" s="3"/>
      <c r="FP946" s="3"/>
      <c r="FQ946" s="3"/>
      <c r="FR946" s="3"/>
      <c r="FS946" s="3"/>
      <c r="FT946" s="3"/>
      <c r="FU946" s="3"/>
      <c r="FV946" s="3"/>
      <c r="FW946" s="3"/>
      <c r="FX946" s="3"/>
      <c r="FY946" s="3"/>
      <c r="FZ946" s="3"/>
      <c r="GA946" s="3"/>
      <c r="GB946" s="3"/>
      <c r="GC946" s="3"/>
      <c r="GD946" s="3"/>
      <c r="GE946" s="3"/>
      <c r="GF946" s="3"/>
      <c r="GG946" s="3"/>
      <c r="GH946" s="3"/>
      <c r="GI946" s="3"/>
      <c r="GJ946" s="3"/>
      <c r="GK946" s="3"/>
      <c r="GL946" s="3"/>
      <c r="GM946" s="3"/>
      <c r="GN946" s="3"/>
      <c r="GO946" s="3"/>
      <c r="GP946" s="3"/>
      <c r="GQ946" s="3"/>
      <c r="GR946" s="3"/>
      <c r="GS946" s="3"/>
      <c r="GT946" s="3"/>
      <c r="GU946" s="3"/>
      <c r="GV946" s="3"/>
      <c r="GW946" s="3"/>
      <c r="GX946" s="3"/>
      <c r="GY946" s="3"/>
      <c r="GZ946" s="3"/>
      <c r="HA946" s="3"/>
      <c r="HB946" s="3"/>
    </row>
    <row r="947" spans="1:210" ht="15.75" customHeight="1">
      <c r="A947" s="50"/>
      <c r="B947" s="50"/>
      <c r="C947" s="50"/>
      <c r="D947" s="50"/>
      <c r="E947" s="50"/>
      <c r="F947" s="50"/>
      <c r="G947" s="51"/>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c r="BB947" s="50"/>
      <c r="BC947" s="50"/>
      <c r="BD947" s="50"/>
      <c r="BE947" s="50"/>
      <c r="BF947" s="50"/>
      <c r="BG947" s="50"/>
      <c r="BH947" s="50"/>
      <c r="BI947" s="50"/>
      <c r="BJ947" s="50"/>
      <c r="BK947" s="50"/>
      <c r="BL947" s="50"/>
      <c r="BM947" s="50"/>
      <c r="BN947" s="50"/>
      <c r="BO947" s="50"/>
      <c r="BP947" s="50"/>
      <c r="BQ947" s="50"/>
      <c r="BR947" s="50"/>
      <c r="BS947" s="50"/>
      <c r="BT947" s="50"/>
      <c r="BU947" s="50"/>
      <c r="BV947" s="50"/>
      <c r="BW947" s="50"/>
      <c r="BX947" s="50"/>
      <c r="BY947" s="50"/>
      <c r="BZ947" s="50"/>
      <c r="CA947" s="50"/>
      <c r="CB947" s="50"/>
      <c r="CC947" s="50"/>
      <c r="CD947" s="52"/>
      <c r="CE947" s="50"/>
      <c r="CF947" s="50"/>
      <c r="CG947" s="50"/>
      <c r="CH947" s="50"/>
      <c r="CI947" s="50"/>
      <c r="CJ947" s="50"/>
      <c r="CK947" s="50"/>
      <c r="CL947" s="50"/>
      <c r="CM947" s="50"/>
      <c r="CN947" s="50"/>
      <c r="CO947" s="50"/>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c r="EJ947" s="3"/>
      <c r="EK947" s="3"/>
      <c r="EL947" s="3"/>
      <c r="EM947" s="3"/>
      <c r="EN947" s="3"/>
      <c r="EO947" s="3"/>
      <c r="EP947" s="3"/>
      <c r="EQ947" s="3"/>
      <c r="ER947" s="3"/>
      <c r="ES947" s="3"/>
      <c r="ET947" s="3"/>
      <c r="EU947" s="3"/>
      <c r="EV947" s="3"/>
      <c r="EW947" s="3"/>
      <c r="EX947" s="3"/>
      <c r="EY947" s="3"/>
      <c r="EZ947" s="3"/>
      <c r="FA947" s="3"/>
      <c r="FB947" s="3"/>
      <c r="FC947" s="3"/>
      <c r="FD947" s="3"/>
      <c r="FE947" s="3"/>
      <c r="FF947" s="3"/>
      <c r="FG947" s="3"/>
      <c r="FH947" s="3"/>
      <c r="FI947" s="3"/>
      <c r="FJ947" s="3"/>
      <c r="FK947" s="3"/>
      <c r="FL947" s="3"/>
      <c r="FM947" s="3"/>
      <c r="FN947" s="3"/>
      <c r="FO947" s="3"/>
      <c r="FP947" s="3"/>
      <c r="FQ947" s="3"/>
      <c r="FR947" s="3"/>
      <c r="FS947" s="3"/>
      <c r="FT947" s="3"/>
      <c r="FU947" s="3"/>
      <c r="FV947" s="3"/>
      <c r="FW947" s="3"/>
      <c r="FX947" s="3"/>
      <c r="FY947" s="3"/>
      <c r="FZ947" s="3"/>
      <c r="GA947" s="3"/>
      <c r="GB947" s="3"/>
      <c r="GC947" s="3"/>
      <c r="GD947" s="3"/>
      <c r="GE947" s="3"/>
      <c r="GF947" s="3"/>
      <c r="GG947" s="3"/>
      <c r="GH947" s="3"/>
      <c r="GI947" s="3"/>
      <c r="GJ947" s="3"/>
      <c r="GK947" s="3"/>
      <c r="GL947" s="3"/>
      <c r="GM947" s="3"/>
      <c r="GN947" s="3"/>
      <c r="GO947" s="3"/>
      <c r="GP947" s="3"/>
      <c r="GQ947" s="3"/>
      <c r="GR947" s="3"/>
      <c r="GS947" s="3"/>
      <c r="GT947" s="3"/>
      <c r="GU947" s="3"/>
      <c r="GV947" s="3"/>
      <c r="GW947" s="3"/>
      <c r="GX947" s="3"/>
      <c r="GY947" s="3"/>
      <c r="GZ947" s="3"/>
      <c r="HA947" s="3"/>
      <c r="HB947" s="3"/>
    </row>
    <row r="948" spans="1:210" ht="15.75" customHeight="1">
      <c r="A948" s="50"/>
      <c r="B948" s="50"/>
      <c r="C948" s="50"/>
      <c r="D948" s="50"/>
      <c r="E948" s="50"/>
      <c r="F948" s="50"/>
      <c r="G948" s="51"/>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c r="AV948" s="50"/>
      <c r="AW948" s="50"/>
      <c r="AX948" s="50"/>
      <c r="AY948" s="50"/>
      <c r="AZ948" s="50"/>
      <c r="BA948" s="50"/>
      <c r="BB948" s="50"/>
      <c r="BC948" s="50"/>
      <c r="BD948" s="50"/>
      <c r="BE948" s="50"/>
      <c r="BF948" s="50"/>
      <c r="BG948" s="50"/>
      <c r="BH948" s="50"/>
      <c r="BI948" s="50"/>
      <c r="BJ948" s="50"/>
      <c r="BK948" s="50"/>
      <c r="BL948" s="50"/>
      <c r="BM948" s="50"/>
      <c r="BN948" s="50"/>
      <c r="BO948" s="50"/>
      <c r="BP948" s="50"/>
      <c r="BQ948" s="50"/>
      <c r="BR948" s="50"/>
      <c r="BS948" s="50"/>
      <c r="BT948" s="50"/>
      <c r="BU948" s="50"/>
      <c r="BV948" s="50"/>
      <c r="BW948" s="50"/>
      <c r="BX948" s="50"/>
      <c r="BY948" s="50"/>
      <c r="BZ948" s="50"/>
      <c r="CA948" s="50"/>
      <c r="CB948" s="50"/>
      <c r="CC948" s="50"/>
      <c r="CD948" s="52"/>
      <c r="CE948" s="50"/>
      <c r="CF948" s="50"/>
      <c r="CG948" s="50"/>
      <c r="CH948" s="50"/>
      <c r="CI948" s="50"/>
      <c r="CJ948" s="50"/>
      <c r="CK948" s="50"/>
      <c r="CL948" s="50"/>
      <c r="CM948" s="50"/>
      <c r="CN948" s="50"/>
      <c r="CO948" s="50"/>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c r="EJ948" s="3"/>
      <c r="EK948" s="3"/>
      <c r="EL948" s="3"/>
      <c r="EM948" s="3"/>
      <c r="EN948" s="3"/>
      <c r="EO948" s="3"/>
      <c r="EP948" s="3"/>
      <c r="EQ948" s="3"/>
      <c r="ER948" s="3"/>
      <c r="ES948" s="3"/>
      <c r="ET948" s="3"/>
      <c r="EU948" s="3"/>
      <c r="EV948" s="3"/>
      <c r="EW948" s="3"/>
      <c r="EX948" s="3"/>
      <c r="EY948" s="3"/>
      <c r="EZ948" s="3"/>
      <c r="FA948" s="3"/>
      <c r="FB948" s="3"/>
      <c r="FC948" s="3"/>
      <c r="FD948" s="3"/>
      <c r="FE948" s="3"/>
      <c r="FF948" s="3"/>
      <c r="FG948" s="3"/>
      <c r="FH948" s="3"/>
      <c r="FI948" s="3"/>
      <c r="FJ948" s="3"/>
      <c r="FK948" s="3"/>
      <c r="FL948" s="3"/>
      <c r="FM948" s="3"/>
      <c r="FN948" s="3"/>
      <c r="FO948" s="3"/>
      <c r="FP948" s="3"/>
      <c r="FQ948" s="3"/>
      <c r="FR948" s="3"/>
      <c r="FS948" s="3"/>
      <c r="FT948" s="3"/>
      <c r="FU948" s="3"/>
      <c r="FV948" s="3"/>
      <c r="FW948" s="3"/>
      <c r="FX948" s="3"/>
      <c r="FY948" s="3"/>
      <c r="FZ948" s="3"/>
      <c r="GA948" s="3"/>
      <c r="GB948" s="3"/>
      <c r="GC948" s="3"/>
      <c r="GD948" s="3"/>
      <c r="GE948" s="3"/>
      <c r="GF948" s="3"/>
      <c r="GG948" s="3"/>
      <c r="GH948" s="3"/>
      <c r="GI948" s="3"/>
      <c r="GJ948" s="3"/>
      <c r="GK948" s="3"/>
      <c r="GL948" s="3"/>
      <c r="GM948" s="3"/>
      <c r="GN948" s="3"/>
      <c r="GO948" s="3"/>
      <c r="GP948" s="3"/>
      <c r="GQ948" s="3"/>
      <c r="GR948" s="3"/>
      <c r="GS948" s="3"/>
      <c r="GT948" s="3"/>
      <c r="GU948" s="3"/>
      <c r="GV948" s="3"/>
      <c r="GW948" s="3"/>
      <c r="GX948" s="3"/>
      <c r="GY948" s="3"/>
      <c r="GZ948" s="3"/>
      <c r="HA948" s="3"/>
      <c r="HB948" s="3"/>
    </row>
    <row r="949" spans="1:210" ht="15.75" customHeight="1">
      <c r="A949" s="50"/>
      <c r="B949" s="50"/>
      <c r="C949" s="50"/>
      <c r="D949" s="50"/>
      <c r="E949" s="50"/>
      <c r="F949" s="50"/>
      <c r="G949" s="51"/>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c r="BB949" s="50"/>
      <c r="BC949" s="50"/>
      <c r="BD949" s="50"/>
      <c r="BE949" s="50"/>
      <c r="BF949" s="50"/>
      <c r="BG949" s="50"/>
      <c r="BH949" s="50"/>
      <c r="BI949" s="50"/>
      <c r="BJ949" s="50"/>
      <c r="BK949" s="50"/>
      <c r="BL949" s="50"/>
      <c r="BM949" s="50"/>
      <c r="BN949" s="50"/>
      <c r="BO949" s="50"/>
      <c r="BP949" s="50"/>
      <c r="BQ949" s="50"/>
      <c r="BR949" s="50"/>
      <c r="BS949" s="50"/>
      <c r="BT949" s="50"/>
      <c r="BU949" s="50"/>
      <c r="BV949" s="50"/>
      <c r="BW949" s="50"/>
      <c r="BX949" s="50"/>
      <c r="BY949" s="50"/>
      <c r="BZ949" s="50"/>
      <c r="CA949" s="50"/>
      <c r="CB949" s="50"/>
      <c r="CC949" s="50"/>
      <c r="CD949" s="52"/>
      <c r="CE949" s="50"/>
      <c r="CF949" s="50"/>
      <c r="CG949" s="50"/>
      <c r="CH949" s="50"/>
      <c r="CI949" s="50"/>
      <c r="CJ949" s="50"/>
      <c r="CK949" s="50"/>
      <c r="CL949" s="50"/>
      <c r="CM949" s="50"/>
      <c r="CN949" s="50"/>
      <c r="CO949" s="50"/>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c r="EJ949" s="3"/>
      <c r="EK949" s="3"/>
      <c r="EL949" s="3"/>
      <c r="EM949" s="3"/>
      <c r="EN949" s="3"/>
      <c r="EO949" s="3"/>
      <c r="EP949" s="3"/>
      <c r="EQ949" s="3"/>
      <c r="ER949" s="3"/>
      <c r="ES949" s="3"/>
      <c r="ET949" s="3"/>
      <c r="EU949" s="3"/>
      <c r="EV949" s="3"/>
      <c r="EW949" s="3"/>
      <c r="EX949" s="3"/>
      <c r="EY949" s="3"/>
      <c r="EZ949" s="3"/>
      <c r="FA949" s="3"/>
      <c r="FB949" s="3"/>
      <c r="FC949" s="3"/>
      <c r="FD949" s="3"/>
      <c r="FE949" s="3"/>
      <c r="FF949" s="3"/>
      <c r="FG949" s="3"/>
      <c r="FH949" s="3"/>
      <c r="FI949" s="3"/>
      <c r="FJ949" s="3"/>
      <c r="FK949" s="3"/>
      <c r="FL949" s="3"/>
      <c r="FM949" s="3"/>
      <c r="FN949" s="3"/>
      <c r="FO949" s="3"/>
      <c r="FP949" s="3"/>
      <c r="FQ949" s="3"/>
      <c r="FR949" s="3"/>
      <c r="FS949" s="3"/>
      <c r="FT949" s="3"/>
      <c r="FU949" s="3"/>
      <c r="FV949" s="3"/>
      <c r="FW949" s="3"/>
      <c r="FX949" s="3"/>
      <c r="FY949" s="3"/>
      <c r="FZ949" s="3"/>
      <c r="GA949" s="3"/>
      <c r="GB949" s="3"/>
      <c r="GC949" s="3"/>
      <c r="GD949" s="3"/>
      <c r="GE949" s="3"/>
      <c r="GF949" s="3"/>
      <c r="GG949" s="3"/>
      <c r="GH949" s="3"/>
      <c r="GI949" s="3"/>
      <c r="GJ949" s="3"/>
      <c r="GK949" s="3"/>
      <c r="GL949" s="3"/>
      <c r="GM949" s="3"/>
      <c r="GN949" s="3"/>
      <c r="GO949" s="3"/>
      <c r="GP949" s="3"/>
      <c r="GQ949" s="3"/>
      <c r="GR949" s="3"/>
      <c r="GS949" s="3"/>
      <c r="GT949" s="3"/>
      <c r="GU949" s="3"/>
      <c r="GV949" s="3"/>
      <c r="GW949" s="3"/>
      <c r="GX949" s="3"/>
      <c r="GY949" s="3"/>
      <c r="GZ949" s="3"/>
      <c r="HA949" s="3"/>
      <c r="HB949" s="3"/>
    </row>
    <row r="950" spans="1:210" ht="15.75" customHeight="1">
      <c r="A950" s="50"/>
      <c r="B950" s="50"/>
      <c r="C950" s="50"/>
      <c r="D950" s="50"/>
      <c r="E950" s="50"/>
      <c r="F950" s="50"/>
      <c r="G950" s="51"/>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c r="BB950" s="50"/>
      <c r="BC950" s="50"/>
      <c r="BD950" s="50"/>
      <c r="BE950" s="50"/>
      <c r="BF950" s="50"/>
      <c r="BG950" s="50"/>
      <c r="BH950" s="50"/>
      <c r="BI950" s="50"/>
      <c r="BJ950" s="50"/>
      <c r="BK950" s="50"/>
      <c r="BL950" s="50"/>
      <c r="BM950" s="50"/>
      <c r="BN950" s="50"/>
      <c r="BO950" s="50"/>
      <c r="BP950" s="50"/>
      <c r="BQ950" s="50"/>
      <c r="BR950" s="50"/>
      <c r="BS950" s="50"/>
      <c r="BT950" s="50"/>
      <c r="BU950" s="50"/>
      <c r="BV950" s="50"/>
      <c r="BW950" s="50"/>
      <c r="BX950" s="50"/>
      <c r="BY950" s="50"/>
      <c r="BZ950" s="50"/>
      <c r="CA950" s="50"/>
      <c r="CB950" s="50"/>
      <c r="CC950" s="50"/>
      <c r="CD950" s="52"/>
      <c r="CE950" s="50"/>
      <c r="CF950" s="50"/>
      <c r="CG950" s="50"/>
      <c r="CH950" s="50"/>
      <c r="CI950" s="50"/>
      <c r="CJ950" s="50"/>
      <c r="CK950" s="50"/>
      <c r="CL950" s="50"/>
      <c r="CM950" s="50"/>
      <c r="CN950" s="50"/>
      <c r="CO950" s="50"/>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c r="EJ950" s="3"/>
      <c r="EK950" s="3"/>
      <c r="EL950" s="3"/>
      <c r="EM950" s="3"/>
      <c r="EN950" s="3"/>
      <c r="EO950" s="3"/>
      <c r="EP950" s="3"/>
      <c r="EQ950" s="3"/>
      <c r="ER950" s="3"/>
      <c r="ES950" s="3"/>
      <c r="ET950" s="3"/>
      <c r="EU950" s="3"/>
      <c r="EV950" s="3"/>
      <c r="EW950" s="3"/>
      <c r="EX950" s="3"/>
      <c r="EY950" s="3"/>
      <c r="EZ950" s="3"/>
      <c r="FA950" s="3"/>
      <c r="FB950" s="3"/>
      <c r="FC950" s="3"/>
      <c r="FD950" s="3"/>
      <c r="FE950" s="3"/>
      <c r="FF950" s="3"/>
      <c r="FG950" s="3"/>
      <c r="FH950" s="3"/>
      <c r="FI950" s="3"/>
      <c r="FJ950" s="3"/>
      <c r="FK950" s="3"/>
      <c r="FL950" s="3"/>
      <c r="FM950" s="3"/>
      <c r="FN950" s="3"/>
      <c r="FO950" s="3"/>
      <c r="FP950" s="3"/>
      <c r="FQ950" s="3"/>
      <c r="FR950" s="3"/>
      <c r="FS950" s="3"/>
      <c r="FT950" s="3"/>
      <c r="FU950" s="3"/>
      <c r="FV950" s="3"/>
      <c r="FW950" s="3"/>
      <c r="FX950" s="3"/>
      <c r="FY950" s="3"/>
      <c r="FZ950" s="3"/>
      <c r="GA950" s="3"/>
      <c r="GB950" s="3"/>
      <c r="GC950" s="3"/>
      <c r="GD950" s="3"/>
      <c r="GE950" s="3"/>
      <c r="GF950" s="3"/>
      <c r="GG950" s="3"/>
      <c r="GH950" s="3"/>
      <c r="GI950" s="3"/>
      <c r="GJ950" s="3"/>
      <c r="GK950" s="3"/>
      <c r="GL950" s="3"/>
      <c r="GM950" s="3"/>
      <c r="GN950" s="3"/>
      <c r="GO950" s="3"/>
      <c r="GP950" s="3"/>
      <c r="GQ950" s="3"/>
      <c r="GR950" s="3"/>
      <c r="GS950" s="3"/>
      <c r="GT950" s="3"/>
      <c r="GU950" s="3"/>
      <c r="GV950" s="3"/>
      <c r="GW950" s="3"/>
      <c r="GX950" s="3"/>
      <c r="GY950" s="3"/>
      <c r="GZ950" s="3"/>
      <c r="HA950" s="3"/>
      <c r="HB950" s="3"/>
    </row>
    <row r="951" spans="1:210" ht="15.75" customHeight="1">
      <c r="A951" s="50"/>
      <c r="B951" s="50"/>
      <c r="C951" s="50"/>
      <c r="D951" s="50"/>
      <c r="E951" s="50"/>
      <c r="F951" s="50"/>
      <c r="G951" s="51"/>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c r="AV951" s="50"/>
      <c r="AW951" s="50"/>
      <c r="AX951" s="50"/>
      <c r="AY951" s="50"/>
      <c r="AZ951" s="50"/>
      <c r="BA951" s="50"/>
      <c r="BB951" s="50"/>
      <c r="BC951" s="50"/>
      <c r="BD951" s="50"/>
      <c r="BE951" s="50"/>
      <c r="BF951" s="50"/>
      <c r="BG951" s="50"/>
      <c r="BH951" s="50"/>
      <c r="BI951" s="50"/>
      <c r="BJ951" s="50"/>
      <c r="BK951" s="50"/>
      <c r="BL951" s="50"/>
      <c r="BM951" s="50"/>
      <c r="BN951" s="50"/>
      <c r="BO951" s="50"/>
      <c r="BP951" s="50"/>
      <c r="BQ951" s="50"/>
      <c r="BR951" s="50"/>
      <c r="BS951" s="50"/>
      <c r="BT951" s="50"/>
      <c r="BU951" s="50"/>
      <c r="BV951" s="50"/>
      <c r="BW951" s="50"/>
      <c r="BX951" s="50"/>
      <c r="BY951" s="50"/>
      <c r="BZ951" s="50"/>
      <c r="CA951" s="50"/>
      <c r="CB951" s="50"/>
      <c r="CC951" s="50"/>
      <c r="CD951" s="52"/>
      <c r="CE951" s="50"/>
      <c r="CF951" s="50"/>
      <c r="CG951" s="50"/>
      <c r="CH951" s="50"/>
      <c r="CI951" s="50"/>
      <c r="CJ951" s="50"/>
      <c r="CK951" s="50"/>
      <c r="CL951" s="50"/>
      <c r="CM951" s="50"/>
      <c r="CN951" s="50"/>
      <c r="CO951" s="50"/>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c r="DZ951" s="3"/>
      <c r="EA951" s="3"/>
      <c r="EB951" s="3"/>
      <c r="EC951" s="3"/>
      <c r="ED951" s="3"/>
      <c r="EE951" s="3"/>
      <c r="EF951" s="3"/>
      <c r="EG951" s="3"/>
      <c r="EH951" s="3"/>
      <c r="EI951" s="3"/>
      <c r="EJ951" s="3"/>
      <c r="EK951" s="3"/>
      <c r="EL951" s="3"/>
      <c r="EM951" s="3"/>
      <c r="EN951" s="3"/>
      <c r="EO951" s="3"/>
      <c r="EP951" s="3"/>
      <c r="EQ951" s="3"/>
      <c r="ER951" s="3"/>
      <c r="ES951" s="3"/>
      <c r="ET951" s="3"/>
      <c r="EU951" s="3"/>
      <c r="EV951" s="3"/>
      <c r="EW951" s="3"/>
      <c r="EX951" s="3"/>
      <c r="EY951" s="3"/>
      <c r="EZ951" s="3"/>
      <c r="FA951" s="3"/>
      <c r="FB951" s="3"/>
      <c r="FC951" s="3"/>
      <c r="FD951" s="3"/>
      <c r="FE951" s="3"/>
      <c r="FF951" s="3"/>
      <c r="FG951" s="3"/>
      <c r="FH951" s="3"/>
      <c r="FI951" s="3"/>
      <c r="FJ951" s="3"/>
      <c r="FK951" s="3"/>
      <c r="FL951" s="3"/>
      <c r="FM951" s="3"/>
      <c r="FN951" s="3"/>
      <c r="FO951" s="3"/>
      <c r="FP951" s="3"/>
      <c r="FQ951" s="3"/>
      <c r="FR951" s="3"/>
      <c r="FS951" s="3"/>
      <c r="FT951" s="3"/>
      <c r="FU951" s="3"/>
      <c r="FV951" s="3"/>
      <c r="FW951" s="3"/>
      <c r="FX951" s="3"/>
      <c r="FY951" s="3"/>
      <c r="FZ951" s="3"/>
      <c r="GA951" s="3"/>
      <c r="GB951" s="3"/>
      <c r="GC951" s="3"/>
      <c r="GD951" s="3"/>
      <c r="GE951" s="3"/>
      <c r="GF951" s="3"/>
      <c r="GG951" s="3"/>
      <c r="GH951" s="3"/>
      <c r="GI951" s="3"/>
      <c r="GJ951" s="3"/>
      <c r="GK951" s="3"/>
      <c r="GL951" s="3"/>
      <c r="GM951" s="3"/>
      <c r="GN951" s="3"/>
      <c r="GO951" s="3"/>
      <c r="GP951" s="3"/>
      <c r="GQ951" s="3"/>
      <c r="GR951" s="3"/>
      <c r="GS951" s="3"/>
      <c r="GT951" s="3"/>
      <c r="GU951" s="3"/>
      <c r="GV951" s="3"/>
      <c r="GW951" s="3"/>
      <c r="GX951" s="3"/>
      <c r="GY951" s="3"/>
      <c r="GZ951" s="3"/>
      <c r="HA951" s="3"/>
      <c r="HB951" s="3"/>
    </row>
    <row r="952" spans="1:210" ht="15.75" customHeight="1">
      <c r="A952" s="50"/>
      <c r="B952" s="50"/>
      <c r="C952" s="50"/>
      <c r="D952" s="50"/>
      <c r="E952" s="50"/>
      <c r="F952" s="50"/>
      <c r="G952" s="51"/>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c r="AV952" s="50"/>
      <c r="AW952" s="50"/>
      <c r="AX952" s="50"/>
      <c r="AY952" s="50"/>
      <c r="AZ952" s="50"/>
      <c r="BA952" s="50"/>
      <c r="BB952" s="50"/>
      <c r="BC952" s="50"/>
      <c r="BD952" s="50"/>
      <c r="BE952" s="50"/>
      <c r="BF952" s="50"/>
      <c r="BG952" s="50"/>
      <c r="BH952" s="50"/>
      <c r="BI952" s="50"/>
      <c r="BJ952" s="50"/>
      <c r="BK952" s="50"/>
      <c r="BL952" s="50"/>
      <c r="BM952" s="50"/>
      <c r="BN952" s="50"/>
      <c r="BO952" s="50"/>
      <c r="BP952" s="50"/>
      <c r="BQ952" s="50"/>
      <c r="BR952" s="50"/>
      <c r="BS952" s="50"/>
      <c r="BT952" s="50"/>
      <c r="BU952" s="50"/>
      <c r="BV952" s="50"/>
      <c r="BW952" s="50"/>
      <c r="BX952" s="50"/>
      <c r="BY952" s="50"/>
      <c r="BZ952" s="50"/>
      <c r="CA952" s="50"/>
      <c r="CB952" s="50"/>
      <c r="CC952" s="50"/>
      <c r="CD952" s="52"/>
      <c r="CE952" s="50"/>
      <c r="CF952" s="50"/>
      <c r="CG952" s="50"/>
      <c r="CH952" s="50"/>
      <c r="CI952" s="50"/>
      <c r="CJ952" s="50"/>
      <c r="CK952" s="50"/>
      <c r="CL952" s="50"/>
      <c r="CM952" s="50"/>
      <c r="CN952" s="50"/>
      <c r="CO952" s="50"/>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c r="DZ952" s="3"/>
      <c r="EA952" s="3"/>
      <c r="EB952" s="3"/>
      <c r="EC952" s="3"/>
      <c r="ED952" s="3"/>
      <c r="EE952" s="3"/>
      <c r="EF952" s="3"/>
      <c r="EG952" s="3"/>
      <c r="EH952" s="3"/>
      <c r="EI952" s="3"/>
      <c r="EJ952" s="3"/>
      <c r="EK952" s="3"/>
      <c r="EL952" s="3"/>
      <c r="EM952" s="3"/>
      <c r="EN952" s="3"/>
      <c r="EO952" s="3"/>
      <c r="EP952" s="3"/>
      <c r="EQ952" s="3"/>
      <c r="ER952" s="3"/>
      <c r="ES952" s="3"/>
      <c r="ET952" s="3"/>
      <c r="EU952" s="3"/>
      <c r="EV952" s="3"/>
      <c r="EW952" s="3"/>
      <c r="EX952" s="3"/>
      <c r="EY952" s="3"/>
      <c r="EZ952" s="3"/>
      <c r="FA952" s="3"/>
      <c r="FB952" s="3"/>
      <c r="FC952" s="3"/>
      <c r="FD952" s="3"/>
      <c r="FE952" s="3"/>
      <c r="FF952" s="3"/>
      <c r="FG952" s="3"/>
      <c r="FH952" s="3"/>
      <c r="FI952" s="3"/>
      <c r="FJ952" s="3"/>
      <c r="FK952" s="3"/>
      <c r="FL952" s="3"/>
      <c r="FM952" s="3"/>
      <c r="FN952" s="3"/>
      <c r="FO952" s="3"/>
      <c r="FP952" s="3"/>
      <c r="FQ952" s="3"/>
      <c r="FR952" s="3"/>
      <c r="FS952" s="3"/>
      <c r="FT952" s="3"/>
      <c r="FU952" s="3"/>
      <c r="FV952" s="3"/>
      <c r="FW952" s="3"/>
      <c r="FX952" s="3"/>
      <c r="FY952" s="3"/>
      <c r="FZ952" s="3"/>
      <c r="GA952" s="3"/>
      <c r="GB952" s="3"/>
      <c r="GC952" s="3"/>
      <c r="GD952" s="3"/>
      <c r="GE952" s="3"/>
      <c r="GF952" s="3"/>
      <c r="GG952" s="3"/>
      <c r="GH952" s="3"/>
      <c r="GI952" s="3"/>
      <c r="GJ952" s="3"/>
      <c r="GK952" s="3"/>
      <c r="GL952" s="3"/>
      <c r="GM952" s="3"/>
      <c r="GN952" s="3"/>
      <c r="GO952" s="3"/>
      <c r="GP952" s="3"/>
      <c r="GQ952" s="3"/>
      <c r="GR952" s="3"/>
      <c r="GS952" s="3"/>
      <c r="GT952" s="3"/>
      <c r="GU952" s="3"/>
      <c r="GV952" s="3"/>
      <c r="GW952" s="3"/>
      <c r="GX952" s="3"/>
      <c r="GY952" s="3"/>
      <c r="GZ952" s="3"/>
      <c r="HA952" s="3"/>
      <c r="HB952" s="3"/>
    </row>
    <row r="953" spans="1:210" ht="15.75" customHeight="1">
      <c r="A953" s="50"/>
      <c r="B953" s="50"/>
      <c r="C953" s="50"/>
      <c r="D953" s="50"/>
      <c r="E953" s="50"/>
      <c r="F953" s="50"/>
      <c r="G953" s="51"/>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c r="AV953" s="50"/>
      <c r="AW953" s="50"/>
      <c r="AX953" s="50"/>
      <c r="AY953" s="50"/>
      <c r="AZ953" s="50"/>
      <c r="BA953" s="50"/>
      <c r="BB953" s="50"/>
      <c r="BC953" s="50"/>
      <c r="BD953" s="50"/>
      <c r="BE953" s="50"/>
      <c r="BF953" s="50"/>
      <c r="BG953" s="50"/>
      <c r="BH953" s="50"/>
      <c r="BI953" s="50"/>
      <c r="BJ953" s="50"/>
      <c r="BK953" s="50"/>
      <c r="BL953" s="50"/>
      <c r="BM953" s="50"/>
      <c r="BN953" s="50"/>
      <c r="BO953" s="50"/>
      <c r="BP953" s="50"/>
      <c r="BQ953" s="50"/>
      <c r="BR953" s="50"/>
      <c r="BS953" s="50"/>
      <c r="BT953" s="50"/>
      <c r="BU953" s="50"/>
      <c r="BV953" s="50"/>
      <c r="BW953" s="50"/>
      <c r="BX953" s="50"/>
      <c r="BY953" s="50"/>
      <c r="BZ953" s="50"/>
      <c r="CA953" s="50"/>
      <c r="CB953" s="50"/>
      <c r="CC953" s="50"/>
      <c r="CD953" s="52"/>
      <c r="CE953" s="50"/>
      <c r="CF953" s="50"/>
      <c r="CG953" s="50"/>
      <c r="CH953" s="50"/>
      <c r="CI953" s="50"/>
      <c r="CJ953" s="50"/>
      <c r="CK953" s="50"/>
      <c r="CL953" s="50"/>
      <c r="CM953" s="50"/>
      <c r="CN953" s="50"/>
      <c r="CO953" s="50"/>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c r="EJ953" s="3"/>
      <c r="EK953" s="3"/>
      <c r="EL953" s="3"/>
      <c r="EM953" s="3"/>
      <c r="EN953" s="3"/>
      <c r="EO953" s="3"/>
      <c r="EP953" s="3"/>
      <c r="EQ953" s="3"/>
      <c r="ER953" s="3"/>
      <c r="ES953" s="3"/>
      <c r="ET953" s="3"/>
      <c r="EU953" s="3"/>
      <c r="EV953" s="3"/>
      <c r="EW953" s="3"/>
      <c r="EX953" s="3"/>
      <c r="EY953" s="3"/>
      <c r="EZ953" s="3"/>
      <c r="FA953" s="3"/>
      <c r="FB953" s="3"/>
      <c r="FC953" s="3"/>
      <c r="FD953" s="3"/>
      <c r="FE953" s="3"/>
      <c r="FF953" s="3"/>
      <c r="FG953" s="3"/>
      <c r="FH953" s="3"/>
      <c r="FI953" s="3"/>
      <c r="FJ953" s="3"/>
      <c r="FK953" s="3"/>
      <c r="FL953" s="3"/>
      <c r="FM953" s="3"/>
      <c r="FN953" s="3"/>
      <c r="FO953" s="3"/>
      <c r="FP953" s="3"/>
      <c r="FQ953" s="3"/>
      <c r="FR953" s="3"/>
      <c r="FS953" s="3"/>
      <c r="FT953" s="3"/>
      <c r="FU953" s="3"/>
      <c r="FV953" s="3"/>
      <c r="FW953" s="3"/>
      <c r="FX953" s="3"/>
      <c r="FY953" s="3"/>
      <c r="FZ953" s="3"/>
      <c r="GA953" s="3"/>
      <c r="GB953" s="3"/>
      <c r="GC953" s="3"/>
      <c r="GD953" s="3"/>
      <c r="GE953" s="3"/>
      <c r="GF953" s="3"/>
      <c r="GG953" s="3"/>
      <c r="GH953" s="3"/>
      <c r="GI953" s="3"/>
      <c r="GJ953" s="3"/>
      <c r="GK953" s="3"/>
      <c r="GL953" s="3"/>
      <c r="GM953" s="3"/>
      <c r="GN953" s="3"/>
      <c r="GO953" s="3"/>
      <c r="GP953" s="3"/>
      <c r="GQ953" s="3"/>
      <c r="GR953" s="3"/>
      <c r="GS953" s="3"/>
      <c r="GT953" s="3"/>
      <c r="GU953" s="3"/>
      <c r="GV953" s="3"/>
      <c r="GW953" s="3"/>
      <c r="GX953" s="3"/>
      <c r="GY953" s="3"/>
      <c r="GZ953" s="3"/>
      <c r="HA953" s="3"/>
      <c r="HB953" s="3"/>
    </row>
    <row r="954" spans="1:210" ht="15.75" customHeight="1">
      <c r="A954" s="50"/>
      <c r="B954" s="50"/>
      <c r="C954" s="50"/>
      <c r="D954" s="50"/>
      <c r="E954" s="50"/>
      <c r="F954" s="50"/>
      <c r="G954" s="51"/>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c r="AV954" s="50"/>
      <c r="AW954" s="50"/>
      <c r="AX954" s="50"/>
      <c r="AY954" s="50"/>
      <c r="AZ954" s="50"/>
      <c r="BA954" s="50"/>
      <c r="BB954" s="50"/>
      <c r="BC954" s="50"/>
      <c r="BD954" s="50"/>
      <c r="BE954" s="50"/>
      <c r="BF954" s="50"/>
      <c r="BG954" s="50"/>
      <c r="BH954" s="50"/>
      <c r="BI954" s="50"/>
      <c r="BJ954" s="50"/>
      <c r="BK954" s="50"/>
      <c r="BL954" s="50"/>
      <c r="BM954" s="50"/>
      <c r="BN954" s="50"/>
      <c r="BO954" s="50"/>
      <c r="BP954" s="50"/>
      <c r="BQ954" s="50"/>
      <c r="BR954" s="50"/>
      <c r="BS954" s="50"/>
      <c r="BT954" s="50"/>
      <c r="BU954" s="50"/>
      <c r="BV954" s="50"/>
      <c r="BW954" s="50"/>
      <c r="BX954" s="50"/>
      <c r="BY954" s="50"/>
      <c r="BZ954" s="50"/>
      <c r="CA954" s="50"/>
      <c r="CB954" s="50"/>
      <c r="CC954" s="50"/>
      <c r="CD954" s="52"/>
      <c r="CE954" s="50"/>
      <c r="CF954" s="50"/>
      <c r="CG954" s="50"/>
      <c r="CH954" s="50"/>
      <c r="CI954" s="50"/>
      <c r="CJ954" s="50"/>
      <c r="CK954" s="50"/>
      <c r="CL954" s="50"/>
      <c r="CM954" s="50"/>
      <c r="CN954" s="50"/>
      <c r="CO954" s="50"/>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c r="DZ954" s="3"/>
      <c r="EA954" s="3"/>
      <c r="EB954" s="3"/>
      <c r="EC954" s="3"/>
      <c r="ED954" s="3"/>
      <c r="EE954" s="3"/>
      <c r="EF954" s="3"/>
      <c r="EG954" s="3"/>
      <c r="EH954" s="3"/>
      <c r="EI954" s="3"/>
      <c r="EJ954" s="3"/>
      <c r="EK954" s="3"/>
      <c r="EL954" s="3"/>
      <c r="EM954" s="3"/>
      <c r="EN954" s="3"/>
      <c r="EO954" s="3"/>
      <c r="EP954" s="3"/>
      <c r="EQ954" s="3"/>
      <c r="ER954" s="3"/>
      <c r="ES954" s="3"/>
      <c r="ET954" s="3"/>
      <c r="EU954" s="3"/>
      <c r="EV954" s="3"/>
      <c r="EW954" s="3"/>
      <c r="EX954" s="3"/>
      <c r="EY954" s="3"/>
      <c r="EZ954" s="3"/>
      <c r="FA954" s="3"/>
      <c r="FB954" s="3"/>
      <c r="FC954" s="3"/>
      <c r="FD954" s="3"/>
      <c r="FE954" s="3"/>
      <c r="FF954" s="3"/>
      <c r="FG954" s="3"/>
      <c r="FH954" s="3"/>
      <c r="FI954" s="3"/>
      <c r="FJ954" s="3"/>
      <c r="FK954" s="3"/>
      <c r="FL954" s="3"/>
      <c r="FM954" s="3"/>
      <c r="FN954" s="3"/>
      <c r="FO954" s="3"/>
      <c r="FP954" s="3"/>
      <c r="FQ954" s="3"/>
      <c r="FR954" s="3"/>
      <c r="FS954" s="3"/>
      <c r="FT954" s="3"/>
      <c r="FU954" s="3"/>
      <c r="FV954" s="3"/>
      <c r="FW954" s="3"/>
      <c r="FX954" s="3"/>
      <c r="FY954" s="3"/>
      <c r="FZ954" s="3"/>
      <c r="GA954" s="3"/>
      <c r="GB954" s="3"/>
      <c r="GC954" s="3"/>
      <c r="GD954" s="3"/>
      <c r="GE954" s="3"/>
      <c r="GF954" s="3"/>
      <c r="GG954" s="3"/>
      <c r="GH954" s="3"/>
      <c r="GI954" s="3"/>
      <c r="GJ954" s="3"/>
      <c r="GK954" s="3"/>
      <c r="GL954" s="3"/>
      <c r="GM954" s="3"/>
      <c r="GN954" s="3"/>
      <c r="GO954" s="3"/>
      <c r="GP954" s="3"/>
      <c r="GQ954" s="3"/>
      <c r="GR954" s="3"/>
      <c r="GS954" s="3"/>
      <c r="GT954" s="3"/>
      <c r="GU954" s="3"/>
      <c r="GV954" s="3"/>
      <c r="GW954" s="3"/>
      <c r="GX954" s="3"/>
      <c r="GY954" s="3"/>
      <c r="GZ954" s="3"/>
      <c r="HA954" s="3"/>
      <c r="HB954" s="3"/>
    </row>
    <row r="955" spans="1:210" ht="15.75" customHeight="1">
      <c r="A955" s="50"/>
      <c r="B955" s="50"/>
      <c r="C955" s="50"/>
      <c r="D955" s="50"/>
      <c r="E955" s="50"/>
      <c r="F955" s="50"/>
      <c r="G955" s="51"/>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c r="AV955" s="50"/>
      <c r="AW955" s="50"/>
      <c r="AX955" s="50"/>
      <c r="AY955" s="50"/>
      <c r="AZ955" s="50"/>
      <c r="BA955" s="50"/>
      <c r="BB955" s="50"/>
      <c r="BC955" s="50"/>
      <c r="BD955" s="50"/>
      <c r="BE955" s="50"/>
      <c r="BF955" s="50"/>
      <c r="BG955" s="50"/>
      <c r="BH955" s="50"/>
      <c r="BI955" s="50"/>
      <c r="BJ955" s="50"/>
      <c r="BK955" s="50"/>
      <c r="BL955" s="50"/>
      <c r="BM955" s="50"/>
      <c r="BN955" s="50"/>
      <c r="BO955" s="50"/>
      <c r="BP955" s="50"/>
      <c r="BQ955" s="50"/>
      <c r="BR955" s="50"/>
      <c r="BS955" s="50"/>
      <c r="BT955" s="50"/>
      <c r="BU955" s="50"/>
      <c r="BV955" s="50"/>
      <c r="BW955" s="50"/>
      <c r="BX955" s="50"/>
      <c r="BY955" s="50"/>
      <c r="BZ955" s="50"/>
      <c r="CA955" s="50"/>
      <c r="CB955" s="50"/>
      <c r="CC955" s="50"/>
      <c r="CD955" s="52"/>
      <c r="CE955" s="50"/>
      <c r="CF955" s="50"/>
      <c r="CG955" s="50"/>
      <c r="CH955" s="50"/>
      <c r="CI955" s="50"/>
      <c r="CJ955" s="50"/>
      <c r="CK955" s="50"/>
      <c r="CL955" s="50"/>
      <c r="CM955" s="50"/>
      <c r="CN955" s="50"/>
      <c r="CO955" s="50"/>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c r="DZ955" s="3"/>
      <c r="EA955" s="3"/>
      <c r="EB955" s="3"/>
      <c r="EC955" s="3"/>
      <c r="ED955" s="3"/>
      <c r="EE955" s="3"/>
      <c r="EF955" s="3"/>
      <c r="EG955" s="3"/>
      <c r="EH955" s="3"/>
      <c r="EI955" s="3"/>
      <c r="EJ955" s="3"/>
      <c r="EK955" s="3"/>
      <c r="EL955" s="3"/>
      <c r="EM955" s="3"/>
      <c r="EN955" s="3"/>
      <c r="EO955" s="3"/>
      <c r="EP955" s="3"/>
      <c r="EQ955" s="3"/>
      <c r="ER955" s="3"/>
      <c r="ES955" s="3"/>
      <c r="ET955" s="3"/>
      <c r="EU955" s="3"/>
      <c r="EV955" s="3"/>
      <c r="EW955" s="3"/>
      <c r="EX955" s="3"/>
      <c r="EY955" s="3"/>
      <c r="EZ955" s="3"/>
      <c r="FA955" s="3"/>
      <c r="FB955" s="3"/>
      <c r="FC955" s="3"/>
      <c r="FD955" s="3"/>
      <c r="FE955" s="3"/>
      <c r="FF955" s="3"/>
      <c r="FG955" s="3"/>
      <c r="FH955" s="3"/>
      <c r="FI955" s="3"/>
      <c r="FJ955" s="3"/>
      <c r="FK955" s="3"/>
      <c r="FL955" s="3"/>
      <c r="FM955" s="3"/>
      <c r="FN955" s="3"/>
      <c r="FO955" s="3"/>
      <c r="FP955" s="3"/>
      <c r="FQ955" s="3"/>
      <c r="FR955" s="3"/>
      <c r="FS955" s="3"/>
      <c r="FT955" s="3"/>
      <c r="FU955" s="3"/>
      <c r="FV955" s="3"/>
      <c r="FW955" s="3"/>
      <c r="FX955" s="3"/>
      <c r="FY955" s="3"/>
      <c r="FZ955" s="3"/>
      <c r="GA955" s="3"/>
      <c r="GB955" s="3"/>
      <c r="GC955" s="3"/>
      <c r="GD955" s="3"/>
      <c r="GE955" s="3"/>
      <c r="GF955" s="3"/>
      <c r="GG955" s="3"/>
      <c r="GH955" s="3"/>
      <c r="GI955" s="3"/>
      <c r="GJ955" s="3"/>
      <c r="GK955" s="3"/>
      <c r="GL955" s="3"/>
      <c r="GM955" s="3"/>
      <c r="GN955" s="3"/>
      <c r="GO955" s="3"/>
      <c r="GP955" s="3"/>
      <c r="GQ955" s="3"/>
      <c r="GR955" s="3"/>
      <c r="GS955" s="3"/>
      <c r="GT955" s="3"/>
      <c r="GU955" s="3"/>
      <c r="GV955" s="3"/>
      <c r="GW955" s="3"/>
      <c r="GX955" s="3"/>
      <c r="GY955" s="3"/>
      <c r="GZ955" s="3"/>
      <c r="HA955" s="3"/>
      <c r="HB955" s="3"/>
    </row>
    <row r="956" spans="1:210" ht="15.75" customHeight="1">
      <c r="A956" s="50"/>
      <c r="B956" s="50"/>
      <c r="C956" s="50"/>
      <c r="D956" s="50"/>
      <c r="E956" s="50"/>
      <c r="F956" s="50"/>
      <c r="G956" s="51"/>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c r="AV956" s="50"/>
      <c r="AW956" s="50"/>
      <c r="AX956" s="50"/>
      <c r="AY956" s="50"/>
      <c r="AZ956" s="50"/>
      <c r="BA956" s="50"/>
      <c r="BB956" s="50"/>
      <c r="BC956" s="50"/>
      <c r="BD956" s="50"/>
      <c r="BE956" s="50"/>
      <c r="BF956" s="50"/>
      <c r="BG956" s="50"/>
      <c r="BH956" s="50"/>
      <c r="BI956" s="50"/>
      <c r="BJ956" s="50"/>
      <c r="BK956" s="50"/>
      <c r="BL956" s="50"/>
      <c r="BM956" s="50"/>
      <c r="BN956" s="50"/>
      <c r="BO956" s="50"/>
      <c r="BP956" s="50"/>
      <c r="BQ956" s="50"/>
      <c r="BR956" s="50"/>
      <c r="BS956" s="50"/>
      <c r="BT956" s="50"/>
      <c r="BU956" s="50"/>
      <c r="BV956" s="50"/>
      <c r="BW956" s="50"/>
      <c r="BX956" s="50"/>
      <c r="BY956" s="50"/>
      <c r="BZ956" s="50"/>
      <c r="CA956" s="50"/>
      <c r="CB956" s="50"/>
      <c r="CC956" s="50"/>
      <c r="CD956" s="52"/>
      <c r="CE956" s="50"/>
      <c r="CF956" s="50"/>
      <c r="CG956" s="50"/>
      <c r="CH956" s="50"/>
      <c r="CI956" s="50"/>
      <c r="CJ956" s="50"/>
      <c r="CK956" s="50"/>
      <c r="CL956" s="50"/>
      <c r="CM956" s="50"/>
      <c r="CN956" s="50"/>
      <c r="CO956" s="50"/>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c r="DZ956" s="3"/>
      <c r="EA956" s="3"/>
      <c r="EB956" s="3"/>
      <c r="EC956" s="3"/>
      <c r="ED956" s="3"/>
      <c r="EE956" s="3"/>
      <c r="EF956" s="3"/>
      <c r="EG956" s="3"/>
      <c r="EH956" s="3"/>
      <c r="EI956" s="3"/>
      <c r="EJ956" s="3"/>
      <c r="EK956" s="3"/>
      <c r="EL956" s="3"/>
      <c r="EM956" s="3"/>
      <c r="EN956" s="3"/>
      <c r="EO956" s="3"/>
      <c r="EP956" s="3"/>
      <c r="EQ956" s="3"/>
      <c r="ER956" s="3"/>
      <c r="ES956" s="3"/>
      <c r="ET956" s="3"/>
      <c r="EU956" s="3"/>
      <c r="EV956" s="3"/>
      <c r="EW956" s="3"/>
      <c r="EX956" s="3"/>
      <c r="EY956" s="3"/>
      <c r="EZ956" s="3"/>
      <c r="FA956" s="3"/>
      <c r="FB956" s="3"/>
      <c r="FC956" s="3"/>
      <c r="FD956" s="3"/>
      <c r="FE956" s="3"/>
      <c r="FF956" s="3"/>
      <c r="FG956" s="3"/>
      <c r="FH956" s="3"/>
      <c r="FI956" s="3"/>
      <c r="FJ956" s="3"/>
      <c r="FK956" s="3"/>
      <c r="FL956" s="3"/>
      <c r="FM956" s="3"/>
      <c r="FN956" s="3"/>
      <c r="FO956" s="3"/>
      <c r="FP956" s="3"/>
      <c r="FQ956" s="3"/>
      <c r="FR956" s="3"/>
      <c r="FS956" s="3"/>
      <c r="FT956" s="3"/>
      <c r="FU956" s="3"/>
      <c r="FV956" s="3"/>
      <c r="FW956" s="3"/>
      <c r="FX956" s="3"/>
      <c r="FY956" s="3"/>
      <c r="FZ956" s="3"/>
      <c r="GA956" s="3"/>
      <c r="GB956" s="3"/>
      <c r="GC956" s="3"/>
      <c r="GD956" s="3"/>
      <c r="GE956" s="3"/>
      <c r="GF956" s="3"/>
      <c r="GG956" s="3"/>
      <c r="GH956" s="3"/>
      <c r="GI956" s="3"/>
      <c r="GJ956" s="3"/>
      <c r="GK956" s="3"/>
      <c r="GL956" s="3"/>
      <c r="GM956" s="3"/>
      <c r="GN956" s="3"/>
      <c r="GO956" s="3"/>
      <c r="GP956" s="3"/>
      <c r="GQ956" s="3"/>
      <c r="GR956" s="3"/>
      <c r="GS956" s="3"/>
      <c r="GT956" s="3"/>
      <c r="GU956" s="3"/>
      <c r="GV956" s="3"/>
      <c r="GW956" s="3"/>
      <c r="GX956" s="3"/>
      <c r="GY956" s="3"/>
      <c r="GZ956" s="3"/>
      <c r="HA956" s="3"/>
      <c r="HB956" s="3"/>
    </row>
    <row r="957" spans="1:210" ht="15.75" customHeight="1">
      <c r="A957" s="50"/>
      <c r="B957" s="50"/>
      <c r="C957" s="50"/>
      <c r="D957" s="50"/>
      <c r="E957" s="50"/>
      <c r="F957" s="50"/>
      <c r="G957" s="51"/>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c r="AV957" s="50"/>
      <c r="AW957" s="50"/>
      <c r="AX957" s="50"/>
      <c r="AY957" s="50"/>
      <c r="AZ957" s="50"/>
      <c r="BA957" s="50"/>
      <c r="BB957" s="50"/>
      <c r="BC957" s="50"/>
      <c r="BD957" s="50"/>
      <c r="BE957" s="50"/>
      <c r="BF957" s="50"/>
      <c r="BG957" s="50"/>
      <c r="BH957" s="50"/>
      <c r="BI957" s="50"/>
      <c r="BJ957" s="50"/>
      <c r="BK957" s="50"/>
      <c r="BL957" s="50"/>
      <c r="BM957" s="50"/>
      <c r="BN957" s="50"/>
      <c r="BO957" s="50"/>
      <c r="BP957" s="50"/>
      <c r="BQ957" s="50"/>
      <c r="BR957" s="50"/>
      <c r="BS957" s="50"/>
      <c r="BT957" s="50"/>
      <c r="BU957" s="50"/>
      <c r="BV957" s="50"/>
      <c r="BW957" s="50"/>
      <c r="BX957" s="50"/>
      <c r="BY957" s="50"/>
      <c r="BZ957" s="50"/>
      <c r="CA957" s="50"/>
      <c r="CB957" s="50"/>
      <c r="CC957" s="50"/>
      <c r="CD957" s="52"/>
      <c r="CE957" s="50"/>
      <c r="CF957" s="50"/>
      <c r="CG957" s="50"/>
      <c r="CH957" s="50"/>
      <c r="CI957" s="50"/>
      <c r="CJ957" s="50"/>
      <c r="CK957" s="50"/>
      <c r="CL957" s="50"/>
      <c r="CM957" s="50"/>
      <c r="CN957" s="50"/>
      <c r="CO957" s="50"/>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c r="DZ957" s="3"/>
      <c r="EA957" s="3"/>
      <c r="EB957" s="3"/>
      <c r="EC957" s="3"/>
      <c r="ED957" s="3"/>
      <c r="EE957" s="3"/>
      <c r="EF957" s="3"/>
      <c r="EG957" s="3"/>
      <c r="EH957" s="3"/>
      <c r="EI957" s="3"/>
      <c r="EJ957" s="3"/>
      <c r="EK957" s="3"/>
      <c r="EL957" s="3"/>
      <c r="EM957" s="3"/>
      <c r="EN957" s="3"/>
      <c r="EO957" s="3"/>
      <c r="EP957" s="3"/>
      <c r="EQ957" s="3"/>
      <c r="ER957" s="3"/>
      <c r="ES957" s="3"/>
      <c r="ET957" s="3"/>
      <c r="EU957" s="3"/>
      <c r="EV957" s="3"/>
      <c r="EW957" s="3"/>
      <c r="EX957" s="3"/>
      <c r="EY957" s="3"/>
      <c r="EZ957" s="3"/>
      <c r="FA957" s="3"/>
      <c r="FB957" s="3"/>
      <c r="FC957" s="3"/>
      <c r="FD957" s="3"/>
      <c r="FE957" s="3"/>
      <c r="FF957" s="3"/>
      <c r="FG957" s="3"/>
      <c r="FH957" s="3"/>
      <c r="FI957" s="3"/>
      <c r="FJ957" s="3"/>
      <c r="FK957" s="3"/>
      <c r="FL957" s="3"/>
      <c r="FM957" s="3"/>
      <c r="FN957" s="3"/>
      <c r="FO957" s="3"/>
      <c r="FP957" s="3"/>
      <c r="FQ957" s="3"/>
      <c r="FR957" s="3"/>
      <c r="FS957" s="3"/>
      <c r="FT957" s="3"/>
      <c r="FU957" s="3"/>
      <c r="FV957" s="3"/>
      <c r="FW957" s="3"/>
      <c r="FX957" s="3"/>
      <c r="FY957" s="3"/>
      <c r="FZ957" s="3"/>
      <c r="GA957" s="3"/>
      <c r="GB957" s="3"/>
      <c r="GC957" s="3"/>
      <c r="GD957" s="3"/>
      <c r="GE957" s="3"/>
      <c r="GF957" s="3"/>
      <c r="GG957" s="3"/>
      <c r="GH957" s="3"/>
      <c r="GI957" s="3"/>
      <c r="GJ957" s="3"/>
      <c r="GK957" s="3"/>
      <c r="GL957" s="3"/>
      <c r="GM957" s="3"/>
      <c r="GN957" s="3"/>
      <c r="GO957" s="3"/>
      <c r="GP957" s="3"/>
      <c r="GQ957" s="3"/>
      <c r="GR957" s="3"/>
      <c r="GS957" s="3"/>
      <c r="GT957" s="3"/>
      <c r="GU957" s="3"/>
      <c r="GV957" s="3"/>
      <c r="GW957" s="3"/>
      <c r="GX957" s="3"/>
      <c r="GY957" s="3"/>
      <c r="GZ957" s="3"/>
      <c r="HA957" s="3"/>
      <c r="HB957" s="3"/>
    </row>
    <row r="958" spans="1:210" ht="15.75" customHeight="1">
      <c r="A958" s="50"/>
      <c r="B958" s="50"/>
      <c r="C958" s="50"/>
      <c r="D958" s="50"/>
      <c r="E958" s="50"/>
      <c r="F958" s="50"/>
      <c r="G958" s="51"/>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c r="AV958" s="50"/>
      <c r="AW958" s="50"/>
      <c r="AX958" s="50"/>
      <c r="AY958" s="50"/>
      <c r="AZ958" s="50"/>
      <c r="BA958" s="50"/>
      <c r="BB958" s="50"/>
      <c r="BC958" s="50"/>
      <c r="BD958" s="50"/>
      <c r="BE958" s="50"/>
      <c r="BF958" s="50"/>
      <c r="BG958" s="50"/>
      <c r="BH958" s="50"/>
      <c r="BI958" s="50"/>
      <c r="BJ958" s="50"/>
      <c r="BK958" s="50"/>
      <c r="BL958" s="50"/>
      <c r="BM958" s="50"/>
      <c r="BN958" s="50"/>
      <c r="BO958" s="50"/>
      <c r="BP958" s="50"/>
      <c r="BQ958" s="50"/>
      <c r="BR958" s="50"/>
      <c r="BS958" s="50"/>
      <c r="BT958" s="50"/>
      <c r="BU958" s="50"/>
      <c r="BV958" s="50"/>
      <c r="BW958" s="50"/>
      <c r="BX958" s="50"/>
      <c r="BY958" s="50"/>
      <c r="BZ958" s="50"/>
      <c r="CA958" s="50"/>
      <c r="CB958" s="50"/>
      <c r="CC958" s="50"/>
      <c r="CD958" s="52"/>
      <c r="CE958" s="50"/>
      <c r="CF958" s="50"/>
      <c r="CG958" s="50"/>
      <c r="CH958" s="50"/>
      <c r="CI958" s="50"/>
      <c r="CJ958" s="50"/>
      <c r="CK958" s="50"/>
      <c r="CL958" s="50"/>
      <c r="CM958" s="50"/>
      <c r="CN958" s="50"/>
      <c r="CO958" s="50"/>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c r="DZ958" s="3"/>
      <c r="EA958" s="3"/>
      <c r="EB958" s="3"/>
      <c r="EC958" s="3"/>
      <c r="ED958" s="3"/>
      <c r="EE958" s="3"/>
      <c r="EF958" s="3"/>
      <c r="EG958" s="3"/>
      <c r="EH958" s="3"/>
      <c r="EI958" s="3"/>
      <c r="EJ958" s="3"/>
      <c r="EK958" s="3"/>
      <c r="EL958" s="3"/>
      <c r="EM958" s="3"/>
      <c r="EN958" s="3"/>
      <c r="EO958" s="3"/>
      <c r="EP958" s="3"/>
      <c r="EQ958" s="3"/>
      <c r="ER958" s="3"/>
      <c r="ES958" s="3"/>
      <c r="ET958" s="3"/>
      <c r="EU958" s="3"/>
      <c r="EV958" s="3"/>
      <c r="EW958" s="3"/>
      <c r="EX958" s="3"/>
      <c r="EY958" s="3"/>
      <c r="EZ958" s="3"/>
      <c r="FA958" s="3"/>
      <c r="FB958" s="3"/>
      <c r="FC958" s="3"/>
      <c r="FD958" s="3"/>
      <c r="FE958" s="3"/>
      <c r="FF958" s="3"/>
      <c r="FG958" s="3"/>
      <c r="FH958" s="3"/>
      <c r="FI958" s="3"/>
      <c r="FJ958" s="3"/>
      <c r="FK958" s="3"/>
      <c r="FL958" s="3"/>
      <c r="FM958" s="3"/>
      <c r="FN958" s="3"/>
      <c r="FO958" s="3"/>
      <c r="FP958" s="3"/>
      <c r="FQ958" s="3"/>
      <c r="FR958" s="3"/>
      <c r="FS958" s="3"/>
      <c r="FT958" s="3"/>
      <c r="FU958" s="3"/>
      <c r="FV958" s="3"/>
      <c r="FW958" s="3"/>
      <c r="FX958" s="3"/>
      <c r="FY958" s="3"/>
      <c r="FZ958" s="3"/>
      <c r="GA958" s="3"/>
      <c r="GB958" s="3"/>
      <c r="GC958" s="3"/>
      <c r="GD958" s="3"/>
      <c r="GE958" s="3"/>
      <c r="GF958" s="3"/>
      <c r="GG958" s="3"/>
      <c r="GH958" s="3"/>
      <c r="GI958" s="3"/>
      <c r="GJ958" s="3"/>
      <c r="GK958" s="3"/>
      <c r="GL958" s="3"/>
      <c r="GM958" s="3"/>
      <c r="GN958" s="3"/>
      <c r="GO958" s="3"/>
      <c r="GP958" s="3"/>
      <c r="GQ958" s="3"/>
      <c r="GR958" s="3"/>
      <c r="GS958" s="3"/>
      <c r="GT958" s="3"/>
      <c r="GU958" s="3"/>
      <c r="GV958" s="3"/>
      <c r="GW958" s="3"/>
      <c r="GX958" s="3"/>
      <c r="GY958" s="3"/>
      <c r="GZ958" s="3"/>
      <c r="HA958" s="3"/>
      <c r="HB958" s="3"/>
    </row>
    <row r="959" spans="1:210" ht="15.75" customHeight="1">
      <c r="A959" s="50"/>
      <c r="B959" s="50"/>
      <c r="C959" s="50"/>
      <c r="D959" s="50"/>
      <c r="E959" s="50"/>
      <c r="F959" s="50"/>
      <c r="G959" s="51"/>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c r="AV959" s="50"/>
      <c r="AW959" s="50"/>
      <c r="AX959" s="50"/>
      <c r="AY959" s="50"/>
      <c r="AZ959" s="50"/>
      <c r="BA959" s="50"/>
      <c r="BB959" s="50"/>
      <c r="BC959" s="50"/>
      <c r="BD959" s="50"/>
      <c r="BE959" s="50"/>
      <c r="BF959" s="50"/>
      <c r="BG959" s="50"/>
      <c r="BH959" s="50"/>
      <c r="BI959" s="50"/>
      <c r="BJ959" s="50"/>
      <c r="BK959" s="50"/>
      <c r="BL959" s="50"/>
      <c r="BM959" s="50"/>
      <c r="BN959" s="50"/>
      <c r="BO959" s="50"/>
      <c r="BP959" s="50"/>
      <c r="BQ959" s="50"/>
      <c r="BR959" s="50"/>
      <c r="BS959" s="50"/>
      <c r="BT959" s="50"/>
      <c r="BU959" s="50"/>
      <c r="BV959" s="50"/>
      <c r="BW959" s="50"/>
      <c r="BX959" s="50"/>
      <c r="BY959" s="50"/>
      <c r="BZ959" s="50"/>
      <c r="CA959" s="50"/>
      <c r="CB959" s="50"/>
      <c r="CC959" s="50"/>
      <c r="CD959" s="52"/>
      <c r="CE959" s="50"/>
      <c r="CF959" s="50"/>
      <c r="CG959" s="50"/>
      <c r="CH959" s="50"/>
      <c r="CI959" s="50"/>
      <c r="CJ959" s="50"/>
      <c r="CK959" s="50"/>
      <c r="CL959" s="50"/>
      <c r="CM959" s="50"/>
      <c r="CN959" s="50"/>
      <c r="CO959" s="50"/>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c r="DZ959" s="3"/>
      <c r="EA959" s="3"/>
      <c r="EB959" s="3"/>
      <c r="EC959" s="3"/>
      <c r="ED959" s="3"/>
      <c r="EE959" s="3"/>
      <c r="EF959" s="3"/>
      <c r="EG959" s="3"/>
      <c r="EH959" s="3"/>
      <c r="EI959" s="3"/>
      <c r="EJ959" s="3"/>
      <c r="EK959" s="3"/>
      <c r="EL959" s="3"/>
      <c r="EM959" s="3"/>
      <c r="EN959" s="3"/>
      <c r="EO959" s="3"/>
      <c r="EP959" s="3"/>
      <c r="EQ959" s="3"/>
      <c r="ER959" s="3"/>
      <c r="ES959" s="3"/>
      <c r="ET959" s="3"/>
      <c r="EU959" s="3"/>
      <c r="EV959" s="3"/>
      <c r="EW959" s="3"/>
      <c r="EX959" s="3"/>
      <c r="EY959" s="3"/>
      <c r="EZ959" s="3"/>
      <c r="FA959" s="3"/>
      <c r="FB959" s="3"/>
      <c r="FC959" s="3"/>
      <c r="FD959" s="3"/>
      <c r="FE959" s="3"/>
      <c r="FF959" s="3"/>
      <c r="FG959" s="3"/>
      <c r="FH959" s="3"/>
      <c r="FI959" s="3"/>
      <c r="FJ959" s="3"/>
      <c r="FK959" s="3"/>
      <c r="FL959" s="3"/>
      <c r="FM959" s="3"/>
      <c r="FN959" s="3"/>
      <c r="FO959" s="3"/>
      <c r="FP959" s="3"/>
      <c r="FQ959" s="3"/>
      <c r="FR959" s="3"/>
      <c r="FS959" s="3"/>
      <c r="FT959" s="3"/>
      <c r="FU959" s="3"/>
      <c r="FV959" s="3"/>
      <c r="FW959" s="3"/>
      <c r="FX959" s="3"/>
      <c r="FY959" s="3"/>
      <c r="FZ959" s="3"/>
      <c r="GA959" s="3"/>
      <c r="GB959" s="3"/>
      <c r="GC959" s="3"/>
      <c r="GD959" s="3"/>
      <c r="GE959" s="3"/>
      <c r="GF959" s="3"/>
      <c r="GG959" s="3"/>
      <c r="GH959" s="3"/>
      <c r="GI959" s="3"/>
      <c r="GJ959" s="3"/>
      <c r="GK959" s="3"/>
      <c r="GL959" s="3"/>
      <c r="GM959" s="3"/>
      <c r="GN959" s="3"/>
      <c r="GO959" s="3"/>
      <c r="GP959" s="3"/>
      <c r="GQ959" s="3"/>
      <c r="GR959" s="3"/>
      <c r="GS959" s="3"/>
      <c r="GT959" s="3"/>
      <c r="GU959" s="3"/>
      <c r="GV959" s="3"/>
      <c r="GW959" s="3"/>
      <c r="GX959" s="3"/>
      <c r="GY959" s="3"/>
      <c r="GZ959" s="3"/>
      <c r="HA959" s="3"/>
      <c r="HB959" s="3"/>
    </row>
    <row r="960" spans="1:210" ht="15.75" customHeight="1">
      <c r="A960" s="50"/>
      <c r="B960" s="50"/>
      <c r="C960" s="50"/>
      <c r="D960" s="50"/>
      <c r="E960" s="50"/>
      <c r="F960" s="50"/>
      <c r="G960" s="51"/>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c r="AV960" s="50"/>
      <c r="AW960" s="50"/>
      <c r="AX960" s="50"/>
      <c r="AY960" s="50"/>
      <c r="AZ960" s="50"/>
      <c r="BA960" s="50"/>
      <c r="BB960" s="50"/>
      <c r="BC960" s="50"/>
      <c r="BD960" s="50"/>
      <c r="BE960" s="50"/>
      <c r="BF960" s="50"/>
      <c r="BG960" s="50"/>
      <c r="BH960" s="50"/>
      <c r="BI960" s="50"/>
      <c r="BJ960" s="50"/>
      <c r="BK960" s="50"/>
      <c r="BL960" s="50"/>
      <c r="BM960" s="50"/>
      <c r="BN960" s="50"/>
      <c r="BO960" s="50"/>
      <c r="BP960" s="50"/>
      <c r="BQ960" s="50"/>
      <c r="BR960" s="50"/>
      <c r="BS960" s="50"/>
      <c r="BT960" s="50"/>
      <c r="BU960" s="50"/>
      <c r="BV960" s="50"/>
      <c r="BW960" s="50"/>
      <c r="BX960" s="50"/>
      <c r="BY960" s="50"/>
      <c r="BZ960" s="50"/>
      <c r="CA960" s="50"/>
      <c r="CB960" s="50"/>
      <c r="CC960" s="50"/>
      <c r="CD960" s="52"/>
      <c r="CE960" s="50"/>
      <c r="CF960" s="50"/>
      <c r="CG960" s="50"/>
      <c r="CH960" s="50"/>
      <c r="CI960" s="50"/>
      <c r="CJ960" s="50"/>
      <c r="CK960" s="50"/>
      <c r="CL960" s="50"/>
      <c r="CM960" s="50"/>
      <c r="CN960" s="50"/>
      <c r="CO960" s="50"/>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c r="DZ960" s="3"/>
      <c r="EA960" s="3"/>
      <c r="EB960" s="3"/>
      <c r="EC960" s="3"/>
      <c r="ED960" s="3"/>
      <c r="EE960" s="3"/>
      <c r="EF960" s="3"/>
      <c r="EG960" s="3"/>
      <c r="EH960" s="3"/>
      <c r="EI960" s="3"/>
      <c r="EJ960" s="3"/>
      <c r="EK960" s="3"/>
      <c r="EL960" s="3"/>
      <c r="EM960" s="3"/>
      <c r="EN960" s="3"/>
      <c r="EO960" s="3"/>
      <c r="EP960" s="3"/>
      <c r="EQ960" s="3"/>
      <c r="ER960" s="3"/>
      <c r="ES960" s="3"/>
      <c r="ET960" s="3"/>
      <c r="EU960" s="3"/>
      <c r="EV960" s="3"/>
      <c r="EW960" s="3"/>
      <c r="EX960" s="3"/>
      <c r="EY960" s="3"/>
      <c r="EZ960" s="3"/>
      <c r="FA960" s="3"/>
      <c r="FB960" s="3"/>
      <c r="FC960" s="3"/>
      <c r="FD960" s="3"/>
      <c r="FE960" s="3"/>
      <c r="FF960" s="3"/>
      <c r="FG960" s="3"/>
      <c r="FH960" s="3"/>
      <c r="FI960" s="3"/>
      <c r="FJ960" s="3"/>
      <c r="FK960" s="3"/>
      <c r="FL960" s="3"/>
      <c r="FM960" s="3"/>
      <c r="FN960" s="3"/>
      <c r="FO960" s="3"/>
      <c r="FP960" s="3"/>
      <c r="FQ960" s="3"/>
      <c r="FR960" s="3"/>
      <c r="FS960" s="3"/>
      <c r="FT960" s="3"/>
      <c r="FU960" s="3"/>
      <c r="FV960" s="3"/>
      <c r="FW960" s="3"/>
      <c r="FX960" s="3"/>
      <c r="FY960" s="3"/>
      <c r="FZ960" s="3"/>
      <c r="GA960" s="3"/>
      <c r="GB960" s="3"/>
      <c r="GC960" s="3"/>
      <c r="GD960" s="3"/>
      <c r="GE960" s="3"/>
      <c r="GF960" s="3"/>
      <c r="GG960" s="3"/>
      <c r="GH960" s="3"/>
      <c r="GI960" s="3"/>
      <c r="GJ960" s="3"/>
      <c r="GK960" s="3"/>
      <c r="GL960" s="3"/>
      <c r="GM960" s="3"/>
      <c r="GN960" s="3"/>
      <c r="GO960" s="3"/>
      <c r="GP960" s="3"/>
      <c r="GQ960" s="3"/>
      <c r="GR960" s="3"/>
      <c r="GS960" s="3"/>
      <c r="GT960" s="3"/>
      <c r="GU960" s="3"/>
      <c r="GV960" s="3"/>
      <c r="GW960" s="3"/>
      <c r="GX960" s="3"/>
      <c r="GY960" s="3"/>
      <c r="GZ960" s="3"/>
      <c r="HA960" s="3"/>
      <c r="HB960" s="3"/>
    </row>
    <row r="961" spans="1:210" ht="15.75" customHeight="1">
      <c r="A961" s="50"/>
      <c r="B961" s="50"/>
      <c r="C961" s="50"/>
      <c r="D961" s="50"/>
      <c r="E961" s="50"/>
      <c r="F961" s="50"/>
      <c r="G961" s="51"/>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c r="AV961" s="50"/>
      <c r="AW961" s="50"/>
      <c r="AX961" s="50"/>
      <c r="AY961" s="50"/>
      <c r="AZ961" s="50"/>
      <c r="BA961" s="50"/>
      <c r="BB961" s="50"/>
      <c r="BC961" s="50"/>
      <c r="BD961" s="50"/>
      <c r="BE961" s="50"/>
      <c r="BF961" s="50"/>
      <c r="BG961" s="50"/>
      <c r="BH961" s="50"/>
      <c r="BI961" s="50"/>
      <c r="BJ961" s="50"/>
      <c r="BK961" s="50"/>
      <c r="BL961" s="50"/>
      <c r="BM961" s="50"/>
      <c r="BN961" s="50"/>
      <c r="BO961" s="50"/>
      <c r="BP961" s="50"/>
      <c r="BQ961" s="50"/>
      <c r="BR961" s="50"/>
      <c r="BS961" s="50"/>
      <c r="BT961" s="50"/>
      <c r="BU961" s="50"/>
      <c r="BV961" s="50"/>
      <c r="BW961" s="50"/>
      <c r="BX961" s="50"/>
      <c r="BY961" s="50"/>
      <c r="BZ961" s="50"/>
      <c r="CA961" s="50"/>
      <c r="CB961" s="50"/>
      <c r="CC961" s="50"/>
      <c r="CD961" s="52"/>
      <c r="CE961" s="50"/>
      <c r="CF961" s="50"/>
      <c r="CG961" s="50"/>
      <c r="CH961" s="50"/>
      <c r="CI961" s="50"/>
      <c r="CJ961" s="50"/>
      <c r="CK961" s="50"/>
      <c r="CL961" s="50"/>
      <c r="CM961" s="50"/>
      <c r="CN961" s="50"/>
      <c r="CO961" s="50"/>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c r="DZ961" s="3"/>
      <c r="EA961" s="3"/>
      <c r="EB961" s="3"/>
      <c r="EC961" s="3"/>
      <c r="ED961" s="3"/>
      <c r="EE961" s="3"/>
      <c r="EF961" s="3"/>
      <c r="EG961" s="3"/>
      <c r="EH961" s="3"/>
      <c r="EI961" s="3"/>
      <c r="EJ961" s="3"/>
      <c r="EK961" s="3"/>
      <c r="EL961" s="3"/>
      <c r="EM961" s="3"/>
      <c r="EN961" s="3"/>
      <c r="EO961" s="3"/>
      <c r="EP961" s="3"/>
      <c r="EQ961" s="3"/>
      <c r="ER961" s="3"/>
      <c r="ES961" s="3"/>
      <c r="ET961" s="3"/>
      <c r="EU961" s="3"/>
      <c r="EV961" s="3"/>
      <c r="EW961" s="3"/>
      <c r="EX961" s="3"/>
      <c r="EY961" s="3"/>
      <c r="EZ961" s="3"/>
      <c r="FA961" s="3"/>
      <c r="FB961" s="3"/>
      <c r="FC961" s="3"/>
      <c r="FD961" s="3"/>
      <c r="FE961" s="3"/>
      <c r="FF961" s="3"/>
      <c r="FG961" s="3"/>
      <c r="FH961" s="3"/>
      <c r="FI961" s="3"/>
      <c r="FJ961" s="3"/>
      <c r="FK961" s="3"/>
      <c r="FL961" s="3"/>
      <c r="FM961" s="3"/>
      <c r="FN961" s="3"/>
      <c r="FO961" s="3"/>
      <c r="FP961" s="3"/>
      <c r="FQ961" s="3"/>
      <c r="FR961" s="3"/>
      <c r="FS961" s="3"/>
      <c r="FT961" s="3"/>
      <c r="FU961" s="3"/>
      <c r="FV961" s="3"/>
      <c r="FW961" s="3"/>
      <c r="FX961" s="3"/>
      <c r="FY961" s="3"/>
      <c r="FZ961" s="3"/>
      <c r="GA961" s="3"/>
      <c r="GB961" s="3"/>
      <c r="GC961" s="3"/>
      <c r="GD961" s="3"/>
      <c r="GE961" s="3"/>
      <c r="GF961" s="3"/>
      <c r="GG961" s="3"/>
      <c r="GH961" s="3"/>
      <c r="GI961" s="3"/>
      <c r="GJ961" s="3"/>
      <c r="GK961" s="3"/>
      <c r="GL961" s="3"/>
      <c r="GM961" s="3"/>
      <c r="GN961" s="3"/>
      <c r="GO961" s="3"/>
      <c r="GP961" s="3"/>
      <c r="GQ961" s="3"/>
      <c r="GR961" s="3"/>
      <c r="GS961" s="3"/>
      <c r="GT961" s="3"/>
      <c r="GU961" s="3"/>
      <c r="GV961" s="3"/>
      <c r="GW961" s="3"/>
      <c r="GX961" s="3"/>
      <c r="GY961" s="3"/>
      <c r="GZ961" s="3"/>
      <c r="HA961" s="3"/>
      <c r="HB961" s="3"/>
    </row>
    <row r="962" spans="1:210" ht="15.75" customHeight="1">
      <c r="A962" s="50"/>
      <c r="B962" s="50"/>
      <c r="C962" s="50"/>
      <c r="D962" s="50"/>
      <c r="E962" s="50"/>
      <c r="F962" s="50"/>
      <c r="G962" s="51"/>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c r="AY962" s="50"/>
      <c r="AZ962" s="50"/>
      <c r="BA962" s="50"/>
      <c r="BB962" s="50"/>
      <c r="BC962" s="50"/>
      <c r="BD962" s="50"/>
      <c r="BE962" s="50"/>
      <c r="BF962" s="50"/>
      <c r="BG962" s="50"/>
      <c r="BH962" s="50"/>
      <c r="BI962" s="50"/>
      <c r="BJ962" s="50"/>
      <c r="BK962" s="50"/>
      <c r="BL962" s="50"/>
      <c r="BM962" s="50"/>
      <c r="BN962" s="50"/>
      <c r="BO962" s="50"/>
      <c r="BP962" s="50"/>
      <c r="BQ962" s="50"/>
      <c r="BR962" s="50"/>
      <c r="BS962" s="50"/>
      <c r="BT962" s="50"/>
      <c r="BU962" s="50"/>
      <c r="BV962" s="50"/>
      <c r="BW962" s="50"/>
      <c r="BX962" s="50"/>
      <c r="BY962" s="50"/>
      <c r="BZ962" s="50"/>
      <c r="CA962" s="50"/>
      <c r="CB962" s="50"/>
      <c r="CC962" s="50"/>
      <c r="CD962" s="52"/>
      <c r="CE962" s="50"/>
      <c r="CF962" s="50"/>
      <c r="CG962" s="50"/>
      <c r="CH962" s="50"/>
      <c r="CI962" s="50"/>
      <c r="CJ962" s="50"/>
      <c r="CK962" s="50"/>
      <c r="CL962" s="50"/>
      <c r="CM962" s="50"/>
      <c r="CN962" s="50"/>
      <c r="CO962" s="50"/>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c r="DZ962" s="3"/>
      <c r="EA962" s="3"/>
      <c r="EB962" s="3"/>
      <c r="EC962" s="3"/>
      <c r="ED962" s="3"/>
      <c r="EE962" s="3"/>
      <c r="EF962" s="3"/>
      <c r="EG962" s="3"/>
      <c r="EH962" s="3"/>
      <c r="EI962" s="3"/>
      <c r="EJ962" s="3"/>
      <c r="EK962" s="3"/>
      <c r="EL962" s="3"/>
      <c r="EM962" s="3"/>
      <c r="EN962" s="3"/>
      <c r="EO962" s="3"/>
      <c r="EP962" s="3"/>
      <c r="EQ962" s="3"/>
      <c r="ER962" s="3"/>
      <c r="ES962" s="3"/>
      <c r="ET962" s="3"/>
      <c r="EU962" s="3"/>
      <c r="EV962" s="3"/>
      <c r="EW962" s="3"/>
      <c r="EX962" s="3"/>
      <c r="EY962" s="3"/>
      <c r="EZ962" s="3"/>
      <c r="FA962" s="3"/>
      <c r="FB962" s="3"/>
      <c r="FC962" s="3"/>
      <c r="FD962" s="3"/>
      <c r="FE962" s="3"/>
      <c r="FF962" s="3"/>
      <c r="FG962" s="3"/>
      <c r="FH962" s="3"/>
      <c r="FI962" s="3"/>
      <c r="FJ962" s="3"/>
      <c r="FK962" s="3"/>
      <c r="FL962" s="3"/>
      <c r="FM962" s="3"/>
      <c r="FN962" s="3"/>
      <c r="FO962" s="3"/>
      <c r="FP962" s="3"/>
      <c r="FQ962" s="3"/>
      <c r="FR962" s="3"/>
      <c r="FS962" s="3"/>
      <c r="FT962" s="3"/>
      <c r="FU962" s="3"/>
      <c r="FV962" s="3"/>
      <c r="FW962" s="3"/>
      <c r="FX962" s="3"/>
      <c r="FY962" s="3"/>
      <c r="FZ962" s="3"/>
      <c r="GA962" s="3"/>
      <c r="GB962" s="3"/>
      <c r="GC962" s="3"/>
      <c r="GD962" s="3"/>
      <c r="GE962" s="3"/>
      <c r="GF962" s="3"/>
      <c r="GG962" s="3"/>
      <c r="GH962" s="3"/>
      <c r="GI962" s="3"/>
      <c r="GJ962" s="3"/>
      <c r="GK962" s="3"/>
      <c r="GL962" s="3"/>
      <c r="GM962" s="3"/>
      <c r="GN962" s="3"/>
      <c r="GO962" s="3"/>
      <c r="GP962" s="3"/>
      <c r="GQ962" s="3"/>
      <c r="GR962" s="3"/>
      <c r="GS962" s="3"/>
      <c r="GT962" s="3"/>
      <c r="GU962" s="3"/>
      <c r="GV962" s="3"/>
      <c r="GW962" s="3"/>
      <c r="GX962" s="3"/>
      <c r="GY962" s="3"/>
      <c r="GZ962" s="3"/>
      <c r="HA962" s="3"/>
      <c r="HB962" s="3"/>
    </row>
    <row r="963" spans="1:210" ht="15.75" customHeight="1">
      <c r="A963" s="50"/>
      <c r="B963" s="50"/>
      <c r="C963" s="50"/>
      <c r="D963" s="50"/>
      <c r="E963" s="50"/>
      <c r="F963" s="50"/>
      <c r="G963" s="51"/>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c r="AV963" s="50"/>
      <c r="AW963" s="50"/>
      <c r="AX963" s="50"/>
      <c r="AY963" s="50"/>
      <c r="AZ963" s="50"/>
      <c r="BA963" s="50"/>
      <c r="BB963" s="50"/>
      <c r="BC963" s="50"/>
      <c r="BD963" s="50"/>
      <c r="BE963" s="50"/>
      <c r="BF963" s="50"/>
      <c r="BG963" s="50"/>
      <c r="BH963" s="50"/>
      <c r="BI963" s="50"/>
      <c r="BJ963" s="50"/>
      <c r="BK963" s="50"/>
      <c r="BL963" s="50"/>
      <c r="BM963" s="50"/>
      <c r="BN963" s="50"/>
      <c r="BO963" s="50"/>
      <c r="BP963" s="50"/>
      <c r="BQ963" s="50"/>
      <c r="BR963" s="50"/>
      <c r="BS963" s="50"/>
      <c r="BT963" s="50"/>
      <c r="BU963" s="50"/>
      <c r="BV963" s="50"/>
      <c r="BW963" s="50"/>
      <c r="BX963" s="50"/>
      <c r="BY963" s="50"/>
      <c r="BZ963" s="50"/>
      <c r="CA963" s="50"/>
      <c r="CB963" s="50"/>
      <c r="CC963" s="50"/>
      <c r="CD963" s="52"/>
      <c r="CE963" s="50"/>
      <c r="CF963" s="50"/>
      <c r="CG963" s="50"/>
      <c r="CH963" s="50"/>
      <c r="CI963" s="50"/>
      <c r="CJ963" s="50"/>
      <c r="CK963" s="50"/>
      <c r="CL963" s="50"/>
      <c r="CM963" s="50"/>
      <c r="CN963" s="50"/>
      <c r="CO963" s="50"/>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c r="DZ963" s="3"/>
      <c r="EA963" s="3"/>
      <c r="EB963" s="3"/>
      <c r="EC963" s="3"/>
      <c r="ED963" s="3"/>
      <c r="EE963" s="3"/>
      <c r="EF963" s="3"/>
      <c r="EG963" s="3"/>
      <c r="EH963" s="3"/>
      <c r="EI963" s="3"/>
      <c r="EJ963" s="3"/>
      <c r="EK963" s="3"/>
      <c r="EL963" s="3"/>
      <c r="EM963" s="3"/>
      <c r="EN963" s="3"/>
      <c r="EO963" s="3"/>
      <c r="EP963" s="3"/>
      <c r="EQ963" s="3"/>
      <c r="ER963" s="3"/>
      <c r="ES963" s="3"/>
      <c r="ET963" s="3"/>
      <c r="EU963" s="3"/>
      <c r="EV963" s="3"/>
      <c r="EW963" s="3"/>
      <c r="EX963" s="3"/>
      <c r="EY963" s="3"/>
      <c r="EZ963" s="3"/>
      <c r="FA963" s="3"/>
      <c r="FB963" s="3"/>
      <c r="FC963" s="3"/>
      <c r="FD963" s="3"/>
      <c r="FE963" s="3"/>
      <c r="FF963" s="3"/>
      <c r="FG963" s="3"/>
      <c r="FH963" s="3"/>
      <c r="FI963" s="3"/>
      <c r="FJ963" s="3"/>
      <c r="FK963" s="3"/>
      <c r="FL963" s="3"/>
      <c r="FM963" s="3"/>
      <c r="FN963" s="3"/>
      <c r="FO963" s="3"/>
      <c r="FP963" s="3"/>
      <c r="FQ963" s="3"/>
      <c r="FR963" s="3"/>
      <c r="FS963" s="3"/>
      <c r="FT963" s="3"/>
      <c r="FU963" s="3"/>
      <c r="FV963" s="3"/>
      <c r="FW963" s="3"/>
      <c r="FX963" s="3"/>
      <c r="FY963" s="3"/>
      <c r="FZ963" s="3"/>
      <c r="GA963" s="3"/>
      <c r="GB963" s="3"/>
      <c r="GC963" s="3"/>
      <c r="GD963" s="3"/>
      <c r="GE963" s="3"/>
      <c r="GF963" s="3"/>
      <c r="GG963" s="3"/>
      <c r="GH963" s="3"/>
      <c r="GI963" s="3"/>
      <c r="GJ963" s="3"/>
      <c r="GK963" s="3"/>
      <c r="GL963" s="3"/>
      <c r="GM963" s="3"/>
      <c r="GN963" s="3"/>
      <c r="GO963" s="3"/>
      <c r="GP963" s="3"/>
      <c r="GQ963" s="3"/>
      <c r="GR963" s="3"/>
      <c r="GS963" s="3"/>
      <c r="GT963" s="3"/>
      <c r="GU963" s="3"/>
      <c r="GV963" s="3"/>
      <c r="GW963" s="3"/>
      <c r="GX963" s="3"/>
      <c r="GY963" s="3"/>
      <c r="GZ963" s="3"/>
      <c r="HA963" s="3"/>
      <c r="HB963" s="3"/>
    </row>
    <row r="964" spans="1:210" ht="15.75" customHeight="1">
      <c r="A964" s="50"/>
      <c r="B964" s="50"/>
      <c r="C964" s="50"/>
      <c r="D964" s="50"/>
      <c r="E964" s="50"/>
      <c r="F964" s="50"/>
      <c r="G964" s="51"/>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c r="AP964" s="50"/>
      <c r="AQ964" s="50"/>
      <c r="AR964" s="50"/>
      <c r="AS964" s="50"/>
      <c r="AT964" s="50"/>
      <c r="AU964" s="50"/>
      <c r="AV964" s="50"/>
      <c r="AW964" s="50"/>
      <c r="AX964" s="50"/>
      <c r="AY964" s="50"/>
      <c r="AZ964" s="50"/>
      <c r="BA964" s="50"/>
      <c r="BB964" s="50"/>
      <c r="BC964" s="50"/>
      <c r="BD964" s="50"/>
      <c r="BE964" s="50"/>
      <c r="BF964" s="50"/>
      <c r="BG964" s="50"/>
      <c r="BH964" s="50"/>
      <c r="BI964" s="50"/>
      <c r="BJ964" s="50"/>
      <c r="BK964" s="50"/>
      <c r="BL964" s="50"/>
      <c r="BM964" s="50"/>
      <c r="BN964" s="50"/>
      <c r="BO964" s="50"/>
      <c r="BP964" s="50"/>
      <c r="BQ964" s="50"/>
      <c r="BR964" s="50"/>
      <c r="BS964" s="50"/>
      <c r="BT964" s="50"/>
      <c r="BU964" s="50"/>
      <c r="BV964" s="50"/>
      <c r="BW964" s="50"/>
      <c r="BX964" s="50"/>
      <c r="BY964" s="50"/>
      <c r="BZ964" s="50"/>
      <c r="CA964" s="50"/>
      <c r="CB964" s="50"/>
      <c r="CC964" s="50"/>
      <c r="CD964" s="52"/>
      <c r="CE964" s="50"/>
      <c r="CF964" s="50"/>
      <c r="CG964" s="50"/>
      <c r="CH964" s="50"/>
      <c r="CI964" s="50"/>
      <c r="CJ964" s="50"/>
      <c r="CK964" s="50"/>
      <c r="CL964" s="50"/>
      <c r="CM964" s="50"/>
      <c r="CN964" s="50"/>
      <c r="CO964" s="50"/>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c r="DZ964" s="3"/>
      <c r="EA964" s="3"/>
      <c r="EB964" s="3"/>
      <c r="EC964" s="3"/>
      <c r="ED964" s="3"/>
      <c r="EE964" s="3"/>
      <c r="EF964" s="3"/>
      <c r="EG964" s="3"/>
      <c r="EH964" s="3"/>
      <c r="EI964" s="3"/>
      <c r="EJ964" s="3"/>
      <c r="EK964" s="3"/>
      <c r="EL964" s="3"/>
      <c r="EM964" s="3"/>
      <c r="EN964" s="3"/>
      <c r="EO964" s="3"/>
      <c r="EP964" s="3"/>
      <c r="EQ964" s="3"/>
      <c r="ER964" s="3"/>
      <c r="ES964" s="3"/>
      <c r="ET964" s="3"/>
      <c r="EU964" s="3"/>
      <c r="EV964" s="3"/>
      <c r="EW964" s="3"/>
      <c r="EX964" s="3"/>
      <c r="EY964" s="3"/>
      <c r="EZ964" s="3"/>
      <c r="FA964" s="3"/>
      <c r="FB964" s="3"/>
      <c r="FC964" s="3"/>
      <c r="FD964" s="3"/>
      <c r="FE964" s="3"/>
      <c r="FF964" s="3"/>
      <c r="FG964" s="3"/>
      <c r="FH964" s="3"/>
      <c r="FI964" s="3"/>
      <c r="FJ964" s="3"/>
      <c r="FK964" s="3"/>
      <c r="FL964" s="3"/>
      <c r="FM964" s="3"/>
      <c r="FN964" s="3"/>
      <c r="FO964" s="3"/>
      <c r="FP964" s="3"/>
      <c r="FQ964" s="3"/>
      <c r="FR964" s="3"/>
      <c r="FS964" s="3"/>
      <c r="FT964" s="3"/>
      <c r="FU964" s="3"/>
      <c r="FV964" s="3"/>
      <c r="FW964" s="3"/>
      <c r="FX964" s="3"/>
      <c r="FY964" s="3"/>
      <c r="FZ964" s="3"/>
      <c r="GA964" s="3"/>
      <c r="GB964" s="3"/>
      <c r="GC964" s="3"/>
      <c r="GD964" s="3"/>
      <c r="GE964" s="3"/>
      <c r="GF964" s="3"/>
      <c r="GG964" s="3"/>
      <c r="GH964" s="3"/>
      <c r="GI964" s="3"/>
      <c r="GJ964" s="3"/>
      <c r="GK964" s="3"/>
      <c r="GL964" s="3"/>
      <c r="GM964" s="3"/>
      <c r="GN964" s="3"/>
      <c r="GO964" s="3"/>
      <c r="GP964" s="3"/>
      <c r="GQ964" s="3"/>
      <c r="GR964" s="3"/>
      <c r="GS964" s="3"/>
      <c r="GT964" s="3"/>
      <c r="GU964" s="3"/>
      <c r="GV964" s="3"/>
      <c r="GW964" s="3"/>
      <c r="GX964" s="3"/>
      <c r="GY964" s="3"/>
      <c r="GZ964" s="3"/>
      <c r="HA964" s="3"/>
      <c r="HB964" s="3"/>
    </row>
    <row r="965" spans="1:210" ht="15.75" customHeight="1">
      <c r="A965" s="50"/>
      <c r="B965" s="50"/>
      <c r="C965" s="50"/>
      <c r="D965" s="50"/>
      <c r="E965" s="50"/>
      <c r="F965" s="50"/>
      <c r="G965" s="51"/>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c r="AK965" s="50"/>
      <c r="AL965" s="50"/>
      <c r="AM965" s="50"/>
      <c r="AN965" s="50"/>
      <c r="AO965" s="50"/>
      <c r="AP965" s="50"/>
      <c r="AQ965" s="50"/>
      <c r="AR965" s="50"/>
      <c r="AS965" s="50"/>
      <c r="AT965" s="50"/>
      <c r="AU965" s="50"/>
      <c r="AV965" s="50"/>
      <c r="AW965" s="50"/>
      <c r="AX965" s="50"/>
      <c r="AY965" s="50"/>
      <c r="AZ965" s="50"/>
      <c r="BA965" s="50"/>
      <c r="BB965" s="50"/>
      <c r="BC965" s="50"/>
      <c r="BD965" s="50"/>
      <c r="BE965" s="50"/>
      <c r="BF965" s="50"/>
      <c r="BG965" s="50"/>
      <c r="BH965" s="50"/>
      <c r="BI965" s="50"/>
      <c r="BJ965" s="50"/>
      <c r="BK965" s="50"/>
      <c r="BL965" s="50"/>
      <c r="BM965" s="50"/>
      <c r="BN965" s="50"/>
      <c r="BO965" s="50"/>
      <c r="BP965" s="50"/>
      <c r="BQ965" s="50"/>
      <c r="BR965" s="50"/>
      <c r="BS965" s="50"/>
      <c r="BT965" s="50"/>
      <c r="BU965" s="50"/>
      <c r="BV965" s="50"/>
      <c r="BW965" s="50"/>
      <c r="BX965" s="50"/>
      <c r="BY965" s="50"/>
      <c r="BZ965" s="50"/>
      <c r="CA965" s="50"/>
      <c r="CB965" s="50"/>
      <c r="CC965" s="50"/>
      <c r="CD965" s="52"/>
      <c r="CE965" s="50"/>
      <c r="CF965" s="50"/>
      <c r="CG965" s="50"/>
      <c r="CH965" s="50"/>
      <c r="CI965" s="50"/>
      <c r="CJ965" s="50"/>
      <c r="CK965" s="50"/>
      <c r="CL965" s="50"/>
      <c r="CM965" s="50"/>
      <c r="CN965" s="50"/>
      <c r="CO965" s="50"/>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c r="DZ965" s="3"/>
      <c r="EA965" s="3"/>
      <c r="EB965" s="3"/>
      <c r="EC965" s="3"/>
      <c r="ED965" s="3"/>
      <c r="EE965" s="3"/>
      <c r="EF965" s="3"/>
      <c r="EG965" s="3"/>
      <c r="EH965" s="3"/>
      <c r="EI965" s="3"/>
      <c r="EJ965" s="3"/>
      <c r="EK965" s="3"/>
      <c r="EL965" s="3"/>
      <c r="EM965" s="3"/>
      <c r="EN965" s="3"/>
      <c r="EO965" s="3"/>
      <c r="EP965" s="3"/>
      <c r="EQ965" s="3"/>
      <c r="ER965" s="3"/>
      <c r="ES965" s="3"/>
      <c r="ET965" s="3"/>
      <c r="EU965" s="3"/>
      <c r="EV965" s="3"/>
      <c r="EW965" s="3"/>
      <c r="EX965" s="3"/>
      <c r="EY965" s="3"/>
      <c r="EZ965" s="3"/>
      <c r="FA965" s="3"/>
      <c r="FB965" s="3"/>
      <c r="FC965" s="3"/>
      <c r="FD965" s="3"/>
      <c r="FE965" s="3"/>
      <c r="FF965" s="3"/>
      <c r="FG965" s="3"/>
      <c r="FH965" s="3"/>
      <c r="FI965" s="3"/>
      <c r="FJ965" s="3"/>
      <c r="FK965" s="3"/>
      <c r="FL965" s="3"/>
      <c r="FM965" s="3"/>
      <c r="FN965" s="3"/>
      <c r="FO965" s="3"/>
      <c r="FP965" s="3"/>
      <c r="FQ965" s="3"/>
      <c r="FR965" s="3"/>
      <c r="FS965" s="3"/>
      <c r="FT965" s="3"/>
      <c r="FU965" s="3"/>
      <c r="FV965" s="3"/>
      <c r="FW965" s="3"/>
      <c r="FX965" s="3"/>
      <c r="FY965" s="3"/>
      <c r="FZ965" s="3"/>
      <c r="GA965" s="3"/>
      <c r="GB965" s="3"/>
      <c r="GC965" s="3"/>
      <c r="GD965" s="3"/>
      <c r="GE965" s="3"/>
      <c r="GF965" s="3"/>
      <c r="GG965" s="3"/>
      <c r="GH965" s="3"/>
      <c r="GI965" s="3"/>
      <c r="GJ965" s="3"/>
      <c r="GK965" s="3"/>
      <c r="GL965" s="3"/>
      <c r="GM965" s="3"/>
      <c r="GN965" s="3"/>
      <c r="GO965" s="3"/>
      <c r="GP965" s="3"/>
      <c r="GQ965" s="3"/>
      <c r="GR965" s="3"/>
      <c r="GS965" s="3"/>
      <c r="GT965" s="3"/>
      <c r="GU965" s="3"/>
      <c r="GV965" s="3"/>
      <c r="GW965" s="3"/>
      <c r="GX965" s="3"/>
      <c r="GY965" s="3"/>
      <c r="GZ965" s="3"/>
      <c r="HA965" s="3"/>
      <c r="HB965" s="3"/>
    </row>
    <row r="966" spans="1:210" ht="15.75" customHeight="1">
      <c r="A966" s="50"/>
      <c r="B966" s="50"/>
      <c r="C966" s="50"/>
      <c r="D966" s="50"/>
      <c r="E966" s="50"/>
      <c r="F966" s="50"/>
      <c r="G966" s="51"/>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c r="AK966" s="50"/>
      <c r="AL966" s="50"/>
      <c r="AM966" s="50"/>
      <c r="AN966" s="50"/>
      <c r="AO966" s="50"/>
      <c r="AP966" s="50"/>
      <c r="AQ966" s="50"/>
      <c r="AR966" s="50"/>
      <c r="AS966" s="50"/>
      <c r="AT966" s="50"/>
      <c r="AU966" s="50"/>
      <c r="AV966" s="50"/>
      <c r="AW966" s="50"/>
      <c r="AX966" s="50"/>
      <c r="AY966" s="50"/>
      <c r="AZ966" s="50"/>
      <c r="BA966" s="50"/>
      <c r="BB966" s="50"/>
      <c r="BC966" s="50"/>
      <c r="BD966" s="50"/>
      <c r="BE966" s="50"/>
      <c r="BF966" s="50"/>
      <c r="BG966" s="50"/>
      <c r="BH966" s="50"/>
      <c r="BI966" s="50"/>
      <c r="BJ966" s="50"/>
      <c r="BK966" s="50"/>
      <c r="BL966" s="50"/>
      <c r="BM966" s="50"/>
      <c r="BN966" s="50"/>
      <c r="BO966" s="50"/>
      <c r="BP966" s="50"/>
      <c r="BQ966" s="50"/>
      <c r="BR966" s="50"/>
      <c r="BS966" s="50"/>
      <c r="BT966" s="50"/>
      <c r="BU966" s="50"/>
      <c r="BV966" s="50"/>
      <c r="BW966" s="50"/>
      <c r="BX966" s="50"/>
      <c r="BY966" s="50"/>
      <c r="BZ966" s="50"/>
      <c r="CA966" s="50"/>
      <c r="CB966" s="50"/>
      <c r="CC966" s="50"/>
      <c r="CD966" s="52"/>
      <c r="CE966" s="50"/>
      <c r="CF966" s="50"/>
      <c r="CG966" s="50"/>
      <c r="CH966" s="50"/>
      <c r="CI966" s="50"/>
      <c r="CJ966" s="50"/>
      <c r="CK966" s="50"/>
      <c r="CL966" s="50"/>
      <c r="CM966" s="50"/>
      <c r="CN966" s="50"/>
      <c r="CO966" s="50"/>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c r="DZ966" s="3"/>
      <c r="EA966" s="3"/>
      <c r="EB966" s="3"/>
      <c r="EC966" s="3"/>
      <c r="ED966" s="3"/>
      <c r="EE966" s="3"/>
      <c r="EF966" s="3"/>
      <c r="EG966" s="3"/>
      <c r="EH966" s="3"/>
      <c r="EI966" s="3"/>
      <c r="EJ966" s="3"/>
      <c r="EK966" s="3"/>
      <c r="EL966" s="3"/>
      <c r="EM966" s="3"/>
      <c r="EN966" s="3"/>
      <c r="EO966" s="3"/>
      <c r="EP966" s="3"/>
      <c r="EQ966" s="3"/>
      <c r="ER966" s="3"/>
      <c r="ES966" s="3"/>
      <c r="ET966" s="3"/>
      <c r="EU966" s="3"/>
      <c r="EV966" s="3"/>
      <c r="EW966" s="3"/>
      <c r="EX966" s="3"/>
      <c r="EY966" s="3"/>
      <c r="EZ966" s="3"/>
      <c r="FA966" s="3"/>
      <c r="FB966" s="3"/>
      <c r="FC966" s="3"/>
      <c r="FD966" s="3"/>
      <c r="FE966" s="3"/>
      <c r="FF966" s="3"/>
      <c r="FG966" s="3"/>
      <c r="FH966" s="3"/>
      <c r="FI966" s="3"/>
      <c r="FJ966" s="3"/>
      <c r="FK966" s="3"/>
      <c r="FL966" s="3"/>
      <c r="FM966" s="3"/>
      <c r="FN966" s="3"/>
      <c r="FO966" s="3"/>
      <c r="FP966" s="3"/>
      <c r="FQ966" s="3"/>
      <c r="FR966" s="3"/>
      <c r="FS966" s="3"/>
      <c r="FT966" s="3"/>
      <c r="FU966" s="3"/>
      <c r="FV966" s="3"/>
      <c r="FW966" s="3"/>
      <c r="FX966" s="3"/>
      <c r="FY966" s="3"/>
      <c r="FZ966" s="3"/>
      <c r="GA966" s="3"/>
      <c r="GB966" s="3"/>
      <c r="GC966" s="3"/>
      <c r="GD966" s="3"/>
      <c r="GE966" s="3"/>
      <c r="GF966" s="3"/>
      <c r="GG966" s="3"/>
      <c r="GH966" s="3"/>
      <c r="GI966" s="3"/>
      <c r="GJ966" s="3"/>
      <c r="GK966" s="3"/>
      <c r="GL966" s="3"/>
      <c r="GM966" s="3"/>
      <c r="GN966" s="3"/>
      <c r="GO966" s="3"/>
      <c r="GP966" s="3"/>
      <c r="GQ966" s="3"/>
      <c r="GR966" s="3"/>
      <c r="GS966" s="3"/>
      <c r="GT966" s="3"/>
      <c r="GU966" s="3"/>
      <c r="GV966" s="3"/>
      <c r="GW966" s="3"/>
      <c r="GX966" s="3"/>
      <c r="GY966" s="3"/>
      <c r="GZ966" s="3"/>
      <c r="HA966" s="3"/>
      <c r="HB966" s="3"/>
    </row>
    <row r="967" spans="1:210" ht="15.75" customHeight="1">
      <c r="A967" s="50"/>
      <c r="B967" s="50"/>
      <c r="C967" s="50"/>
      <c r="D967" s="50"/>
      <c r="E967" s="50"/>
      <c r="F967" s="50"/>
      <c r="G967" s="51"/>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c r="AK967" s="50"/>
      <c r="AL967" s="50"/>
      <c r="AM967" s="50"/>
      <c r="AN967" s="50"/>
      <c r="AO967" s="50"/>
      <c r="AP967" s="50"/>
      <c r="AQ967" s="50"/>
      <c r="AR967" s="50"/>
      <c r="AS967" s="50"/>
      <c r="AT967" s="50"/>
      <c r="AU967" s="50"/>
      <c r="AV967" s="50"/>
      <c r="AW967" s="50"/>
      <c r="AX967" s="50"/>
      <c r="AY967" s="50"/>
      <c r="AZ967" s="50"/>
      <c r="BA967" s="50"/>
      <c r="BB967" s="50"/>
      <c r="BC967" s="50"/>
      <c r="BD967" s="50"/>
      <c r="BE967" s="50"/>
      <c r="BF967" s="50"/>
      <c r="BG967" s="50"/>
      <c r="BH967" s="50"/>
      <c r="BI967" s="50"/>
      <c r="BJ967" s="50"/>
      <c r="BK967" s="50"/>
      <c r="BL967" s="50"/>
      <c r="BM967" s="50"/>
      <c r="BN967" s="50"/>
      <c r="BO967" s="50"/>
      <c r="BP967" s="50"/>
      <c r="BQ967" s="50"/>
      <c r="BR967" s="50"/>
      <c r="BS967" s="50"/>
      <c r="BT967" s="50"/>
      <c r="BU967" s="50"/>
      <c r="BV967" s="50"/>
      <c r="BW967" s="50"/>
      <c r="BX967" s="50"/>
      <c r="BY967" s="50"/>
      <c r="BZ967" s="50"/>
      <c r="CA967" s="50"/>
      <c r="CB967" s="50"/>
      <c r="CC967" s="50"/>
      <c r="CD967" s="52"/>
      <c r="CE967" s="50"/>
      <c r="CF967" s="50"/>
      <c r="CG967" s="50"/>
      <c r="CH967" s="50"/>
      <c r="CI967" s="50"/>
      <c r="CJ967" s="50"/>
      <c r="CK967" s="50"/>
      <c r="CL967" s="50"/>
      <c r="CM967" s="50"/>
      <c r="CN967" s="50"/>
      <c r="CO967" s="50"/>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c r="DZ967" s="3"/>
      <c r="EA967" s="3"/>
      <c r="EB967" s="3"/>
      <c r="EC967" s="3"/>
      <c r="ED967" s="3"/>
      <c r="EE967" s="3"/>
      <c r="EF967" s="3"/>
      <c r="EG967" s="3"/>
      <c r="EH967" s="3"/>
      <c r="EI967" s="3"/>
      <c r="EJ967" s="3"/>
      <c r="EK967" s="3"/>
      <c r="EL967" s="3"/>
      <c r="EM967" s="3"/>
      <c r="EN967" s="3"/>
      <c r="EO967" s="3"/>
      <c r="EP967" s="3"/>
      <c r="EQ967" s="3"/>
      <c r="ER967" s="3"/>
      <c r="ES967" s="3"/>
      <c r="ET967" s="3"/>
      <c r="EU967" s="3"/>
      <c r="EV967" s="3"/>
      <c r="EW967" s="3"/>
      <c r="EX967" s="3"/>
      <c r="EY967" s="3"/>
      <c r="EZ967" s="3"/>
      <c r="FA967" s="3"/>
      <c r="FB967" s="3"/>
      <c r="FC967" s="3"/>
      <c r="FD967" s="3"/>
      <c r="FE967" s="3"/>
      <c r="FF967" s="3"/>
      <c r="FG967" s="3"/>
      <c r="FH967" s="3"/>
      <c r="FI967" s="3"/>
      <c r="FJ967" s="3"/>
      <c r="FK967" s="3"/>
      <c r="FL967" s="3"/>
      <c r="FM967" s="3"/>
      <c r="FN967" s="3"/>
      <c r="FO967" s="3"/>
      <c r="FP967" s="3"/>
      <c r="FQ967" s="3"/>
      <c r="FR967" s="3"/>
      <c r="FS967" s="3"/>
      <c r="FT967" s="3"/>
      <c r="FU967" s="3"/>
      <c r="FV967" s="3"/>
      <c r="FW967" s="3"/>
      <c r="FX967" s="3"/>
      <c r="FY967" s="3"/>
      <c r="FZ967" s="3"/>
      <c r="GA967" s="3"/>
      <c r="GB967" s="3"/>
      <c r="GC967" s="3"/>
      <c r="GD967" s="3"/>
      <c r="GE967" s="3"/>
      <c r="GF967" s="3"/>
      <c r="GG967" s="3"/>
      <c r="GH967" s="3"/>
      <c r="GI967" s="3"/>
      <c r="GJ967" s="3"/>
      <c r="GK967" s="3"/>
      <c r="GL967" s="3"/>
      <c r="GM967" s="3"/>
      <c r="GN967" s="3"/>
      <c r="GO967" s="3"/>
      <c r="GP967" s="3"/>
      <c r="GQ967" s="3"/>
      <c r="GR967" s="3"/>
      <c r="GS967" s="3"/>
      <c r="GT967" s="3"/>
      <c r="GU967" s="3"/>
      <c r="GV967" s="3"/>
      <c r="GW967" s="3"/>
      <c r="GX967" s="3"/>
      <c r="GY967" s="3"/>
      <c r="GZ967" s="3"/>
      <c r="HA967" s="3"/>
      <c r="HB967" s="3"/>
    </row>
    <row r="968" spans="1:210" ht="15.75" customHeight="1">
      <c r="A968" s="50"/>
      <c r="B968" s="50"/>
      <c r="C968" s="50"/>
      <c r="D968" s="50"/>
      <c r="E968" s="50"/>
      <c r="F968" s="50"/>
      <c r="G968" s="51"/>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c r="AK968" s="50"/>
      <c r="AL968" s="50"/>
      <c r="AM968" s="50"/>
      <c r="AN968" s="50"/>
      <c r="AO968" s="50"/>
      <c r="AP968" s="50"/>
      <c r="AQ968" s="50"/>
      <c r="AR968" s="50"/>
      <c r="AS968" s="50"/>
      <c r="AT968" s="50"/>
      <c r="AU968" s="50"/>
      <c r="AV968" s="50"/>
      <c r="AW968" s="50"/>
      <c r="AX968" s="50"/>
      <c r="AY968" s="50"/>
      <c r="AZ968" s="50"/>
      <c r="BA968" s="50"/>
      <c r="BB968" s="50"/>
      <c r="BC968" s="50"/>
      <c r="BD968" s="50"/>
      <c r="BE968" s="50"/>
      <c r="BF968" s="50"/>
      <c r="BG968" s="50"/>
      <c r="BH968" s="50"/>
      <c r="BI968" s="50"/>
      <c r="BJ968" s="50"/>
      <c r="BK968" s="50"/>
      <c r="BL968" s="50"/>
      <c r="BM968" s="50"/>
      <c r="BN968" s="50"/>
      <c r="BO968" s="50"/>
      <c r="BP968" s="50"/>
      <c r="BQ968" s="50"/>
      <c r="BR968" s="50"/>
      <c r="BS968" s="50"/>
      <c r="BT968" s="50"/>
      <c r="BU968" s="50"/>
      <c r="BV968" s="50"/>
      <c r="BW968" s="50"/>
      <c r="BX968" s="50"/>
      <c r="BY968" s="50"/>
      <c r="BZ968" s="50"/>
      <c r="CA968" s="50"/>
      <c r="CB968" s="50"/>
      <c r="CC968" s="50"/>
      <c r="CD968" s="52"/>
      <c r="CE968" s="50"/>
      <c r="CF968" s="50"/>
      <c r="CG968" s="50"/>
      <c r="CH968" s="50"/>
      <c r="CI968" s="50"/>
      <c r="CJ968" s="50"/>
      <c r="CK968" s="50"/>
      <c r="CL968" s="50"/>
      <c r="CM968" s="50"/>
      <c r="CN968" s="50"/>
      <c r="CO968" s="50"/>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c r="DZ968" s="3"/>
      <c r="EA968" s="3"/>
      <c r="EB968" s="3"/>
      <c r="EC968" s="3"/>
      <c r="ED968" s="3"/>
      <c r="EE968" s="3"/>
      <c r="EF968" s="3"/>
      <c r="EG968" s="3"/>
      <c r="EH968" s="3"/>
      <c r="EI968" s="3"/>
      <c r="EJ968" s="3"/>
      <c r="EK968" s="3"/>
      <c r="EL968" s="3"/>
      <c r="EM968" s="3"/>
      <c r="EN968" s="3"/>
      <c r="EO968" s="3"/>
      <c r="EP968" s="3"/>
      <c r="EQ968" s="3"/>
      <c r="ER968" s="3"/>
      <c r="ES968" s="3"/>
      <c r="ET968" s="3"/>
      <c r="EU968" s="3"/>
      <c r="EV968" s="3"/>
      <c r="EW968" s="3"/>
      <c r="EX968" s="3"/>
      <c r="EY968" s="3"/>
      <c r="EZ968" s="3"/>
      <c r="FA968" s="3"/>
      <c r="FB968" s="3"/>
      <c r="FC968" s="3"/>
      <c r="FD968" s="3"/>
      <c r="FE968" s="3"/>
      <c r="FF968" s="3"/>
      <c r="FG968" s="3"/>
      <c r="FH968" s="3"/>
      <c r="FI968" s="3"/>
      <c r="FJ968" s="3"/>
      <c r="FK968" s="3"/>
      <c r="FL968" s="3"/>
      <c r="FM968" s="3"/>
      <c r="FN968" s="3"/>
      <c r="FO968" s="3"/>
      <c r="FP968" s="3"/>
      <c r="FQ968" s="3"/>
      <c r="FR968" s="3"/>
      <c r="FS968" s="3"/>
      <c r="FT968" s="3"/>
      <c r="FU968" s="3"/>
      <c r="FV968" s="3"/>
      <c r="FW968" s="3"/>
      <c r="FX968" s="3"/>
      <c r="FY968" s="3"/>
      <c r="FZ968" s="3"/>
      <c r="GA968" s="3"/>
      <c r="GB968" s="3"/>
      <c r="GC968" s="3"/>
      <c r="GD968" s="3"/>
      <c r="GE968" s="3"/>
      <c r="GF968" s="3"/>
      <c r="GG968" s="3"/>
      <c r="GH968" s="3"/>
      <c r="GI968" s="3"/>
      <c r="GJ968" s="3"/>
      <c r="GK968" s="3"/>
      <c r="GL968" s="3"/>
      <c r="GM968" s="3"/>
      <c r="GN968" s="3"/>
      <c r="GO968" s="3"/>
      <c r="GP968" s="3"/>
      <c r="GQ968" s="3"/>
      <c r="GR968" s="3"/>
      <c r="GS968" s="3"/>
      <c r="GT968" s="3"/>
      <c r="GU968" s="3"/>
      <c r="GV968" s="3"/>
      <c r="GW968" s="3"/>
      <c r="GX968" s="3"/>
      <c r="GY968" s="3"/>
      <c r="GZ968" s="3"/>
      <c r="HA968" s="3"/>
      <c r="HB968" s="3"/>
    </row>
    <row r="969" spans="1:210" ht="15.75" customHeight="1">
      <c r="A969" s="50"/>
      <c r="B969" s="50"/>
      <c r="C969" s="50"/>
      <c r="D969" s="50"/>
      <c r="E969" s="50"/>
      <c r="F969" s="50"/>
      <c r="G969" s="51"/>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c r="AK969" s="50"/>
      <c r="AL969" s="50"/>
      <c r="AM969" s="50"/>
      <c r="AN969" s="50"/>
      <c r="AO969" s="50"/>
      <c r="AP969" s="50"/>
      <c r="AQ969" s="50"/>
      <c r="AR969" s="50"/>
      <c r="AS969" s="50"/>
      <c r="AT969" s="50"/>
      <c r="AU969" s="50"/>
      <c r="AV969" s="50"/>
      <c r="AW969" s="50"/>
      <c r="AX969" s="50"/>
      <c r="AY969" s="50"/>
      <c r="AZ969" s="50"/>
      <c r="BA969" s="50"/>
      <c r="BB969" s="50"/>
      <c r="BC969" s="50"/>
      <c r="BD969" s="50"/>
      <c r="BE969" s="50"/>
      <c r="BF969" s="50"/>
      <c r="BG969" s="50"/>
      <c r="BH969" s="50"/>
      <c r="BI969" s="50"/>
      <c r="BJ969" s="50"/>
      <c r="BK969" s="50"/>
      <c r="BL969" s="50"/>
      <c r="BM969" s="50"/>
      <c r="BN969" s="50"/>
      <c r="BO969" s="50"/>
      <c r="BP969" s="50"/>
      <c r="BQ969" s="50"/>
      <c r="BR969" s="50"/>
      <c r="BS969" s="50"/>
      <c r="BT969" s="50"/>
      <c r="BU969" s="50"/>
      <c r="BV969" s="50"/>
      <c r="BW969" s="50"/>
      <c r="BX969" s="50"/>
      <c r="BY969" s="50"/>
      <c r="BZ969" s="50"/>
      <c r="CA969" s="50"/>
      <c r="CB969" s="50"/>
      <c r="CC969" s="50"/>
      <c r="CD969" s="52"/>
      <c r="CE969" s="50"/>
      <c r="CF969" s="50"/>
      <c r="CG969" s="50"/>
      <c r="CH969" s="50"/>
      <c r="CI969" s="50"/>
      <c r="CJ969" s="50"/>
      <c r="CK969" s="50"/>
      <c r="CL969" s="50"/>
      <c r="CM969" s="50"/>
      <c r="CN969" s="50"/>
      <c r="CO969" s="50"/>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c r="DZ969" s="3"/>
      <c r="EA969" s="3"/>
      <c r="EB969" s="3"/>
      <c r="EC969" s="3"/>
      <c r="ED969" s="3"/>
      <c r="EE969" s="3"/>
      <c r="EF969" s="3"/>
      <c r="EG969" s="3"/>
      <c r="EH969" s="3"/>
      <c r="EI969" s="3"/>
      <c r="EJ969" s="3"/>
      <c r="EK969" s="3"/>
      <c r="EL969" s="3"/>
      <c r="EM969" s="3"/>
      <c r="EN969" s="3"/>
      <c r="EO969" s="3"/>
      <c r="EP969" s="3"/>
      <c r="EQ969" s="3"/>
      <c r="ER969" s="3"/>
      <c r="ES969" s="3"/>
      <c r="ET969" s="3"/>
      <c r="EU969" s="3"/>
      <c r="EV969" s="3"/>
      <c r="EW969" s="3"/>
      <c r="EX969" s="3"/>
      <c r="EY969" s="3"/>
      <c r="EZ969" s="3"/>
      <c r="FA969" s="3"/>
      <c r="FB969" s="3"/>
      <c r="FC969" s="3"/>
      <c r="FD969" s="3"/>
      <c r="FE969" s="3"/>
      <c r="FF969" s="3"/>
      <c r="FG969" s="3"/>
      <c r="FH969" s="3"/>
      <c r="FI969" s="3"/>
      <c r="FJ969" s="3"/>
      <c r="FK969" s="3"/>
      <c r="FL969" s="3"/>
      <c r="FM969" s="3"/>
      <c r="FN969" s="3"/>
      <c r="FO969" s="3"/>
      <c r="FP969" s="3"/>
      <c r="FQ969" s="3"/>
      <c r="FR969" s="3"/>
      <c r="FS969" s="3"/>
      <c r="FT969" s="3"/>
      <c r="FU969" s="3"/>
      <c r="FV969" s="3"/>
      <c r="FW969" s="3"/>
      <c r="FX969" s="3"/>
      <c r="FY969" s="3"/>
      <c r="FZ969" s="3"/>
      <c r="GA969" s="3"/>
      <c r="GB969" s="3"/>
      <c r="GC969" s="3"/>
      <c r="GD969" s="3"/>
      <c r="GE969" s="3"/>
      <c r="GF969" s="3"/>
      <c r="GG969" s="3"/>
      <c r="GH969" s="3"/>
      <c r="GI969" s="3"/>
      <c r="GJ969" s="3"/>
      <c r="GK969" s="3"/>
      <c r="GL969" s="3"/>
      <c r="GM969" s="3"/>
      <c r="GN969" s="3"/>
      <c r="GO969" s="3"/>
      <c r="GP969" s="3"/>
      <c r="GQ969" s="3"/>
      <c r="GR969" s="3"/>
      <c r="GS969" s="3"/>
      <c r="GT969" s="3"/>
      <c r="GU969" s="3"/>
      <c r="GV969" s="3"/>
      <c r="GW969" s="3"/>
      <c r="GX969" s="3"/>
      <c r="GY969" s="3"/>
      <c r="GZ969" s="3"/>
      <c r="HA969" s="3"/>
      <c r="HB969" s="3"/>
    </row>
    <row r="970" spans="1:210" ht="15.75" customHeight="1">
      <c r="A970" s="50"/>
      <c r="B970" s="50"/>
      <c r="C970" s="50"/>
      <c r="D970" s="50"/>
      <c r="E970" s="50"/>
      <c r="F970" s="50"/>
      <c r="G970" s="51"/>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c r="AK970" s="50"/>
      <c r="AL970" s="50"/>
      <c r="AM970" s="50"/>
      <c r="AN970" s="50"/>
      <c r="AO970" s="50"/>
      <c r="AP970" s="50"/>
      <c r="AQ970" s="50"/>
      <c r="AR970" s="50"/>
      <c r="AS970" s="50"/>
      <c r="AT970" s="50"/>
      <c r="AU970" s="50"/>
      <c r="AV970" s="50"/>
      <c r="AW970" s="50"/>
      <c r="AX970" s="50"/>
      <c r="AY970" s="50"/>
      <c r="AZ970" s="50"/>
      <c r="BA970" s="50"/>
      <c r="BB970" s="50"/>
      <c r="BC970" s="50"/>
      <c r="BD970" s="50"/>
      <c r="BE970" s="50"/>
      <c r="BF970" s="50"/>
      <c r="BG970" s="50"/>
      <c r="BH970" s="50"/>
      <c r="BI970" s="50"/>
      <c r="BJ970" s="50"/>
      <c r="BK970" s="50"/>
      <c r="BL970" s="50"/>
      <c r="BM970" s="50"/>
      <c r="BN970" s="50"/>
      <c r="BO970" s="50"/>
      <c r="BP970" s="50"/>
      <c r="BQ970" s="50"/>
      <c r="BR970" s="50"/>
      <c r="BS970" s="50"/>
      <c r="BT970" s="50"/>
      <c r="BU970" s="50"/>
      <c r="BV970" s="50"/>
      <c r="BW970" s="50"/>
      <c r="BX970" s="50"/>
      <c r="BY970" s="50"/>
      <c r="BZ970" s="50"/>
      <c r="CA970" s="50"/>
      <c r="CB970" s="50"/>
      <c r="CC970" s="50"/>
      <c r="CD970" s="52"/>
      <c r="CE970" s="50"/>
      <c r="CF970" s="50"/>
      <c r="CG970" s="50"/>
      <c r="CH970" s="50"/>
      <c r="CI970" s="50"/>
      <c r="CJ970" s="50"/>
      <c r="CK970" s="50"/>
      <c r="CL970" s="50"/>
      <c r="CM970" s="50"/>
      <c r="CN970" s="50"/>
      <c r="CO970" s="50"/>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c r="DZ970" s="3"/>
      <c r="EA970" s="3"/>
      <c r="EB970" s="3"/>
      <c r="EC970" s="3"/>
      <c r="ED970" s="3"/>
      <c r="EE970" s="3"/>
      <c r="EF970" s="3"/>
      <c r="EG970" s="3"/>
      <c r="EH970" s="3"/>
      <c r="EI970" s="3"/>
      <c r="EJ970" s="3"/>
      <c r="EK970" s="3"/>
      <c r="EL970" s="3"/>
      <c r="EM970" s="3"/>
      <c r="EN970" s="3"/>
      <c r="EO970" s="3"/>
      <c r="EP970" s="3"/>
      <c r="EQ970" s="3"/>
      <c r="ER970" s="3"/>
      <c r="ES970" s="3"/>
      <c r="ET970" s="3"/>
      <c r="EU970" s="3"/>
      <c r="EV970" s="3"/>
      <c r="EW970" s="3"/>
      <c r="EX970" s="3"/>
      <c r="EY970" s="3"/>
      <c r="EZ970" s="3"/>
      <c r="FA970" s="3"/>
      <c r="FB970" s="3"/>
      <c r="FC970" s="3"/>
      <c r="FD970" s="3"/>
      <c r="FE970" s="3"/>
      <c r="FF970" s="3"/>
      <c r="FG970" s="3"/>
      <c r="FH970" s="3"/>
      <c r="FI970" s="3"/>
      <c r="FJ970" s="3"/>
      <c r="FK970" s="3"/>
      <c r="FL970" s="3"/>
      <c r="FM970" s="3"/>
      <c r="FN970" s="3"/>
      <c r="FO970" s="3"/>
      <c r="FP970" s="3"/>
      <c r="FQ970" s="3"/>
      <c r="FR970" s="3"/>
      <c r="FS970" s="3"/>
      <c r="FT970" s="3"/>
      <c r="FU970" s="3"/>
      <c r="FV970" s="3"/>
      <c r="FW970" s="3"/>
      <c r="FX970" s="3"/>
      <c r="FY970" s="3"/>
      <c r="FZ970" s="3"/>
      <c r="GA970" s="3"/>
      <c r="GB970" s="3"/>
      <c r="GC970" s="3"/>
      <c r="GD970" s="3"/>
      <c r="GE970" s="3"/>
      <c r="GF970" s="3"/>
      <c r="GG970" s="3"/>
      <c r="GH970" s="3"/>
      <c r="GI970" s="3"/>
      <c r="GJ970" s="3"/>
      <c r="GK970" s="3"/>
      <c r="GL970" s="3"/>
      <c r="GM970" s="3"/>
      <c r="GN970" s="3"/>
      <c r="GO970" s="3"/>
      <c r="GP970" s="3"/>
      <c r="GQ970" s="3"/>
      <c r="GR970" s="3"/>
      <c r="GS970" s="3"/>
      <c r="GT970" s="3"/>
      <c r="GU970" s="3"/>
      <c r="GV970" s="3"/>
      <c r="GW970" s="3"/>
      <c r="GX970" s="3"/>
      <c r="GY970" s="3"/>
      <c r="GZ970" s="3"/>
      <c r="HA970" s="3"/>
      <c r="HB970" s="3"/>
    </row>
    <row r="971" spans="1:210" ht="15.75" customHeight="1">
      <c r="A971" s="50"/>
      <c r="B971" s="50"/>
      <c r="C971" s="50"/>
      <c r="D971" s="50"/>
      <c r="E971" s="50"/>
      <c r="F971" s="50"/>
      <c r="G971" s="51"/>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c r="AK971" s="50"/>
      <c r="AL971" s="50"/>
      <c r="AM971" s="50"/>
      <c r="AN971" s="50"/>
      <c r="AO971" s="50"/>
      <c r="AP971" s="50"/>
      <c r="AQ971" s="50"/>
      <c r="AR971" s="50"/>
      <c r="AS971" s="50"/>
      <c r="AT971" s="50"/>
      <c r="AU971" s="50"/>
      <c r="AV971" s="50"/>
      <c r="AW971" s="50"/>
      <c r="AX971" s="50"/>
      <c r="AY971" s="50"/>
      <c r="AZ971" s="50"/>
      <c r="BA971" s="50"/>
      <c r="BB971" s="50"/>
      <c r="BC971" s="50"/>
      <c r="BD971" s="50"/>
      <c r="BE971" s="50"/>
      <c r="BF971" s="50"/>
      <c r="BG971" s="50"/>
      <c r="BH971" s="50"/>
      <c r="BI971" s="50"/>
      <c r="BJ971" s="50"/>
      <c r="BK971" s="50"/>
      <c r="BL971" s="50"/>
      <c r="BM971" s="50"/>
      <c r="BN971" s="50"/>
      <c r="BO971" s="50"/>
      <c r="BP971" s="50"/>
      <c r="BQ971" s="50"/>
      <c r="BR971" s="50"/>
      <c r="BS971" s="50"/>
      <c r="BT971" s="50"/>
      <c r="BU971" s="50"/>
      <c r="BV971" s="50"/>
      <c r="BW971" s="50"/>
      <c r="BX971" s="50"/>
      <c r="BY971" s="50"/>
      <c r="BZ971" s="50"/>
      <c r="CA971" s="50"/>
      <c r="CB971" s="50"/>
      <c r="CC971" s="50"/>
      <c r="CD971" s="52"/>
      <c r="CE971" s="50"/>
      <c r="CF971" s="50"/>
      <c r="CG971" s="50"/>
      <c r="CH971" s="50"/>
      <c r="CI971" s="50"/>
      <c r="CJ971" s="50"/>
      <c r="CK971" s="50"/>
      <c r="CL971" s="50"/>
      <c r="CM971" s="50"/>
      <c r="CN971" s="50"/>
      <c r="CO971" s="50"/>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c r="DZ971" s="3"/>
      <c r="EA971" s="3"/>
      <c r="EB971" s="3"/>
      <c r="EC971" s="3"/>
      <c r="ED971" s="3"/>
      <c r="EE971" s="3"/>
      <c r="EF971" s="3"/>
      <c r="EG971" s="3"/>
      <c r="EH971" s="3"/>
      <c r="EI971" s="3"/>
      <c r="EJ971" s="3"/>
      <c r="EK971" s="3"/>
      <c r="EL971" s="3"/>
      <c r="EM971" s="3"/>
      <c r="EN971" s="3"/>
      <c r="EO971" s="3"/>
      <c r="EP971" s="3"/>
      <c r="EQ971" s="3"/>
      <c r="ER971" s="3"/>
      <c r="ES971" s="3"/>
      <c r="ET971" s="3"/>
      <c r="EU971" s="3"/>
      <c r="EV971" s="3"/>
      <c r="EW971" s="3"/>
      <c r="EX971" s="3"/>
      <c r="EY971" s="3"/>
      <c r="EZ971" s="3"/>
      <c r="FA971" s="3"/>
      <c r="FB971" s="3"/>
      <c r="FC971" s="3"/>
      <c r="FD971" s="3"/>
      <c r="FE971" s="3"/>
      <c r="FF971" s="3"/>
      <c r="FG971" s="3"/>
      <c r="FH971" s="3"/>
      <c r="FI971" s="3"/>
      <c r="FJ971" s="3"/>
      <c r="FK971" s="3"/>
      <c r="FL971" s="3"/>
      <c r="FM971" s="3"/>
      <c r="FN971" s="3"/>
      <c r="FO971" s="3"/>
      <c r="FP971" s="3"/>
      <c r="FQ971" s="3"/>
      <c r="FR971" s="3"/>
      <c r="FS971" s="3"/>
      <c r="FT971" s="3"/>
      <c r="FU971" s="3"/>
      <c r="FV971" s="3"/>
      <c r="FW971" s="3"/>
      <c r="FX971" s="3"/>
      <c r="FY971" s="3"/>
      <c r="FZ971" s="3"/>
      <c r="GA971" s="3"/>
      <c r="GB971" s="3"/>
      <c r="GC971" s="3"/>
      <c r="GD971" s="3"/>
      <c r="GE971" s="3"/>
      <c r="GF971" s="3"/>
      <c r="GG971" s="3"/>
      <c r="GH971" s="3"/>
      <c r="GI971" s="3"/>
      <c r="GJ971" s="3"/>
      <c r="GK971" s="3"/>
      <c r="GL971" s="3"/>
      <c r="GM971" s="3"/>
      <c r="GN971" s="3"/>
      <c r="GO971" s="3"/>
      <c r="GP971" s="3"/>
      <c r="GQ971" s="3"/>
      <c r="GR971" s="3"/>
      <c r="GS971" s="3"/>
      <c r="GT971" s="3"/>
      <c r="GU971" s="3"/>
      <c r="GV971" s="3"/>
      <c r="GW971" s="3"/>
      <c r="GX971" s="3"/>
      <c r="GY971" s="3"/>
      <c r="GZ971" s="3"/>
      <c r="HA971" s="3"/>
      <c r="HB971" s="3"/>
    </row>
    <row r="972" spans="1:210" ht="15.75" customHeight="1">
      <c r="A972" s="50"/>
      <c r="B972" s="50"/>
      <c r="C972" s="50"/>
      <c r="D972" s="50"/>
      <c r="E972" s="50"/>
      <c r="F972" s="50"/>
      <c r="G972" s="51"/>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c r="AK972" s="50"/>
      <c r="AL972" s="50"/>
      <c r="AM972" s="50"/>
      <c r="AN972" s="50"/>
      <c r="AO972" s="50"/>
      <c r="AP972" s="50"/>
      <c r="AQ972" s="50"/>
      <c r="AR972" s="50"/>
      <c r="AS972" s="50"/>
      <c r="AT972" s="50"/>
      <c r="AU972" s="50"/>
      <c r="AV972" s="50"/>
      <c r="AW972" s="50"/>
      <c r="AX972" s="50"/>
      <c r="AY972" s="50"/>
      <c r="AZ972" s="50"/>
      <c r="BA972" s="50"/>
      <c r="BB972" s="50"/>
      <c r="BC972" s="50"/>
      <c r="BD972" s="50"/>
      <c r="BE972" s="50"/>
      <c r="BF972" s="50"/>
      <c r="BG972" s="50"/>
      <c r="BH972" s="50"/>
      <c r="BI972" s="50"/>
      <c r="BJ972" s="50"/>
      <c r="BK972" s="50"/>
      <c r="BL972" s="50"/>
      <c r="BM972" s="50"/>
      <c r="BN972" s="50"/>
      <c r="BO972" s="50"/>
      <c r="BP972" s="50"/>
      <c r="BQ972" s="50"/>
      <c r="BR972" s="50"/>
      <c r="BS972" s="50"/>
      <c r="BT972" s="50"/>
      <c r="BU972" s="50"/>
      <c r="BV972" s="50"/>
      <c r="BW972" s="50"/>
      <c r="BX972" s="50"/>
      <c r="BY972" s="50"/>
      <c r="BZ972" s="50"/>
      <c r="CA972" s="50"/>
      <c r="CB972" s="50"/>
      <c r="CC972" s="50"/>
      <c r="CD972" s="52"/>
      <c r="CE972" s="50"/>
      <c r="CF972" s="50"/>
      <c r="CG972" s="50"/>
      <c r="CH972" s="50"/>
      <c r="CI972" s="50"/>
      <c r="CJ972" s="50"/>
      <c r="CK972" s="50"/>
      <c r="CL972" s="50"/>
      <c r="CM972" s="50"/>
      <c r="CN972" s="50"/>
      <c r="CO972" s="50"/>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c r="DZ972" s="3"/>
      <c r="EA972" s="3"/>
      <c r="EB972" s="3"/>
      <c r="EC972" s="3"/>
      <c r="ED972" s="3"/>
      <c r="EE972" s="3"/>
      <c r="EF972" s="3"/>
      <c r="EG972" s="3"/>
      <c r="EH972" s="3"/>
      <c r="EI972" s="3"/>
      <c r="EJ972" s="3"/>
      <c r="EK972" s="3"/>
      <c r="EL972" s="3"/>
      <c r="EM972" s="3"/>
      <c r="EN972" s="3"/>
      <c r="EO972" s="3"/>
      <c r="EP972" s="3"/>
      <c r="EQ972" s="3"/>
      <c r="ER972" s="3"/>
      <c r="ES972" s="3"/>
      <c r="ET972" s="3"/>
      <c r="EU972" s="3"/>
      <c r="EV972" s="3"/>
      <c r="EW972" s="3"/>
      <c r="EX972" s="3"/>
      <c r="EY972" s="3"/>
      <c r="EZ972" s="3"/>
      <c r="FA972" s="3"/>
      <c r="FB972" s="3"/>
      <c r="FC972" s="3"/>
      <c r="FD972" s="3"/>
      <c r="FE972" s="3"/>
      <c r="FF972" s="3"/>
      <c r="FG972" s="3"/>
      <c r="FH972" s="3"/>
      <c r="FI972" s="3"/>
      <c r="FJ972" s="3"/>
      <c r="FK972" s="3"/>
      <c r="FL972" s="3"/>
      <c r="FM972" s="3"/>
      <c r="FN972" s="3"/>
      <c r="FO972" s="3"/>
      <c r="FP972" s="3"/>
      <c r="FQ972" s="3"/>
      <c r="FR972" s="3"/>
      <c r="FS972" s="3"/>
      <c r="FT972" s="3"/>
      <c r="FU972" s="3"/>
      <c r="FV972" s="3"/>
      <c r="FW972" s="3"/>
      <c r="FX972" s="3"/>
      <c r="FY972" s="3"/>
      <c r="FZ972" s="3"/>
      <c r="GA972" s="3"/>
      <c r="GB972" s="3"/>
      <c r="GC972" s="3"/>
      <c r="GD972" s="3"/>
      <c r="GE972" s="3"/>
      <c r="GF972" s="3"/>
      <c r="GG972" s="3"/>
      <c r="GH972" s="3"/>
      <c r="GI972" s="3"/>
      <c r="GJ972" s="3"/>
      <c r="GK972" s="3"/>
      <c r="GL972" s="3"/>
      <c r="GM972" s="3"/>
      <c r="GN972" s="3"/>
      <c r="GO972" s="3"/>
      <c r="GP972" s="3"/>
      <c r="GQ972" s="3"/>
      <c r="GR972" s="3"/>
      <c r="GS972" s="3"/>
      <c r="GT972" s="3"/>
      <c r="GU972" s="3"/>
      <c r="GV972" s="3"/>
      <c r="GW972" s="3"/>
      <c r="GX972" s="3"/>
      <c r="GY972" s="3"/>
      <c r="GZ972" s="3"/>
      <c r="HA972" s="3"/>
      <c r="HB972" s="3"/>
    </row>
    <row r="973" spans="1:210" ht="15.75" customHeight="1">
      <c r="A973" s="50"/>
      <c r="B973" s="50"/>
      <c r="C973" s="50"/>
      <c r="D973" s="50"/>
      <c r="E973" s="50"/>
      <c r="F973" s="50"/>
      <c r="G973" s="51"/>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c r="AK973" s="50"/>
      <c r="AL973" s="50"/>
      <c r="AM973" s="50"/>
      <c r="AN973" s="50"/>
      <c r="AO973" s="50"/>
      <c r="AP973" s="50"/>
      <c r="AQ973" s="50"/>
      <c r="AR973" s="50"/>
      <c r="AS973" s="50"/>
      <c r="AT973" s="50"/>
      <c r="AU973" s="50"/>
      <c r="AV973" s="50"/>
      <c r="AW973" s="50"/>
      <c r="AX973" s="50"/>
      <c r="AY973" s="50"/>
      <c r="AZ973" s="50"/>
      <c r="BA973" s="50"/>
      <c r="BB973" s="50"/>
      <c r="BC973" s="50"/>
      <c r="BD973" s="50"/>
      <c r="BE973" s="50"/>
      <c r="BF973" s="50"/>
      <c r="BG973" s="50"/>
      <c r="BH973" s="50"/>
      <c r="BI973" s="50"/>
      <c r="BJ973" s="50"/>
      <c r="BK973" s="50"/>
      <c r="BL973" s="50"/>
      <c r="BM973" s="50"/>
      <c r="BN973" s="50"/>
      <c r="BO973" s="50"/>
      <c r="BP973" s="50"/>
      <c r="BQ973" s="50"/>
      <c r="BR973" s="50"/>
      <c r="BS973" s="50"/>
      <c r="BT973" s="50"/>
      <c r="BU973" s="50"/>
      <c r="BV973" s="50"/>
      <c r="BW973" s="50"/>
      <c r="BX973" s="50"/>
      <c r="BY973" s="50"/>
      <c r="BZ973" s="50"/>
      <c r="CA973" s="50"/>
      <c r="CB973" s="50"/>
      <c r="CC973" s="50"/>
      <c r="CD973" s="52"/>
      <c r="CE973" s="50"/>
      <c r="CF973" s="50"/>
      <c r="CG973" s="50"/>
      <c r="CH973" s="50"/>
      <c r="CI973" s="50"/>
      <c r="CJ973" s="50"/>
      <c r="CK973" s="50"/>
      <c r="CL973" s="50"/>
      <c r="CM973" s="50"/>
      <c r="CN973" s="50"/>
      <c r="CO973" s="50"/>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c r="EJ973" s="3"/>
      <c r="EK973" s="3"/>
      <c r="EL973" s="3"/>
      <c r="EM973" s="3"/>
      <c r="EN973" s="3"/>
      <c r="EO973" s="3"/>
      <c r="EP973" s="3"/>
      <c r="EQ973" s="3"/>
      <c r="ER973" s="3"/>
      <c r="ES973" s="3"/>
      <c r="ET973" s="3"/>
      <c r="EU973" s="3"/>
      <c r="EV973" s="3"/>
      <c r="EW973" s="3"/>
      <c r="EX973" s="3"/>
      <c r="EY973" s="3"/>
      <c r="EZ973" s="3"/>
      <c r="FA973" s="3"/>
      <c r="FB973" s="3"/>
      <c r="FC973" s="3"/>
      <c r="FD973" s="3"/>
      <c r="FE973" s="3"/>
      <c r="FF973" s="3"/>
      <c r="FG973" s="3"/>
      <c r="FH973" s="3"/>
      <c r="FI973" s="3"/>
      <c r="FJ973" s="3"/>
      <c r="FK973" s="3"/>
      <c r="FL973" s="3"/>
      <c r="FM973" s="3"/>
      <c r="FN973" s="3"/>
      <c r="FO973" s="3"/>
      <c r="FP973" s="3"/>
      <c r="FQ973" s="3"/>
      <c r="FR973" s="3"/>
      <c r="FS973" s="3"/>
      <c r="FT973" s="3"/>
      <c r="FU973" s="3"/>
      <c r="FV973" s="3"/>
      <c r="FW973" s="3"/>
      <c r="FX973" s="3"/>
      <c r="FY973" s="3"/>
      <c r="FZ973" s="3"/>
      <c r="GA973" s="3"/>
      <c r="GB973" s="3"/>
      <c r="GC973" s="3"/>
      <c r="GD973" s="3"/>
      <c r="GE973" s="3"/>
      <c r="GF973" s="3"/>
      <c r="GG973" s="3"/>
      <c r="GH973" s="3"/>
      <c r="GI973" s="3"/>
      <c r="GJ973" s="3"/>
      <c r="GK973" s="3"/>
      <c r="GL973" s="3"/>
      <c r="GM973" s="3"/>
      <c r="GN973" s="3"/>
      <c r="GO973" s="3"/>
      <c r="GP973" s="3"/>
      <c r="GQ973" s="3"/>
      <c r="GR973" s="3"/>
      <c r="GS973" s="3"/>
      <c r="GT973" s="3"/>
      <c r="GU973" s="3"/>
      <c r="GV973" s="3"/>
      <c r="GW973" s="3"/>
      <c r="GX973" s="3"/>
      <c r="GY973" s="3"/>
      <c r="GZ973" s="3"/>
      <c r="HA973" s="3"/>
      <c r="HB973" s="3"/>
    </row>
    <row r="974" spans="1:210" ht="15.75" customHeight="1">
      <c r="A974" s="50"/>
      <c r="B974" s="50"/>
      <c r="C974" s="50"/>
      <c r="D974" s="50"/>
      <c r="E974" s="50"/>
      <c r="F974" s="50"/>
      <c r="G974" s="51"/>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c r="AK974" s="50"/>
      <c r="AL974" s="50"/>
      <c r="AM974" s="50"/>
      <c r="AN974" s="50"/>
      <c r="AO974" s="50"/>
      <c r="AP974" s="50"/>
      <c r="AQ974" s="50"/>
      <c r="AR974" s="50"/>
      <c r="AS974" s="50"/>
      <c r="AT974" s="50"/>
      <c r="AU974" s="50"/>
      <c r="AV974" s="50"/>
      <c r="AW974" s="50"/>
      <c r="AX974" s="50"/>
      <c r="AY974" s="50"/>
      <c r="AZ974" s="50"/>
      <c r="BA974" s="50"/>
      <c r="BB974" s="50"/>
      <c r="BC974" s="50"/>
      <c r="BD974" s="50"/>
      <c r="BE974" s="50"/>
      <c r="BF974" s="50"/>
      <c r="BG974" s="50"/>
      <c r="BH974" s="50"/>
      <c r="BI974" s="50"/>
      <c r="BJ974" s="50"/>
      <c r="BK974" s="50"/>
      <c r="BL974" s="50"/>
      <c r="BM974" s="50"/>
      <c r="BN974" s="50"/>
      <c r="BO974" s="50"/>
      <c r="BP974" s="50"/>
      <c r="BQ974" s="50"/>
      <c r="BR974" s="50"/>
      <c r="BS974" s="50"/>
      <c r="BT974" s="50"/>
      <c r="BU974" s="50"/>
      <c r="BV974" s="50"/>
      <c r="BW974" s="50"/>
      <c r="BX974" s="50"/>
      <c r="BY974" s="50"/>
      <c r="BZ974" s="50"/>
      <c r="CA974" s="50"/>
      <c r="CB974" s="50"/>
      <c r="CC974" s="50"/>
      <c r="CD974" s="52"/>
      <c r="CE974" s="50"/>
      <c r="CF974" s="50"/>
      <c r="CG974" s="50"/>
      <c r="CH974" s="50"/>
      <c r="CI974" s="50"/>
      <c r="CJ974" s="50"/>
      <c r="CK974" s="50"/>
      <c r="CL974" s="50"/>
      <c r="CM974" s="50"/>
      <c r="CN974" s="50"/>
      <c r="CO974" s="50"/>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c r="DZ974" s="3"/>
      <c r="EA974" s="3"/>
      <c r="EB974" s="3"/>
      <c r="EC974" s="3"/>
      <c r="ED974" s="3"/>
      <c r="EE974" s="3"/>
      <c r="EF974" s="3"/>
      <c r="EG974" s="3"/>
      <c r="EH974" s="3"/>
      <c r="EI974" s="3"/>
      <c r="EJ974" s="3"/>
      <c r="EK974" s="3"/>
      <c r="EL974" s="3"/>
      <c r="EM974" s="3"/>
      <c r="EN974" s="3"/>
      <c r="EO974" s="3"/>
      <c r="EP974" s="3"/>
      <c r="EQ974" s="3"/>
      <c r="ER974" s="3"/>
      <c r="ES974" s="3"/>
      <c r="ET974" s="3"/>
      <c r="EU974" s="3"/>
      <c r="EV974" s="3"/>
      <c r="EW974" s="3"/>
      <c r="EX974" s="3"/>
      <c r="EY974" s="3"/>
      <c r="EZ974" s="3"/>
      <c r="FA974" s="3"/>
      <c r="FB974" s="3"/>
      <c r="FC974" s="3"/>
      <c r="FD974" s="3"/>
      <c r="FE974" s="3"/>
      <c r="FF974" s="3"/>
      <c r="FG974" s="3"/>
      <c r="FH974" s="3"/>
      <c r="FI974" s="3"/>
      <c r="FJ974" s="3"/>
      <c r="FK974" s="3"/>
      <c r="FL974" s="3"/>
      <c r="FM974" s="3"/>
      <c r="FN974" s="3"/>
      <c r="FO974" s="3"/>
      <c r="FP974" s="3"/>
      <c r="FQ974" s="3"/>
      <c r="FR974" s="3"/>
      <c r="FS974" s="3"/>
      <c r="FT974" s="3"/>
      <c r="FU974" s="3"/>
      <c r="FV974" s="3"/>
      <c r="FW974" s="3"/>
      <c r="FX974" s="3"/>
      <c r="FY974" s="3"/>
      <c r="FZ974" s="3"/>
      <c r="GA974" s="3"/>
      <c r="GB974" s="3"/>
      <c r="GC974" s="3"/>
      <c r="GD974" s="3"/>
      <c r="GE974" s="3"/>
      <c r="GF974" s="3"/>
      <c r="GG974" s="3"/>
      <c r="GH974" s="3"/>
      <c r="GI974" s="3"/>
      <c r="GJ974" s="3"/>
      <c r="GK974" s="3"/>
      <c r="GL974" s="3"/>
      <c r="GM974" s="3"/>
      <c r="GN974" s="3"/>
      <c r="GO974" s="3"/>
      <c r="GP974" s="3"/>
      <c r="GQ974" s="3"/>
      <c r="GR974" s="3"/>
      <c r="GS974" s="3"/>
      <c r="GT974" s="3"/>
      <c r="GU974" s="3"/>
      <c r="GV974" s="3"/>
      <c r="GW974" s="3"/>
      <c r="GX974" s="3"/>
      <c r="GY974" s="3"/>
      <c r="GZ974" s="3"/>
      <c r="HA974" s="3"/>
      <c r="HB974" s="3"/>
    </row>
    <row r="975" spans="1:210" ht="15.75" customHeight="1">
      <c r="A975" s="50"/>
      <c r="B975" s="50"/>
      <c r="C975" s="50"/>
      <c r="D975" s="50"/>
      <c r="E975" s="50"/>
      <c r="F975" s="50"/>
      <c r="G975" s="51"/>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c r="AK975" s="50"/>
      <c r="AL975" s="50"/>
      <c r="AM975" s="50"/>
      <c r="AN975" s="50"/>
      <c r="AO975" s="50"/>
      <c r="AP975" s="50"/>
      <c r="AQ975" s="50"/>
      <c r="AR975" s="50"/>
      <c r="AS975" s="50"/>
      <c r="AT975" s="50"/>
      <c r="AU975" s="50"/>
      <c r="AV975" s="50"/>
      <c r="AW975" s="50"/>
      <c r="AX975" s="50"/>
      <c r="AY975" s="50"/>
      <c r="AZ975" s="50"/>
      <c r="BA975" s="50"/>
      <c r="BB975" s="50"/>
      <c r="BC975" s="50"/>
      <c r="BD975" s="50"/>
      <c r="BE975" s="50"/>
      <c r="BF975" s="50"/>
      <c r="BG975" s="50"/>
      <c r="BH975" s="50"/>
      <c r="BI975" s="50"/>
      <c r="BJ975" s="50"/>
      <c r="BK975" s="50"/>
      <c r="BL975" s="50"/>
      <c r="BM975" s="50"/>
      <c r="BN975" s="50"/>
      <c r="BO975" s="50"/>
      <c r="BP975" s="50"/>
      <c r="BQ975" s="50"/>
      <c r="BR975" s="50"/>
      <c r="BS975" s="50"/>
      <c r="BT975" s="50"/>
      <c r="BU975" s="50"/>
      <c r="BV975" s="50"/>
      <c r="BW975" s="50"/>
      <c r="BX975" s="50"/>
      <c r="BY975" s="50"/>
      <c r="BZ975" s="50"/>
      <c r="CA975" s="50"/>
      <c r="CB975" s="50"/>
      <c r="CC975" s="50"/>
      <c r="CD975" s="52"/>
      <c r="CE975" s="50"/>
      <c r="CF975" s="50"/>
      <c r="CG975" s="50"/>
      <c r="CH975" s="50"/>
      <c r="CI975" s="50"/>
      <c r="CJ975" s="50"/>
      <c r="CK975" s="50"/>
      <c r="CL975" s="50"/>
      <c r="CM975" s="50"/>
      <c r="CN975" s="50"/>
      <c r="CO975" s="50"/>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c r="DZ975" s="3"/>
      <c r="EA975" s="3"/>
      <c r="EB975" s="3"/>
      <c r="EC975" s="3"/>
      <c r="ED975" s="3"/>
      <c r="EE975" s="3"/>
      <c r="EF975" s="3"/>
      <c r="EG975" s="3"/>
      <c r="EH975" s="3"/>
      <c r="EI975" s="3"/>
      <c r="EJ975" s="3"/>
      <c r="EK975" s="3"/>
      <c r="EL975" s="3"/>
      <c r="EM975" s="3"/>
      <c r="EN975" s="3"/>
      <c r="EO975" s="3"/>
      <c r="EP975" s="3"/>
      <c r="EQ975" s="3"/>
      <c r="ER975" s="3"/>
      <c r="ES975" s="3"/>
      <c r="ET975" s="3"/>
      <c r="EU975" s="3"/>
      <c r="EV975" s="3"/>
      <c r="EW975" s="3"/>
      <c r="EX975" s="3"/>
      <c r="EY975" s="3"/>
      <c r="EZ975" s="3"/>
      <c r="FA975" s="3"/>
      <c r="FB975" s="3"/>
      <c r="FC975" s="3"/>
      <c r="FD975" s="3"/>
      <c r="FE975" s="3"/>
      <c r="FF975" s="3"/>
      <c r="FG975" s="3"/>
      <c r="FH975" s="3"/>
      <c r="FI975" s="3"/>
      <c r="FJ975" s="3"/>
      <c r="FK975" s="3"/>
      <c r="FL975" s="3"/>
      <c r="FM975" s="3"/>
      <c r="FN975" s="3"/>
      <c r="FO975" s="3"/>
      <c r="FP975" s="3"/>
      <c r="FQ975" s="3"/>
      <c r="FR975" s="3"/>
      <c r="FS975" s="3"/>
      <c r="FT975" s="3"/>
      <c r="FU975" s="3"/>
      <c r="FV975" s="3"/>
      <c r="FW975" s="3"/>
      <c r="FX975" s="3"/>
      <c r="FY975" s="3"/>
      <c r="FZ975" s="3"/>
      <c r="GA975" s="3"/>
      <c r="GB975" s="3"/>
      <c r="GC975" s="3"/>
      <c r="GD975" s="3"/>
      <c r="GE975" s="3"/>
      <c r="GF975" s="3"/>
      <c r="GG975" s="3"/>
      <c r="GH975" s="3"/>
      <c r="GI975" s="3"/>
      <c r="GJ975" s="3"/>
      <c r="GK975" s="3"/>
      <c r="GL975" s="3"/>
      <c r="GM975" s="3"/>
      <c r="GN975" s="3"/>
      <c r="GO975" s="3"/>
      <c r="GP975" s="3"/>
      <c r="GQ975" s="3"/>
      <c r="GR975" s="3"/>
      <c r="GS975" s="3"/>
      <c r="GT975" s="3"/>
      <c r="GU975" s="3"/>
      <c r="GV975" s="3"/>
      <c r="GW975" s="3"/>
      <c r="GX975" s="3"/>
      <c r="GY975" s="3"/>
      <c r="GZ975" s="3"/>
      <c r="HA975" s="3"/>
      <c r="HB975" s="3"/>
    </row>
    <row r="976" spans="1:210" ht="15.75" customHeight="1">
      <c r="A976" s="50"/>
      <c r="B976" s="50"/>
      <c r="C976" s="50"/>
      <c r="D976" s="50"/>
      <c r="E976" s="50"/>
      <c r="F976" s="50"/>
      <c r="G976" s="51"/>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c r="AK976" s="50"/>
      <c r="AL976" s="50"/>
      <c r="AM976" s="50"/>
      <c r="AN976" s="50"/>
      <c r="AO976" s="50"/>
      <c r="AP976" s="50"/>
      <c r="AQ976" s="50"/>
      <c r="AR976" s="50"/>
      <c r="AS976" s="50"/>
      <c r="AT976" s="50"/>
      <c r="AU976" s="50"/>
      <c r="AV976" s="50"/>
      <c r="AW976" s="50"/>
      <c r="AX976" s="50"/>
      <c r="AY976" s="50"/>
      <c r="AZ976" s="50"/>
      <c r="BA976" s="50"/>
      <c r="BB976" s="50"/>
      <c r="BC976" s="50"/>
      <c r="BD976" s="50"/>
      <c r="BE976" s="50"/>
      <c r="BF976" s="50"/>
      <c r="BG976" s="50"/>
      <c r="BH976" s="50"/>
      <c r="BI976" s="50"/>
      <c r="BJ976" s="50"/>
      <c r="BK976" s="50"/>
      <c r="BL976" s="50"/>
      <c r="BM976" s="50"/>
      <c r="BN976" s="50"/>
      <c r="BO976" s="50"/>
      <c r="BP976" s="50"/>
      <c r="BQ976" s="50"/>
      <c r="BR976" s="50"/>
      <c r="BS976" s="50"/>
      <c r="BT976" s="50"/>
      <c r="BU976" s="50"/>
      <c r="BV976" s="50"/>
      <c r="BW976" s="50"/>
      <c r="BX976" s="50"/>
      <c r="BY976" s="50"/>
      <c r="BZ976" s="50"/>
      <c r="CA976" s="50"/>
      <c r="CB976" s="50"/>
      <c r="CC976" s="50"/>
      <c r="CD976" s="52"/>
      <c r="CE976" s="50"/>
      <c r="CF976" s="50"/>
      <c r="CG976" s="50"/>
      <c r="CH976" s="50"/>
      <c r="CI976" s="50"/>
      <c r="CJ976" s="50"/>
      <c r="CK976" s="50"/>
      <c r="CL976" s="50"/>
      <c r="CM976" s="50"/>
      <c r="CN976" s="50"/>
      <c r="CO976" s="50"/>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c r="DZ976" s="3"/>
      <c r="EA976" s="3"/>
      <c r="EB976" s="3"/>
      <c r="EC976" s="3"/>
      <c r="ED976" s="3"/>
      <c r="EE976" s="3"/>
      <c r="EF976" s="3"/>
      <c r="EG976" s="3"/>
      <c r="EH976" s="3"/>
      <c r="EI976" s="3"/>
      <c r="EJ976" s="3"/>
      <c r="EK976" s="3"/>
      <c r="EL976" s="3"/>
      <c r="EM976" s="3"/>
      <c r="EN976" s="3"/>
      <c r="EO976" s="3"/>
      <c r="EP976" s="3"/>
      <c r="EQ976" s="3"/>
      <c r="ER976" s="3"/>
      <c r="ES976" s="3"/>
      <c r="ET976" s="3"/>
      <c r="EU976" s="3"/>
      <c r="EV976" s="3"/>
      <c r="EW976" s="3"/>
      <c r="EX976" s="3"/>
      <c r="EY976" s="3"/>
      <c r="EZ976" s="3"/>
      <c r="FA976" s="3"/>
      <c r="FB976" s="3"/>
      <c r="FC976" s="3"/>
      <c r="FD976" s="3"/>
      <c r="FE976" s="3"/>
      <c r="FF976" s="3"/>
      <c r="FG976" s="3"/>
      <c r="FH976" s="3"/>
      <c r="FI976" s="3"/>
      <c r="FJ976" s="3"/>
      <c r="FK976" s="3"/>
      <c r="FL976" s="3"/>
      <c r="FM976" s="3"/>
      <c r="FN976" s="3"/>
      <c r="FO976" s="3"/>
      <c r="FP976" s="3"/>
      <c r="FQ976" s="3"/>
      <c r="FR976" s="3"/>
      <c r="FS976" s="3"/>
      <c r="FT976" s="3"/>
      <c r="FU976" s="3"/>
      <c r="FV976" s="3"/>
      <c r="FW976" s="3"/>
      <c r="FX976" s="3"/>
      <c r="FY976" s="3"/>
      <c r="FZ976" s="3"/>
      <c r="GA976" s="3"/>
      <c r="GB976" s="3"/>
      <c r="GC976" s="3"/>
      <c r="GD976" s="3"/>
      <c r="GE976" s="3"/>
      <c r="GF976" s="3"/>
      <c r="GG976" s="3"/>
      <c r="GH976" s="3"/>
      <c r="GI976" s="3"/>
      <c r="GJ976" s="3"/>
      <c r="GK976" s="3"/>
      <c r="GL976" s="3"/>
      <c r="GM976" s="3"/>
      <c r="GN976" s="3"/>
      <c r="GO976" s="3"/>
      <c r="GP976" s="3"/>
      <c r="GQ976" s="3"/>
      <c r="GR976" s="3"/>
      <c r="GS976" s="3"/>
      <c r="GT976" s="3"/>
      <c r="GU976" s="3"/>
      <c r="GV976" s="3"/>
      <c r="GW976" s="3"/>
      <c r="GX976" s="3"/>
      <c r="GY976" s="3"/>
      <c r="GZ976" s="3"/>
      <c r="HA976" s="3"/>
      <c r="HB976" s="3"/>
    </row>
    <row r="977" spans="1:210" ht="15.75" customHeight="1">
      <c r="A977" s="50"/>
      <c r="B977" s="50"/>
      <c r="C977" s="50"/>
      <c r="D977" s="50"/>
      <c r="E977" s="50"/>
      <c r="F977" s="50"/>
      <c r="G977" s="51"/>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c r="AK977" s="50"/>
      <c r="AL977" s="50"/>
      <c r="AM977" s="50"/>
      <c r="AN977" s="50"/>
      <c r="AO977" s="50"/>
      <c r="AP977" s="50"/>
      <c r="AQ977" s="50"/>
      <c r="AR977" s="50"/>
      <c r="AS977" s="50"/>
      <c r="AT977" s="50"/>
      <c r="AU977" s="50"/>
      <c r="AV977" s="50"/>
      <c r="AW977" s="50"/>
      <c r="AX977" s="50"/>
      <c r="AY977" s="50"/>
      <c r="AZ977" s="50"/>
      <c r="BA977" s="50"/>
      <c r="BB977" s="50"/>
      <c r="BC977" s="50"/>
      <c r="BD977" s="50"/>
      <c r="BE977" s="50"/>
      <c r="BF977" s="50"/>
      <c r="BG977" s="50"/>
      <c r="BH977" s="50"/>
      <c r="BI977" s="50"/>
      <c r="BJ977" s="50"/>
      <c r="BK977" s="50"/>
      <c r="BL977" s="50"/>
      <c r="BM977" s="50"/>
      <c r="BN977" s="50"/>
      <c r="BO977" s="50"/>
      <c r="BP977" s="50"/>
      <c r="BQ977" s="50"/>
      <c r="BR977" s="50"/>
      <c r="BS977" s="50"/>
      <c r="BT977" s="50"/>
      <c r="BU977" s="50"/>
      <c r="BV977" s="50"/>
      <c r="BW977" s="50"/>
      <c r="BX977" s="50"/>
      <c r="BY977" s="50"/>
      <c r="BZ977" s="50"/>
      <c r="CA977" s="50"/>
      <c r="CB977" s="50"/>
      <c r="CC977" s="50"/>
      <c r="CD977" s="52"/>
      <c r="CE977" s="50"/>
      <c r="CF977" s="50"/>
      <c r="CG977" s="50"/>
      <c r="CH977" s="50"/>
      <c r="CI977" s="50"/>
      <c r="CJ977" s="50"/>
      <c r="CK977" s="50"/>
      <c r="CL977" s="50"/>
      <c r="CM977" s="50"/>
      <c r="CN977" s="50"/>
      <c r="CO977" s="50"/>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c r="EJ977" s="3"/>
      <c r="EK977" s="3"/>
      <c r="EL977" s="3"/>
      <c r="EM977" s="3"/>
      <c r="EN977" s="3"/>
      <c r="EO977" s="3"/>
      <c r="EP977" s="3"/>
      <c r="EQ977" s="3"/>
      <c r="ER977" s="3"/>
      <c r="ES977" s="3"/>
      <c r="ET977" s="3"/>
      <c r="EU977" s="3"/>
      <c r="EV977" s="3"/>
      <c r="EW977" s="3"/>
      <c r="EX977" s="3"/>
      <c r="EY977" s="3"/>
      <c r="EZ977" s="3"/>
      <c r="FA977" s="3"/>
      <c r="FB977" s="3"/>
      <c r="FC977" s="3"/>
      <c r="FD977" s="3"/>
      <c r="FE977" s="3"/>
      <c r="FF977" s="3"/>
      <c r="FG977" s="3"/>
      <c r="FH977" s="3"/>
      <c r="FI977" s="3"/>
      <c r="FJ977" s="3"/>
      <c r="FK977" s="3"/>
      <c r="FL977" s="3"/>
      <c r="FM977" s="3"/>
      <c r="FN977" s="3"/>
      <c r="FO977" s="3"/>
      <c r="FP977" s="3"/>
      <c r="FQ977" s="3"/>
      <c r="FR977" s="3"/>
      <c r="FS977" s="3"/>
      <c r="FT977" s="3"/>
      <c r="FU977" s="3"/>
      <c r="FV977" s="3"/>
      <c r="FW977" s="3"/>
      <c r="FX977" s="3"/>
      <c r="FY977" s="3"/>
      <c r="FZ977" s="3"/>
      <c r="GA977" s="3"/>
      <c r="GB977" s="3"/>
      <c r="GC977" s="3"/>
      <c r="GD977" s="3"/>
      <c r="GE977" s="3"/>
      <c r="GF977" s="3"/>
      <c r="GG977" s="3"/>
      <c r="GH977" s="3"/>
      <c r="GI977" s="3"/>
      <c r="GJ977" s="3"/>
      <c r="GK977" s="3"/>
      <c r="GL977" s="3"/>
      <c r="GM977" s="3"/>
      <c r="GN977" s="3"/>
      <c r="GO977" s="3"/>
      <c r="GP977" s="3"/>
      <c r="GQ977" s="3"/>
      <c r="GR977" s="3"/>
      <c r="GS977" s="3"/>
      <c r="GT977" s="3"/>
      <c r="GU977" s="3"/>
      <c r="GV977" s="3"/>
      <c r="GW977" s="3"/>
      <c r="GX977" s="3"/>
      <c r="GY977" s="3"/>
      <c r="GZ977" s="3"/>
      <c r="HA977" s="3"/>
      <c r="HB977" s="3"/>
    </row>
    <row r="978" spans="1:210" ht="15.75" customHeight="1">
      <c r="A978" s="50"/>
      <c r="B978" s="50"/>
      <c r="C978" s="50"/>
      <c r="D978" s="50"/>
      <c r="E978" s="50"/>
      <c r="F978" s="50"/>
      <c r="G978" s="51"/>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c r="AK978" s="50"/>
      <c r="AL978" s="50"/>
      <c r="AM978" s="50"/>
      <c r="AN978" s="50"/>
      <c r="AO978" s="50"/>
      <c r="AP978" s="50"/>
      <c r="AQ978" s="50"/>
      <c r="AR978" s="50"/>
      <c r="AS978" s="50"/>
      <c r="AT978" s="50"/>
      <c r="AU978" s="50"/>
      <c r="AV978" s="50"/>
      <c r="AW978" s="50"/>
      <c r="AX978" s="50"/>
      <c r="AY978" s="50"/>
      <c r="AZ978" s="50"/>
      <c r="BA978" s="50"/>
      <c r="BB978" s="50"/>
      <c r="BC978" s="50"/>
      <c r="BD978" s="50"/>
      <c r="BE978" s="50"/>
      <c r="BF978" s="50"/>
      <c r="BG978" s="50"/>
      <c r="BH978" s="50"/>
      <c r="BI978" s="50"/>
      <c r="BJ978" s="50"/>
      <c r="BK978" s="50"/>
      <c r="BL978" s="50"/>
      <c r="BM978" s="50"/>
      <c r="BN978" s="50"/>
      <c r="BO978" s="50"/>
      <c r="BP978" s="50"/>
      <c r="BQ978" s="50"/>
      <c r="BR978" s="50"/>
      <c r="BS978" s="50"/>
      <c r="BT978" s="50"/>
      <c r="BU978" s="50"/>
      <c r="BV978" s="50"/>
      <c r="BW978" s="50"/>
      <c r="BX978" s="50"/>
      <c r="BY978" s="50"/>
      <c r="BZ978" s="50"/>
      <c r="CA978" s="50"/>
      <c r="CB978" s="50"/>
      <c r="CC978" s="50"/>
      <c r="CD978" s="52"/>
      <c r="CE978" s="50"/>
      <c r="CF978" s="50"/>
      <c r="CG978" s="50"/>
      <c r="CH978" s="50"/>
      <c r="CI978" s="50"/>
      <c r="CJ978" s="50"/>
      <c r="CK978" s="50"/>
      <c r="CL978" s="50"/>
      <c r="CM978" s="50"/>
      <c r="CN978" s="50"/>
      <c r="CO978" s="50"/>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c r="DZ978" s="3"/>
      <c r="EA978" s="3"/>
      <c r="EB978" s="3"/>
      <c r="EC978" s="3"/>
      <c r="ED978" s="3"/>
      <c r="EE978" s="3"/>
      <c r="EF978" s="3"/>
      <c r="EG978" s="3"/>
      <c r="EH978" s="3"/>
      <c r="EI978" s="3"/>
      <c r="EJ978" s="3"/>
      <c r="EK978" s="3"/>
      <c r="EL978" s="3"/>
      <c r="EM978" s="3"/>
      <c r="EN978" s="3"/>
      <c r="EO978" s="3"/>
      <c r="EP978" s="3"/>
      <c r="EQ978" s="3"/>
      <c r="ER978" s="3"/>
      <c r="ES978" s="3"/>
      <c r="ET978" s="3"/>
      <c r="EU978" s="3"/>
      <c r="EV978" s="3"/>
      <c r="EW978" s="3"/>
      <c r="EX978" s="3"/>
      <c r="EY978" s="3"/>
      <c r="EZ978" s="3"/>
      <c r="FA978" s="3"/>
      <c r="FB978" s="3"/>
      <c r="FC978" s="3"/>
      <c r="FD978" s="3"/>
      <c r="FE978" s="3"/>
      <c r="FF978" s="3"/>
      <c r="FG978" s="3"/>
      <c r="FH978" s="3"/>
      <c r="FI978" s="3"/>
      <c r="FJ978" s="3"/>
      <c r="FK978" s="3"/>
      <c r="FL978" s="3"/>
      <c r="FM978" s="3"/>
      <c r="FN978" s="3"/>
      <c r="FO978" s="3"/>
      <c r="FP978" s="3"/>
      <c r="FQ978" s="3"/>
      <c r="FR978" s="3"/>
      <c r="FS978" s="3"/>
      <c r="FT978" s="3"/>
      <c r="FU978" s="3"/>
      <c r="FV978" s="3"/>
      <c r="FW978" s="3"/>
      <c r="FX978" s="3"/>
      <c r="FY978" s="3"/>
      <c r="FZ978" s="3"/>
      <c r="GA978" s="3"/>
      <c r="GB978" s="3"/>
      <c r="GC978" s="3"/>
      <c r="GD978" s="3"/>
      <c r="GE978" s="3"/>
      <c r="GF978" s="3"/>
      <c r="GG978" s="3"/>
      <c r="GH978" s="3"/>
      <c r="GI978" s="3"/>
      <c r="GJ978" s="3"/>
      <c r="GK978" s="3"/>
      <c r="GL978" s="3"/>
      <c r="GM978" s="3"/>
      <c r="GN978" s="3"/>
      <c r="GO978" s="3"/>
      <c r="GP978" s="3"/>
      <c r="GQ978" s="3"/>
      <c r="GR978" s="3"/>
      <c r="GS978" s="3"/>
      <c r="GT978" s="3"/>
      <c r="GU978" s="3"/>
      <c r="GV978" s="3"/>
      <c r="GW978" s="3"/>
      <c r="GX978" s="3"/>
      <c r="GY978" s="3"/>
      <c r="GZ978" s="3"/>
      <c r="HA978" s="3"/>
      <c r="HB978" s="3"/>
    </row>
    <row r="979" spans="1:210" ht="15.75" customHeight="1">
      <c r="A979" s="50"/>
      <c r="B979" s="50"/>
      <c r="C979" s="50"/>
      <c r="D979" s="50"/>
      <c r="E979" s="50"/>
      <c r="F979" s="50"/>
      <c r="G979" s="51"/>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c r="AK979" s="50"/>
      <c r="AL979" s="50"/>
      <c r="AM979" s="50"/>
      <c r="AN979" s="50"/>
      <c r="AO979" s="50"/>
      <c r="AP979" s="50"/>
      <c r="AQ979" s="50"/>
      <c r="AR979" s="50"/>
      <c r="AS979" s="50"/>
      <c r="AT979" s="50"/>
      <c r="AU979" s="50"/>
      <c r="AV979" s="50"/>
      <c r="AW979" s="50"/>
      <c r="AX979" s="50"/>
      <c r="AY979" s="50"/>
      <c r="AZ979" s="50"/>
      <c r="BA979" s="50"/>
      <c r="BB979" s="50"/>
      <c r="BC979" s="50"/>
      <c r="BD979" s="50"/>
      <c r="BE979" s="50"/>
      <c r="BF979" s="50"/>
      <c r="BG979" s="50"/>
      <c r="BH979" s="50"/>
      <c r="BI979" s="50"/>
      <c r="BJ979" s="50"/>
      <c r="BK979" s="50"/>
      <c r="BL979" s="50"/>
      <c r="BM979" s="50"/>
      <c r="BN979" s="50"/>
      <c r="BO979" s="50"/>
      <c r="BP979" s="50"/>
      <c r="BQ979" s="50"/>
      <c r="BR979" s="50"/>
      <c r="BS979" s="50"/>
      <c r="BT979" s="50"/>
      <c r="BU979" s="50"/>
      <c r="BV979" s="50"/>
      <c r="BW979" s="50"/>
      <c r="BX979" s="50"/>
      <c r="BY979" s="50"/>
      <c r="BZ979" s="50"/>
      <c r="CA979" s="50"/>
      <c r="CB979" s="50"/>
      <c r="CC979" s="50"/>
      <c r="CD979" s="52"/>
      <c r="CE979" s="50"/>
      <c r="CF979" s="50"/>
      <c r="CG979" s="50"/>
      <c r="CH979" s="50"/>
      <c r="CI979" s="50"/>
      <c r="CJ979" s="50"/>
      <c r="CK979" s="50"/>
      <c r="CL979" s="50"/>
      <c r="CM979" s="50"/>
      <c r="CN979" s="50"/>
      <c r="CO979" s="50"/>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c r="DZ979" s="3"/>
      <c r="EA979" s="3"/>
      <c r="EB979" s="3"/>
      <c r="EC979" s="3"/>
      <c r="ED979" s="3"/>
      <c r="EE979" s="3"/>
      <c r="EF979" s="3"/>
      <c r="EG979" s="3"/>
      <c r="EH979" s="3"/>
      <c r="EI979" s="3"/>
      <c r="EJ979" s="3"/>
      <c r="EK979" s="3"/>
      <c r="EL979" s="3"/>
      <c r="EM979" s="3"/>
      <c r="EN979" s="3"/>
      <c r="EO979" s="3"/>
      <c r="EP979" s="3"/>
      <c r="EQ979" s="3"/>
      <c r="ER979" s="3"/>
      <c r="ES979" s="3"/>
      <c r="ET979" s="3"/>
      <c r="EU979" s="3"/>
      <c r="EV979" s="3"/>
      <c r="EW979" s="3"/>
      <c r="EX979" s="3"/>
      <c r="EY979" s="3"/>
      <c r="EZ979" s="3"/>
      <c r="FA979" s="3"/>
      <c r="FB979" s="3"/>
      <c r="FC979" s="3"/>
      <c r="FD979" s="3"/>
      <c r="FE979" s="3"/>
      <c r="FF979" s="3"/>
      <c r="FG979" s="3"/>
      <c r="FH979" s="3"/>
      <c r="FI979" s="3"/>
      <c r="FJ979" s="3"/>
      <c r="FK979" s="3"/>
      <c r="FL979" s="3"/>
      <c r="FM979" s="3"/>
      <c r="FN979" s="3"/>
      <c r="FO979" s="3"/>
      <c r="FP979" s="3"/>
      <c r="FQ979" s="3"/>
      <c r="FR979" s="3"/>
      <c r="FS979" s="3"/>
      <c r="FT979" s="3"/>
      <c r="FU979" s="3"/>
      <c r="FV979" s="3"/>
      <c r="FW979" s="3"/>
      <c r="FX979" s="3"/>
      <c r="FY979" s="3"/>
      <c r="FZ979" s="3"/>
      <c r="GA979" s="3"/>
      <c r="GB979" s="3"/>
      <c r="GC979" s="3"/>
      <c r="GD979" s="3"/>
      <c r="GE979" s="3"/>
      <c r="GF979" s="3"/>
      <c r="GG979" s="3"/>
      <c r="GH979" s="3"/>
      <c r="GI979" s="3"/>
      <c r="GJ979" s="3"/>
      <c r="GK979" s="3"/>
      <c r="GL979" s="3"/>
      <c r="GM979" s="3"/>
      <c r="GN979" s="3"/>
      <c r="GO979" s="3"/>
      <c r="GP979" s="3"/>
      <c r="GQ979" s="3"/>
      <c r="GR979" s="3"/>
      <c r="GS979" s="3"/>
      <c r="GT979" s="3"/>
      <c r="GU979" s="3"/>
      <c r="GV979" s="3"/>
      <c r="GW979" s="3"/>
      <c r="GX979" s="3"/>
      <c r="GY979" s="3"/>
      <c r="GZ979" s="3"/>
      <c r="HA979" s="3"/>
      <c r="HB979" s="3"/>
    </row>
    <row r="980" spans="1:210" ht="15.75" customHeight="1">
      <c r="A980" s="50"/>
      <c r="B980" s="50"/>
      <c r="C980" s="50"/>
      <c r="D980" s="50"/>
      <c r="E980" s="50"/>
      <c r="F980" s="50"/>
      <c r="G980" s="51"/>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c r="AK980" s="50"/>
      <c r="AL980" s="50"/>
      <c r="AM980" s="50"/>
      <c r="AN980" s="50"/>
      <c r="AO980" s="50"/>
      <c r="AP980" s="50"/>
      <c r="AQ980" s="50"/>
      <c r="AR980" s="50"/>
      <c r="AS980" s="50"/>
      <c r="AT980" s="50"/>
      <c r="AU980" s="50"/>
      <c r="AV980" s="50"/>
      <c r="AW980" s="50"/>
      <c r="AX980" s="50"/>
      <c r="AY980" s="50"/>
      <c r="AZ980" s="50"/>
      <c r="BA980" s="50"/>
      <c r="BB980" s="50"/>
      <c r="BC980" s="50"/>
      <c r="BD980" s="50"/>
      <c r="BE980" s="50"/>
      <c r="BF980" s="50"/>
      <c r="BG980" s="50"/>
      <c r="BH980" s="50"/>
      <c r="BI980" s="50"/>
      <c r="BJ980" s="50"/>
      <c r="BK980" s="50"/>
      <c r="BL980" s="50"/>
      <c r="BM980" s="50"/>
      <c r="BN980" s="50"/>
      <c r="BO980" s="50"/>
      <c r="BP980" s="50"/>
      <c r="BQ980" s="50"/>
      <c r="BR980" s="50"/>
      <c r="BS980" s="50"/>
      <c r="BT980" s="50"/>
      <c r="BU980" s="50"/>
      <c r="BV980" s="50"/>
      <c r="BW980" s="50"/>
      <c r="BX980" s="50"/>
      <c r="BY980" s="50"/>
      <c r="BZ980" s="50"/>
      <c r="CA980" s="50"/>
      <c r="CB980" s="50"/>
      <c r="CC980" s="50"/>
      <c r="CD980" s="52"/>
      <c r="CE980" s="50"/>
      <c r="CF980" s="50"/>
      <c r="CG980" s="50"/>
      <c r="CH980" s="50"/>
      <c r="CI980" s="50"/>
      <c r="CJ980" s="50"/>
      <c r="CK980" s="50"/>
      <c r="CL980" s="50"/>
      <c r="CM980" s="50"/>
      <c r="CN980" s="50"/>
      <c r="CO980" s="50"/>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c r="DZ980" s="3"/>
      <c r="EA980" s="3"/>
      <c r="EB980" s="3"/>
      <c r="EC980" s="3"/>
      <c r="ED980" s="3"/>
      <c r="EE980" s="3"/>
      <c r="EF980" s="3"/>
      <c r="EG980" s="3"/>
      <c r="EH980" s="3"/>
      <c r="EI980" s="3"/>
      <c r="EJ980" s="3"/>
      <c r="EK980" s="3"/>
      <c r="EL980" s="3"/>
      <c r="EM980" s="3"/>
      <c r="EN980" s="3"/>
      <c r="EO980" s="3"/>
      <c r="EP980" s="3"/>
      <c r="EQ980" s="3"/>
      <c r="ER980" s="3"/>
      <c r="ES980" s="3"/>
      <c r="ET980" s="3"/>
      <c r="EU980" s="3"/>
      <c r="EV980" s="3"/>
      <c r="EW980" s="3"/>
      <c r="EX980" s="3"/>
      <c r="EY980" s="3"/>
      <c r="EZ980" s="3"/>
      <c r="FA980" s="3"/>
      <c r="FB980" s="3"/>
      <c r="FC980" s="3"/>
      <c r="FD980" s="3"/>
      <c r="FE980" s="3"/>
      <c r="FF980" s="3"/>
      <c r="FG980" s="3"/>
      <c r="FH980" s="3"/>
      <c r="FI980" s="3"/>
      <c r="FJ980" s="3"/>
      <c r="FK980" s="3"/>
      <c r="FL980" s="3"/>
      <c r="FM980" s="3"/>
      <c r="FN980" s="3"/>
      <c r="FO980" s="3"/>
      <c r="FP980" s="3"/>
      <c r="FQ980" s="3"/>
      <c r="FR980" s="3"/>
      <c r="FS980" s="3"/>
      <c r="FT980" s="3"/>
      <c r="FU980" s="3"/>
      <c r="FV980" s="3"/>
      <c r="FW980" s="3"/>
      <c r="FX980" s="3"/>
      <c r="FY980" s="3"/>
      <c r="FZ980" s="3"/>
      <c r="GA980" s="3"/>
      <c r="GB980" s="3"/>
      <c r="GC980" s="3"/>
      <c r="GD980" s="3"/>
      <c r="GE980" s="3"/>
      <c r="GF980" s="3"/>
      <c r="GG980" s="3"/>
      <c r="GH980" s="3"/>
      <c r="GI980" s="3"/>
      <c r="GJ980" s="3"/>
      <c r="GK980" s="3"/>
      <c r="GL980" s="3"/>
      <c r="GM980" s="3"/>
      <c r="GN980" s="3"/>
      <c r="GO980" s="3"/>
      <c r="GP980" s="3"/>
      <c r="GQ980" s="3"/>
      <c r="GR980" s="3"/>
      <c r="GS980" s="3"/>
      <c r="GT980" s="3"/>
      <c r="GU980" s="3"/>
      <c r="GV980" s="3"/>
      <c r="GW980" s="3"/>
      <c r="GX980" s="3"/>
      <c r="GY980" s="3"/>
      <c r="GZ980" s="3"/>
      <c r="HA980" s="3"/>
      <c r="HB980" s="3"/>
    </row>
    <row r="981" spans="1:210" ht="15.75" customHeight="1">
      <c r="A981" s="50"/>
      <c r="B981" s="50"/>
      <c r="C981" s="50"/>
      <c r="D981" s="50"/>
      <c r="E981" s="50"/>
      <c r="F981" s="50"/>
      <c r="G981" s="51"/>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c r="AK981" s="50"/>
      <c r="AL981" s="50"/>
      <c r="AM981" s="50"/>
      <c r="AN981" s="50"/>
      <c r="AO981" s="50"/>
      <c r="AP981" s="50"/>
      <c r="AQ981" s="50"/>
      <c r="AR981" s="50"/>
      <c r="AS981" s="50"/>
      <c r="AT981" s="50"/>
      <c r="AU981" s="50"/>
      <c r="AV981" s="50"/>
      <c r="AW981" s="50"/>
      <c r="AX981" s="50"/>
      <c r="AY981" s="50"/>
      <c r="AZ981" s="50"/>
      <c r="BA981" s="50"/>
      <c r="BB981" s="50"/>
      <c r="BC981" s="50"/>
      <c r="BD981" s="50"/>
      <c r="BE981" s="50"/>
      <c r="BF981" s="50"/>
      <c r="BG981" s="50"/>
      <c r="BH981" s="50"/>
      <c r="BI981" s="50"/>
      <c r="BJ981" s="50"/>
      <c r="BK981" s="50"/>
      <c r="BL981" s="50"/>
      <c r="BM981" s="50"/>
      <c r="BN981" s="50"/>
      <c r="BO981" s="50"/>
      <c r="BP981" s="50"/>
      <c r="BQ981" s="50"/>
      <c r="BR981" s="50"/>
      <c r="BS981" s="50"/>
      <c r="BT981" s="50"/>
      <c r="BU981" s="50"/>
      <c r="BV981" s="50"/>
      <c r="BW981" s="50"/>
      <c r="BX981" s="50"/>
      <c r="BY981" s="50"/>
      <c r="BZ981" s="50"/>
      <c r="CA981" s="50"/>
      <c r="CB981" s="50"/>
      <c r="CC981" s="50"/>
      <c r="CD981" s="52"/>
      <c r="CE981" s="50"/>
      <c r="CF981" s="50"/>
      <c r="CG981" s="50"/>
      <c r="CH981" s="50"/>
      <c r="CI981" s="50"/>
      <c r="CJ981" s="50"/>
      <c r="CK981" s="50"/>
      <c r="CL981" s="50"/>
      <c r="CM981" s="50"/>
      <c r="CN981" s="50"/>
      <c r="CO981" s="50"/>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c r="DZ981" s="3"/>
      <c r="EA981" s="3"/>
      <c r="EB981" s="3"/>
      <c r="EC981" s="3"/>
      <c r="ED981" s="3"/>
      <c r="EE981" s="3"/>
      <c r="EF981" s="3"/>
      <c r="EG981" s="3"/>
      <c r="EH981" s="3"/>
      <c r="EI981" s="3"/>
      <c r="EJ981" s="3"/>
      <c r="EK981" s="3"/>
      <c r="EL981" s="3"/>
      <c r="EM981" s="3"/>
      <c r="EN981" s="3"/>
      <c r="EO981" s="3"/>
      <c r="EP981" s="3"/>
      <c r="EQ981" s="3"/>
      <c r="ER981" s="3"/>
      <c r="ES981" s="3"/>
      <c r="ET981" s="3"/>
      <c r="EU981" s="3"/>
      <c r="EV981" s="3"/>
      <c r="EW981" s="3"/>
      <c r="EX981" s="3"/>
      <c r="EY981" s="3"/>
      <c r="EZ981" s="3"/>
      <c r="FA981" s="3"/>
      <c r="FB981" s="3"/>
      <c r="FC981" s="3"/>
      <c r="FD981" s="3"/>
      <c r="FE981" s="3"/>
      <c r="FF981" s="3"/>
      <c r="FG981" s="3"/>
      <c r="FH981" s="3"/>
      <c r="FI981" s="3"/>
      <c r="FJ981" s="3"/>
      <c r="FK981" s="3"/>
      <c r="FL981" s="3"/>
      <c r="FM981" s="3"/>
      <c r="FN981" s="3"/>
      <c r="FO981" s="3"/>
      <c r="FP981" s="3"/>
      <c r="FQ981" s="3"/>
      <c r="FR981" s="3"/>
      <c r="FS981" s="3"/>
      <c r="FT981" s="3"/>
      <c r="FU981" s="3"/>
      <c r="FV981" s="3"/>
      <c r="FW981" s="3"/>
      <c r="FX981" s="3"/>
      <c r="FY981" s="3"/>
      <c r="FZ981" s="3"/>
      <c r="GA981" s="3"/>
      <c r="GB981" s="3"/>
      <c r="GC981" s="3"/>
      <c r="GD981" s="3"/>
      <c r="GE981" s="3"/>
      <c r="GF981" s="3"/>
      <c r="GG981" s="3"/>
      <c r="GH981" s="3"/>
      <c r="GI981" s="3"/>
      <c r="GJ981" s="3"/>
      <c r="GK981" s="3"/>
      <c r="GL981" s="3"/>
      <c r="GM981" s="3"/>
      <c r="GN981" s="3"/>
      <c r="GO981" s="3"/>
      <c r="GP981" s="3"/>
      <c r="GQ981" s="3"/>
      <c r="GR981" s="3"/>
      <c r="GS981" s="3"/>
      <c r="GT981" s="3"/>
      <c r="GU981" s="3"/>
      <c r="GV981" s="3"/>
      <c r="GW981" s="3"/>
      <c r="GX981" s="3"/>
      <c r="GY981" s="3"/>
      <c r="GZ981" s="3"/>
      <c r="HA981" s="3"/>
      <c r="HB981" s="3"/>
    </row>
    <row r="982" spans="1:210" ht="15.75" customHeight="1">
      <c r="A982" s="50"/>
      <c r="B982" s="50"/>
      <c r="C982" s="50"/>
      <c r="D982" s="50"/>
      <c r="E982" s="50"/>
      <c r="F982" s="50"/>
      <c r="G982" s="51"/>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c r="AK982" s="50"/>
      <c r="AL982" s="50"/>
      <c r="AM982" s="50"/>
      <c r="AN982" s="50"/>
      <c r="AO982" s="50"/>
      <c r="AP982" s="50"/>
      <c r="AQ982" s="50"/>
      <c r="AR982" s="50"/>
      <c r="AS982" s="50"/>
      <c r="AT982" s="50"/>
      <c r="AU982" s="50"/>
      <c r="AV982" s="50"/>
      <c r="AW982" s="50"/>
      <c r="AX982" s="50"/>
      <c r="AY982" s="50"/>
      <c r="AZ982" s="50"/>
      <c r="BA982" s="50"/>
      <c r="BB982" s="50"/>
      <c r="BC982" s="50"/>
      <c r="BD982" s="50"/>
      <c r="BE982" s="50"/>
      <c r="BF982" s="50"/>
      <c r="BG982" s="50"/>
      <c r="BH982" s="50"/>
      <c r="BI982" s="50"/>
      <c r="BJ982" s="50"/>
      <c r="BK982" s="50"/>
      <c r="BL982" s="50"/>
      <c r="BM982" s="50"/>
      <c r="BN982" s="50"/>
      <c r="BO982" s="50"/>
      <c r="BP982" s="50"/>
      <c r="BQ982" s="50"/>
      <c r="BR982" s="50"/>
      <c r="BS982" s="50"/>
      <c r="BT982" s="50"/>
      <c r="BU982" s="50"/>
      <c r="BV982" s="50"/>
      <c r="BW982" s="50"/>
      <c r="BX982" s="50"/>
      <c r="BY982" s="50"/>
      <c r="BZ982" s="50"/>
      <c r="CA982" s="50"/>
      <c r="CB982" s="50"/>
      <c r="CC982" s="50"/>
      <c r="CD982" s="52"/>
      <c r="CE982" s="50"/>
      <c r="CF982" s="50"/>
      <c r="CG982" s="50"/>
      <c r="CH982" s="50"/>
      <c r="CI982" s="50"/>
      <c r="CJ982" s="50"/>
      <c r="CK982" s="50"/>
      <c r="CL982" s="50"/>
      <c r="CM982" s="50"/>
      <c r="CN982" s="50"/>
      <c r="CO982" s="50"/>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c r="DZ982" s="3"/>
      <c r="EA982" s="3"/>
      <c r="EB982" s="3"/>
      <c r="EC982" s="3"/>
      <c r="ED982" s="3"/>
      <c r="EE982" s="3"/>
      <c r="EF982" s="3"/>
      <c r="EG982" s="3"/>
      <c r="EH982" s="3"/>
      <c r="EI982" s="3"/>
      <c r="EJ982" s="3"/>
      <c r="EK982" s="3"/>
      <c r="EL982" s="3"/>
      <c r="EM982" s="3"/>
      <c r="EN982" s="3"/>
      <c r="EO982" s="3"/>
      <c r="EP982" s="3"/>
      <c r="EQ982" s="3"/>
      <c r="ER982" s="3"/>
      <c r="ES982" s="3"/>
      <c r="ET982" s="3"/>
      <c r="EU982" s="3"/>
      <c r="EV982" s="3"/>
      <c r="EW982" s="3"/>
      <c r="EX982" s="3"/>
      <c r="EY982" s="3"/>
      <c r="EZ982" s="3"/>
      <c r="FA982" s="3"/>
      <c r="FB982" s="3"/>
      <c r="FC982" s="3"/>
      <c r="FD982" s="3"/>
      <c r="FE982" s="3"/>
      <c r="FF982" s="3"/>
      <c r="FG982" s="3"/>
      <c r="FH982" s="3"/>
      <c r="FI982" s="3"/>
      <c r="FJ982" s="3"/>
      <c r="FK982" s="3"/>
      <c r="FL982" s="3"/>
      <c r="FM982" s="3"/>
      <c r="FN982" s="3"/>
      <c r="FO982" s="3"/>
      <c r="FP982" s="3"/>
      <c r="FQ982" s="3"/>
      <c r="FR982" s="3"/>
      <c r="FS982" s="3"/>
      <c r="FT982" s="3"/>
      <c r="FU982" s="3"/>
      <c r="FV982" s="3"/>
      <c r="FW982" s="3"/>
      <c r="FX982" s="3"/>
      <c r="FY982" s="3"/>
      <c r="FZ982" s="3"/>
      <c r="GA982" s="3"/>
      <c r="GB982" s="3"/>
      <c r="GC982" s="3"/>
      <c r="GD982" s="3"/>
      <c r="GE982" s="3"/>
      <c r="GF982" s="3"/>
      <c r="GG982" s="3"/>
      <c r="GH982" s="3"/>
      <c r="GI982" s="3"/>
      <c r="GJ982" s="3"/>
      <c r="GK982" s="3"/>
      <c r="GL982" s="3"/>
      <c r="GM982" s="3"/>
      <c r="GN982" s="3"/>
      <c r="GO982" s="3"/>
      <c r="GP982" s="3"/>
      <c r="GQ982" s="3"/>
      <c r="GR982" s="3"/>
      <c r="GS982" s="3"/>
      <c r="GT982" s="3"/>
      <c r="GU982" s="3"/>
      <c r="GV982" s="3"/>
      <c r="GW982" s="3"/>
      <c r="GX982" s="3"/>
      <c r="GY982" s="3"/>
      <c r="GZ982" s="3"/>
      <c r="HA982" s="3"/>
      <c r="HB982" s="3"/>
    </row>
    <row r="983" spans="1:210" ht="15.75" customHeight="1">
      <c r="A983" s="50"/>
      <c r="B983" s="50"/>
      <c r="C983" s="50"/>
      <c r="D983" s="50"/>
      <c r="E983" s="50"/>
      <c r="F983" s="50"/>
      <c r="G983" s="51"/>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c r="AK983" s="50"/>
      <c r="AL983" s="50"/>
      <c r="AM983" s="50"/>
      <c r="AN983" s="50"/>
      <c r="AO983" s="50"/>
      <c r="AP983" s="50"/>
      <c r="AQ983" s="50"/>
      <c r="AR983" s="50"/>
      <c r="AS983" s="50"/>
      <c r="AT983" s="50"/>
      <c r="AU983" s="50"/>
      <c r="AV983" s="50"/>
      <c r="AW983" s="50"/>
      <c r="AX983" s="50"/>
      <c r="AY983" s="50"/>
      <c r="AZ983" s="50"/>
      <c r="BA983" s="50"/>
      <c r="BB983" s="50"/>
      <c r="BC983" s="50"/>
      <c r="BD983" s="50"/>
      <c r="BE983" s="50"/>
      <c r="BF983" s="50"/>
      <c r="BG983" s="50"/>
      <c r="BH983" s="50"/>
      <c r="BI983" s="50"/>
      <c r="BJ983" s="50"/>
      <c r="BK983" s="50"/>
      <c r="BL983" s="50"/>
      <c r="BM983" s="50"/>
      <c r="BN983" s="50"/>
      <c r="BO983" s="50"/>
      <c r="BP983" s="50"/>
      <c r="BQ983" s="50"/>
      <c r="BR983" s="50"/>
      <c r="BS983" s="50"/>
      <c r="BT983" s="50"/>
      <c r="BU983" s="50"/>
      <c r="BV983" s="50"/>
      <c r="BW983" s="50"/>
      <c r="BX983" s="50"/>
      <c r="BY983" s="50"/>
      <c r="BZ983" s="50"/>
      <c r="CA983" s="50"/>
      <c r="CB983" s="50"/>
      <c r="CC983" s="50"/>
      <c r="CD983" s="52"/>
      <c r="CE983" s="50"/>
      <c r="CF983" s="50"/>
      <c r="CG983" s="50"/>
      <c r="CH983" s="50"/>
      <c r="CI983" s="50"/>
      <c r="CJ983" s="50"/>
      <c r="CK983" s="50"/>
      <c r="CL983" s="50"/>
      <c r="CM983" s="50"/>
      <c r="CN983" s="50"/>
      <c r="CO983" s="50"/>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c r="DZ983" s="3"/>
      <c r="EA983" s="3"/>
      <c r="EB983" s="3"/>
      <c r="EC983" s="3"/>
      <c r="ED983" s="3"/>
      <c r="EE983" s="3"/>
      <c r="EF983" s="3"/>
      <c r="EG983" s="3"/>
      <c r="EH983" s="3"/>
      <c r="EI983" s="3"/>
      <c r="EJ983" s="3"/>
      <c r="EK983" s="3"/>
      <c r="EL983" s="3"/>
      <c r="EM983" s="3"/>
      <c r="EN983" s="3"/>
      <c r="EO983" s="3"/>
      <c r="EP983" s="3"/>
      <c r="EQ983" s="3"/>
      <c r="ER983" s="3"/>
      <c r="ES983" s="3"/>
      <c r="ET983" s="3"/>
      <c r="EU983" s="3"/>
      <c r="EV983" s="3"/>
      <c r="EW983" s="3"/>
      <c r="EX983" s="3"/>
      <c r="EY983" s="3"/>
      <c r="EZ983" s="3"/>
      <c r="FA983" s="3"/>
      <c r="FB983" s="3"/>
      <c r="FC983" s="3"/>
      <c r="FD983" s="3"/>
      <c r="FE983" s="3"/>
      <c r="FF983" s="3"/>
      <c r="FG983" s="3"/>
      <c r="FH983" s="3"/>
      <c r="FI983" s="3"/>
      <c r="FJ983" s="3"/>
      <c r="FK983" s="3"/>
      <c r="FL983" s="3"/>
      <c r="FM983" s="3"/>
      <c r="FN983" s="3"/>
      <c r="FO983" s="3"/>
      <c r="FP983" s="3"/>
      <c r="FQ983" s="3"/>
      <c r="FR983" s="3"/>
      <c r="FS983" s="3"/>
      <c r="FT983" s="3"/>
      <c r="FU983" s="3"/>
      <c r="FV983" s="3"/>
      <c r="FW983" s="3"/>
      <c r="FX983" s="3"/>
      <c r="FY983" s="3"/>
      <c r="FZ983" s="3"/>
      <c r="GA983" s="3"/>
      <c r="GB983" s="3"/>
      <c r="GC983" s="3"/>
      <c r="GD983" s="3"/>
      <c r="GE983" s="3"/>
      <c r="GF983" s="3"/>
      <c r="GG983" s="3"/>
      <c r="GH983" s="3"/>
      <c r="GI983" s="3"/>
      <c r="GJ983" s="3"/>
      <c r="GK983" s="3"/>
      <c r="GL983" s="3"/>
      <c r="GM983" s="3"/>
      <c r="GN983" s="3"/>
      <c r="GO983" s="3"/>
      <c r="GP983" s="3"/>
      <c r="GQ983" s="3"/>
      <c r="GR983" s="3"/>
      <c r="GS983" s="3"/>
      <c r="GT983" s="3"/>
      <c r="GU983" s="3"/>
      <c r="GV983" s="3"/>
      <c r="GW983" s="3"/>
      <c r="GX983" s="3"/>
      <c r="GY983" s="3"/>
      <c r="GZ983" s="3"/>
      <c r="HA983" s="3"/>
      <c r="HB983" s="3"/>
    </row>
    <row r="984" spans="1:210" ht="15.75" customHeight="1">
      <c r="A984" s="50"/>
      <c r="B984" s="50"/>
      <c r="C984" s="50"/>
      <c r="D984" s="50"/>
      <c r="E984" s="50"/>
      <c r="F984" s="50"/>
      <c r="G984" s="51"/>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c r="AK984" s="50"/>
      <c r="AL984" s="50"/>
      <c r="AM984" s="50"/>
      <c r="AN984" s="50"/>
      <c r="AO984" s="50"/>
      <c r="AP984" s="50"/>
      <c r="AQ984" s="50"/>
      <c r="AR984" s="50"/>
      <c r="AS984" s="50"/>
      <c r="AT984" s="50"/>
      <c r="AU984" s="50"/>
      <c r="AV984" s="50"/>
      <c r="AW984" s="50"/>
      <c r="AX984" s="50"/>
      <c r="AY984" s="50"/>
      <c r="AZ984" s="50"/>
      <c r="BA984" s="50"/>
      <c r="BB984" s="50"/>
      <c r="BC984" s="50"/>
      <c r="BD984" s="50"/>
      <c r="BE984" s="50"/>
      <c r="BF984" s="50"/>
      <c r="BG984" s="50"/>
      <c r="BH984" s="50"/>
      <c r="BI984" s="50"/>
      <c r="BJ984" s="50"/>
      <c r="BK984" s="50"/>
      <c r="BL984" s="50"/>
      <c r="BM984" s="50"/>
      <c r="BN984" s="50"/>
      <c r="BO984" s="50"/>
      <c r="BP984" s="50"/>
      <c r="BQ984" s="50"/>
      <c r="BR984" s="50"/>
      <c r="BS984" s="50"/>
      <c r="BT984" s="50"/>
      <c r="BU984" s="50"/>
      <c r="BV984" s="50"/>
      <c r="BW984" s="50"/>
      <c r="BX984" s="50"/>
      <c r="BY984" s="50"/>
      <c r="BZ984" s="50"/>
      <c r="CA984" s="50"/>
      <c r="CB984" s="50"/>
      <c r="CC984" s="50"/>
      <c r="CD984" s="52"/>
      <c r="CE984" s="50"/>
      <c r="CF984" s="50"/>
      <c r="CG984" s="50"/>
      <c r="CH984" s="50"/>
      <c r="CI984" s="50"/>
      <c r="CJ984" s="50"/>
      <c r="CK984" s="50"/>
      <c r="CL984" s="50"/>
      <c r="CM984" s="50"/>
      <c r="CN984" s="50"/>
      <c r="CO984" s="50"/>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c r="DZ984" s="3"/>
      <c r="EA984" s="3"/>
      <c r="EB984" s="3"/>
      <c r="EC984" s="3"/>
      <c r="ED984" s="3"/>
      <c r="EE984" s="3"/>
      <c r="EF984" s="3"/>
      <c r="EG984" s="3"/>
      <c r="EH984" s="3"/>
      <c r="EI984" s="3"/>
      <c r="EJ984" s="3"/>
      <c r="EK984" s="3"/>
      <c r="EL984" s="3"/>
      <c r="EM984" s="3"/>
      <c r="EN984" s="3"/>
      <c r="EO984" s="3"/>
      <c r="EP984" s="3"/>
      <c r="EQ984" s="3"/>
      <c r="ER984" s="3"/>
      <c r="ES984" s="3"/>
      <c r="ET984" s="3"/>
      <c r="EU984" s="3"/>
      <c r="EV984" s="3"/>
      <c r="EW984" s="3"/>
      <c r="EX984" s="3"/>
      <c r="EY984" s="3"/>
      <c r="EZ984" s="3"/>
      <c r="FA984" s="3"/>
      <c r="FB984" s="3"/>
      <c r="FC984" s="3"/>
      <c r="FD984" s="3"/>
      <c r="FE984" s="3"/>
      <c r="FF984" s="3"/>
      <c r="FG984" s="3"/>
      <c r="FH984" s="3"/>
      <c r="FI984" s="3"/>
      <c r="FJ984" s="3"/>
      <c r="FK984" s="3"/>
      <c r="FL984" s="3"/>
      <c r="FM984" s="3"/>
      <c r="FN984" s="3"/>
      <c r="FO984" s="3"/>
      <c r="FP984" s="3"/>
      <c r="FQ984" s="3"/>
      <c r="FR984" s="3"/>
      <c r="FS984" s="3"/>
      <c r="FT984" s="3"/>
      <c r="FU984" s="3"/>
      <c r="FV984" s="3"/>
      <c r="FW984" s="3"/>
      <c r="FX984" s="3"/>
      <c r="FY984" s="3"/>
      <c r="FZ984" s="3"/>
      <c r="GA984" s="3"/>
      <c r="GB984" s="3"/>
      <c r="GC984" s="3"/>
      <c r="GD984" s="3"/>
      <c r="GE984" s="3"/>
      <c r="GF984" s="3"/>
      <c r="GG984" s="3"/>
      <c r="GH984" s="3"/>
      <c r="GI984" s="3"/>
      <c r="GJ984" s="3"/>
      <c r="GK984" s="3"/>
      <c r="GL984" s="3"/>
      <c r="GM984" s="3"/>
      <c r="GN984" s="3"/>
      <c r="GO984" s="3"/>
      <c r="GP984" s="3"/>
      <c r="GQ984" s="3"/>
      <c r="GR984" s="3"/>
      <c r="GS984" s="3"/>
      <c r="GT984" s="3"/>
      <c r="GU984" s="3"/>
      <c r="GV984" s="3"/>
      <c r="GW984" s="3"/>
      <c r="GX984" s="3"/>
      <c r="GY984" s="3"/>
      <c r="GZ984" s="3"/>
      <c r="HA984" s="3"/>
      <c r="HB984" s="3"/>
    </row>
    <row r="985" spans="1:210" ht="15.75" customHeight="1">
      <c r="A985" s="50"/>
      <c r="B985" s="50"/>
      <c r="C985" s="50"/>
      <c r="D985" s="50"/>
      <c r="E985" s="50"/>
      <c r="F985" s="50"/>
      <c r="G985" s="51"/>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c r="AK985" s="50"/>
      <c r="AL985" s="50"/>
      <c r="AM985" s="50"/>
      <c r="AN985" s="50"/>
      <c r="AO985" s="50"/>
      <c r="AP985" s="50"/>
      <c r="AQ985" s="50"/>
      <c r="AR985" s="50"/>
      <c r="AS985" s="50"/>
      <c r="AT985" s="50"/>
      <c r="AU985" s="50"/>
      <c r="AV985" s="50"/>
      <c r="AW985" s="50"/>
      <c r="AX985" s="50"/>
      <c r="AY985" s="50"/>
      <c r="AZ985" s="50"/>
      <c r="BA985" s="50"/>
      <c r="BB985" s="50"/>
      <c r="BC985" s="50"/>
      <c r="BD985" s="50"/>
      <c r="BE985" s="50"/>
      <c r="BF985" s="50"/>
      <c r="BG985" s="50"/>
      <c r="BH985" s="50"/>
      <c r="BI985" s="50"/>
      <c r="BJ985" s="50"/>
      <c r="BK985" s="50"/>
      <c r="BL985" s="50"/>
      <c r="BM985" s="50"/>
      <c r="BN985" s="50"/>
      <c r="BO985" s="50"/>
      <c r="BP985" s="50"/>
      <c r="BQ985" s="50"/>
      <c r="BR985" s="50"/>
      <c r="BS985" s="50"/>
      <c r="BT985" s="50"/>
      <c r="BU985" s="50"/>
      <c r="BV985" s="50"/>
      <c r="BW985" s="50"/>
      <c r="BX985" s="50"/>
      <c r="BY985" s="50"/>
      <c r="BZ985" s="50"/>
      <c r="CA985" s="50"/>
      <c r="CB985" s="50"/>
      <c r="CC985" s="50"/>
      <c r="CD985" s="52"/>
      <c r="CE985" s="50"/>
      <c r="CF985" s="50"/>
      <c r="CG985" s="50"/>
      <c r="CH985" s="50"/>
      <c r="CI985" s="50"/>
      <c r="CJ985" s="50"/>
      <c r="CK985" s="50"/>
      <c r="CL985" s="50"/>
      <c r="CM985" s="50"/>
      <c r="CN985" s="50"/>
      <c r="CO985" s="50"/>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c r="DZ985" s="3"/>
      <c r="EA985" s="3"/>
      <c r="EB985" s="3"/>
      <c r="EC985" s="3"/>
      <c r="ED985" s="3"/>
      <c r="EE985" s="3"/>
      <c r="EF985" s="3"/>
      <c r="EG985" s="3"/>
      <c r="EH985" s="3"/>
      <c r="EI985" s="3"/>
      <c r="EJ985" s="3"/>
      <c r="EK985" s="3"/>
      <c r="EL985" s="3"/>
      <c r="EM985" s="3"/>
      <c r="EN985" s="3"/>
      <c r="EO985" s="3"/>
      <c r="EP985" s="3"/>
      <c r="EQ985" s="3"/>
      <c r="ER985" s="3"/>
      <c r="ES985" s="3"/>
      <c r="ET985" s="3"/>
      <c r="EU985" s="3"/>
      <c r="EV985" s="3"/>
      <c r="EW985" s="3"/>
      <c r="EX985" s="3"/>
      <c r="EY985" s="3"/>
      <c r="EZ985" s="3"/>
      <c r="FA985" s="3"/>
      <c r="FB985" s="3"/>
      <c r="FC985" s="3"/>
      <c r="FD985" s="3"/>
      <c r="FE985" s="3"/>
      <c r="FF985" s="3"/>
      <c r="FG985" s="3"/>
      <c r="FH985" s="3"/>
      <c r="FI985" s="3"/>
      <c r="FJ985" s="3"/>
      <c r="FK985" s="3"/>
      <c r="FL985" s="3"/>
      <c r="FM985" s="3"/>
      <c r="FN985" s="3"/>
      <c r="FO985" s="3"/>
      <c r="FP985" s="3"/>
      <c r="FQ985" s="3"/>
      <c r="FR985" s="3"/>
      <c r="FS985" s="3"/>
      <c r="FT985" s="3"/>
      <c r="FU985" s="3"/>
      <c r="FV985" s="3"/>
      <c r="FW985" s="3"/>
      <c r="FX985" s="3"/>
      <c r="FY985" s="3"/>
      <c r="FZ985" s="3"/>
      <c r="GA985" s="3"/>
      <c r="GB985" s="3"/>
      <c r="GC985" s="3"/>
      <c r="GD985" s="3"/>
      <c r="GE985" s="3"/>
      <c r="GF985" s="3"/>
      <c r="GG985" s="3"/>
      <c r="GH985" s="3"/>
      <c r="GI985" s="3"/>
      <c r="GJ985" s="3"/>
      <c r="GK985" s="3"/>
      <c r="GL985" s="3"/>
      <c r="GM985" s="3"/>
      <c r="GN985" s="3"/>
      <c r="GO985" s="3"/>
      <c r="GP985" s="3"/>
      <c r="GQ985" s="3"/>
      <c r="GR985" s="3"/>
      <c r="GS985" s="3"/>
      <c r="GT985" s="3"/>
      <c r="GU985" s="3"/>
      <c r="GV985" s="3"/>
      <c r="GW985" s="3"/>
      <c r="GX985" s="3"/>
      <c r="GY985" s="3"/>
      <c r="GZ985" s="3"/>
      <c r="HA985" s="3"/>
      <c r="HB985" s="3"/>
    </row>
    <row r="986" spans="1:210" ht="15.75" customHeight="1">
      <c r="A986" s="50"/>
      <c r="B986" s="50"/>
      <c r="C986" s="50"/>
      <c r="D986" s="50"/>
      <c r="E986" s="50"/>
      <c r="F986" s="50"/>
      <c r="G986" s="51"/>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c r="AK986" s="50"/>
      <c r="AL986" s="50"/>
      <c r="AM986" s="50"/>
      <c r="AN986" s="50"/>
      <c r="AO986" s="50"/>
      <c r="AP986" s="50"/>
      <c r="AQ986" s="50"/>
      <c r="AR986" s="50"/>
      <c r="AS986" s="50"/>
      <c r="AT986" s="50"/>
      <c r="AU986" s="50"/>
      <c r="AV986" s="50"/>
      <c r="AW986" s="50"/>
      <c r="AX986" s="50"/>
      <c r="AY986" s="50"/>
      <c r="AZ986" s="50"/>
      <c r="BA986" s="50"/>
      <c r="BB986" s="50"/>
      <c r="BC986" s="50"/>
      <c r="BD986" s="50"/>
      <c r="BE986" s="50"/>
      <c r="BF986" s="50"/>
      <c r="BG986" s="50"/>
      <c r="BH986" s="50"/>
      <c r="BI986" s="50"/>
      <c r="BJ986" s="50"/>
      <c r="BK986" s="50"/>
      <c r="BL986" s="50"/>
      <c r="BM986" s="50"/>
      <c r="BN986" s="50"/>
      <c r="BO986" s="50"/>
      <c r="BP986" s="50"/>
      <c r="BQ986" s="50"/>
      <c r="BR986" s="50"/>
      <c r="BS986" s="50"/>
      <c r="BT986" s="50"/>
      <c r="BU986" s="50"/>
      <c r="BV986" s="50"/>
      <c r="BW986" s="50"/>
      <c r="BX986" s="50"/>
      <c r="BY986" s="50"/>
      <c r="BZ986" s="50"/>
      <c r="CA986" s="50"/>
      <c r="CB986" s="50"/>
      <c r="CC986" s="50"/>
      <c r="CD986" s="52"/>
      <c r="CE986" s="50"/>
      <c r="CF986" s="50"/>
      <c r="CG986" s="50"/>
      <c r="CH986" s="50"/>
      <c r="CI986" s="50"/>
      <c r="CJ986" s="50"/>
      <c r="CK986" s="50"/>
      <c r="CL986" s="50"/>
      <c r="CM986" s="50"/>
      <c r="CN986" s="50"/>
      <c r="CO986" s="50"/>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c r="DZ986" s="3"/>
      <c r="EA986" s="3"/>
      <c r="EB986" s="3"/>
      <c r="EC986" s="3"/>
      <c r="ED986" s="3"/>
      <c r="EE986" s="3"/>
      <c r="EF986" s="3"/>
      <c r="EG986" s="3"/>
      <c r="EH986" s="3"/>
      <c r="EI986" s="3"/>
      <c r="EJ986" s="3"/>
      <c r="EK986" s="3"/>
      <c r="EL986" s="3"/>
      <c r="EM986" s="3"/>
      <c r="EN986" s="3"/>
      <c r="EO986" s="3"/>
      <c r="EP986" s="3"/>
      <c r="EQ986" s="3"/>
      <c r="ER986" s="3"/>
      <c r="ES986" s="3"/>
      <c r="ET986" s="3"/>
      <c r="EU986" s="3"/>
      <c r="EV986" s="3"/>
      <c r="EW986" s="3"/>
      <c r="EX986" s="3"/>
      <c r="EY986" s="3"/>
      <c r="EZ986" s="3"/>
      <c r="FA986" s="3"/>
      <c r="FB986" s="3"/>
      <c r="FC986" s="3"/>
      <c r="FD986" s="3"/>
      <c r="FE986" s="3"/>
      <c r="FF986" s="3"/>
      <c r="FG986" s="3"/>
      <c r="FH986" s="3"/>
      <c r="FI986" s="3"/>
      <c r="FJ986" s="3"/>
      <c r="FK986" s="3"/>
      <c r="FL986" s="3"/>
      <c r="FM986" s="3"/>
      <c r="FN986" s="3"/>
      <c r="FO986" s="3"/>
      <c r="FP986" s="3"/>
      <c r="FQ986" s="3"/>
      <c r="FR986" s="3"/>
      <c r="FS986" s="3"/>
      <c r="FT986" s="3"/>
      <c r="FU986" s="3"/>
      <c r="FV986" s="3"/>
      <c r="FW986" s="3"/>
      <c r="FX986" s="3"/>
      <c r="FY986" s="3"/>
      <c r="FZ986" s="3"/>
      <c r="GA986" s="3"/>
      <c r="GB986" s="3"/>
      <c r="GC986" s="3"/>
      <c r="GD986" s="3"/>
      <c r="GE986" s="3"/>
      <c r="GF986" s="3"/>
      <c r="GG986" s="3"/>
      <c r="GH986" s="3"/>
      <c r="GI986" s="3"/>
      <c r="GJ986" s="3"/>
      <c r="GK986" s="3"/>
      <c r="GL986" s="3"/>
      <c r="GM986" s="3"/>
      <c r="GN986" s="3"/>
      <c r="GO986" s="3"/>
      <c r="GP986" s="3"/>
      <c r="GQ986" s="3"/>
      <c r="GR986" s="3"/>
      <c r="GS986" s="3"/>
      <c r="GT986" s="3"/>
      <c r="GU986" s="3"/>
      <c r="GV986" s="3"/>
      <c r="GW986" s="3"/>
      <c r="GX986" s="3"/>
      <c r="GY986" s="3"/>
      <c r="GZ986" s="3"/>
      <c r="HA986" s="3"/>
      <c r="HB986" s="3"/>
    </row>
    <row r="987" spans="1:210" ht="15.75" customHeight="1">
      <c r="A987" s="50"/>
      <c r="B987" s="50"/>
      <c r="C987" s="50"/>
      <c r="D987" s="50"/>
      <c r="E987" s="50"/>
      <c r="F987" s="50"/>
      <c r="G987" s="51"/>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c r="AK987" s="50"/>
      <c r="AL987" s="50"/>
      <c r="AM987" s="50"/>
      <c r="AN987" s="50"/>
      <c r="AO987" s="50"/>
      <c r="AP987" s="50"/>
      <c r="AQ987" s="50"/>
      <c r="AR987" s="50"/>
      <c r="AS987" s="50"/>
      <c r="AT987" s="50"/>
      <c r="AU987" s="50"/>
      <c r="AV987" s="50"/>
      <c r="AW987" s="50"/>
      <c r="AX987" s="50"/>
      <c r="AY987" s="50"/>
      <c r="AZ987" s="50"/>
      <c r="BA987" s="50"/>
      <c r="BB987" s="50"/>
      <c r="BC987" s="50"/>
      <c r="BD987" s="50"/>
      <c r="BE987" s="50"/>
      <c r="BF987" s="50"/>
      <c r="BG987" s="50"/>
      <c r="BH987" s="50"/>
      <c r="BI987" s="50"/>
      <c r="BJ987" s="50"/>
      <c r="BK987" s="50"/>
      <c r="BL987" s="50"/>
      <c r="BM987" s="50"/>
      <c r="BN987" s="50"/>
      <c r="BO987" s="50"/>
      <c r="BP987" s="50"/>
      <c r="BQ987" s="50"/>
      <c r="BR987" s="50"/>
      <c r="BS987" s="50"/>
      <c r="BT987" s="50"/>
      <c r="BU987" s="50"/>
      <c r="BV987" s="50"/>
      <c r="BW987" s="50"/>
      <c r="BX987" s="50"/>
      <c r="BY987" s="50"/>
      <c r="BZ987" s="50"/>
      <c r="CA987" s="50"/>
      <c r="CB987" s="50"/>
      <c r="CC987" s="50"/>
      <c r="CD987" s="52"/>
      <c r="CE987" s="50"/>
      <c r="CF987" s="50"/>
      <c r="CG987" s="50"/>
      <c r="CH987" s="50"/>
      <c r="CI987" s="50"/>
      <c r="CJ987" s="50"/>
      <c r="CK987" s="50"/>
      <c r="CL987" s="50"/>
      <c r="CM987" s="50"/>
      <c r="CN987" s="50"/>
      <c r="CO987" s="50"/>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c r="DZ987" s="3"/>
      <c r="EA987" s="3"/>
      <c r="EB987" s="3"/>
      <c r="EC987" s="3"/>
      <c r="ED987" s="3"/>
      <c r="EE987" s="3"/>
      <c r="EF987" s="3"/>
      <c r="EG987" s="3"/>
      <c r="EH987" s="3"/>
      <c r="EI987" s="3"/>
      <c r="EJ987" s="3"/>
      <c r="EK987" s="3"/>
      <c r="EL987" s="3"/>
      <c r="EM987" s="3"/>
      <c r="EN987" s="3"/>
      <c r="EO987" s="3"/>
      <c r="EP987" s="3"/>
      <c r="EQ987" s="3"/>
      <c r="ER987" s="3"/>
      <c r="ES987" s="3"/>
      <c r="ET987" s="3"/>
      <c r="EU987" s="3"/>
      <c r="EV987" s="3"/>
      <c r="EW987" s="3"/>
      <c r="EX987" s="3"/>
      <c r="EY987" s="3"/>
      <c r="EZ987" s="3"/>
      <c r="FA987" s="3"/>
      <c r="FB987" s="3"/>
      <c r="FC987" s="3"/>
      <c r="FD987" s="3"/>
      <c r="FE987" s="3"/>
      <c r="FF987" s="3"/>
      <c r="FG987" s="3"/>
      <c r="FH987" s="3"/>
      <c r="FI987" s="3"/>
      <c r="FJ987" s="3"/>
      <c r="FK987" s="3"/>
      <c r="FL987" s="3"/>
      <c r="FM987" s="3"/>
      <c r="FN987" s="3"/>
      <c r="FO987" s="3"/>
      <c r="FP987" s="3"/>
      <c r="FQ987" s="3"/>
      <c r="FR987" s="3"/>
      <c r="FS987" s="3"/>
      <c r="FT987" s="3"/>
      <c r="FU987" s="3"/>
      <c r="FV987" s="3"/>
      <c r="FW987" s="3"/>
      <c r="FX987" s="3"/>
      <c r="FY987" s="3"/>
      <c r="FZ987" s="3"/>
      <c r="GA987" s="3"/>
      <c r="GB987" s="3"/>
      <c r="GC987" s="3"/>
      <c r="GD987" s="3"/>
      <c r="GE987" s="3"/>
      <c r="GF987" s="3"/>
      <c r="GG987" s="3"/>
      <c r="GH987" s="3"/>
      <c r="GI987" s="3"/>
      <c r="GJ987" s="3"/>
      <c r="GK987" s="3"/>
      <c r="GL987" s="3"/>
      <c r="GM987" s="3"/>
      <c r="GN987" s="3"/>
      <c r="GO987" s="3"/>
      <c r="GP987" s="3"/>
      <c r="GQ987" s="3"/>
      <c r="GR987" s="3"/>
      <c r="GS987" s="3"/>
      <c r="GT987" s="3"/>
      <c r="GU987" s="3"/>
      <c r="GV987" s="3"/>
      <c r="GW987" s="3"/>
      <c r="GX987" s="3"/>
      <c r="GY987" s="3"/>
      <c r="GZ987" s="3"/>
      <c r="HA987" s="3"/>
      <c r="HB987" s="3"/>
    </row>
    <row r="988" spans="1:210" ht="15.75" customHeight="1">
      <c r="A988" s="50"/>
      <c r="B988" s="50"/>
      <c r="C988" s="50"/>
      <c r="D988" s="50"/>
      <c r="E988" s="50"/>
      <c r="F988" s="50"/>
      <c r="G988" s="51"/>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c r="AK988" s="50"/>
      <c r="AL988" s="50"/>
      <c r="AM988" s="50"/>
      <c r="AN988" s="50"/>
      <c r="AO988" s="50"/>
      <c r="AP988" s="50"/>
      <c r="AQ988" s="50"/>
      <c r="AR988" s="50"/>
      <c r="AS988" s="50"/>
      <c r="AT988" s="50"/>
      <c r="AU988" s="50"/>
      <c r="AV988" s="50"/>
      <c r="AW988" s="50"/>
      <c r="AX988" s="50"/>
      <c r="AY988" s="50"/>
      <c r="AZ988" s="50"/>
      <c r="BA988" s="50"/>
      <c r="BB988" s="50"/>
      <c r="BC988" s="50"/>
      <c r="BD988" s="50"/>
      <c r="BE988" s="50"/>
      <c r="BF988" s="50"/>
      <c r="BG988" s="50"/>
      <c r="BH988" s="50"/>
      <c r="BI988" s="50"/>
      <c r="BJ988" s="50"/>
      <c r="BK988" s="50"/>
      <c r="BL988" s="50"/>
      <c r="BM988" s="50"/>
      <c r="BN988" s="50"/>
      <c r="BO988" s="50"/>
      <c r="BP988" s="50"/>
      <c r="BQ988" s="50"/>
      <c r="BR988" s="50"/>
      <c r="BS988" s="50"/>
      <c r="BT988" s="50"/>
      <c r="BU988" s="50"/>
      <c r="BV988" s="50"/>
      <c r="BW988" s="50"/>
      <c r="BX988" s="50"/>
      <c r="BY988" s="50"/>
      <c r="BZ988" s="50"/>
      <c r="CA988" s="50"/>
      <c r="CB988" s="50"/>
      <c r="CC988" s="50"/>
      <c r="CD988" s="52"/>
      <c r="CE988" s="50"/>
      <c r="CF988" s="50"/>
      <c r="CG988" s="50"/>
      <c r="CH988" s="50"/>
      <c r="CI988" s="50"/>
      <c r="CJ988" s="50"/>
      <c r="CK988" s="50"/>
      <c r="CL988" s="50"/>
      <c r="CM988" s="50"/>
      <c r="CN988" s="50"/>
      <c r="CO988" s="50"/>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c r="DZ988" s="3"/>
      <c r="EA988" s="3"/>
      <c r="EB988" s="3"/>
      <c r="EC988" s="3"/>
      <c r="ED988" s="3"/>
      <c r="EE988" s="3"/>
      <c r="EF988" s="3"/>
      <c r="EG988" s="3"/>
      <c r="EH988" s="3"/>
      <c r="EI988" s="3"/>
      <c r="EJ988" s="3"/>
      <c r="EK988" s="3"/>
      <c r="EL988" s="3"/>
      <c r="EM988" s="3"/>
      <c r="EN988" s="3"/>
      <c r="EO988" s="3"/>
      <c r="EP988" s="3"/>
      <c r="EQ988" s="3"/>
      <c r="ER988" s="3"/>
      <c r="ES988" s="3"/>
      <c r="ET988" s="3"/>
      <c r="EU988" s="3"/>
      <c r="EV988" s="3"/>
      <c r="EW988" s="3"/>
      <c r="EX988" s="3"/>
      <c r="EY988" s="3"/>
      <c r="EZ988" s="3"/>
      <c r="FA988" s="3"/>
      <c r="FB988" s="3"/>
      <c r="FC988" s="3"/>
      <c r="FD988" s="3"/>
      <c r="FE988" s="3"/>
      <c r="FF988" s="3"/>
      <c r="FG988" s="3"/>
      <c r="FH988" s="3"/>
      <c r="FI988" s="3"/>
      <c r="FJ988" s="3"/>
      <c r="FK988" s="3"/>
      <c r="FL988" s="3"/>
      <c r="FM988" s="3"/>
      <c r="FN988" s="3"/>
      <c r="FO988" s="3"/>
      <c r="FP988" s="3"/>
      <c r="FQ988" s="3"/>
      <c r="FR988" s="3"/>
      <c r="FS988" s="3"/>
      <c r="FT988" s="3"/>
      <c r="FU988" s="3"/>
      <c r="FV988" s="3"/>
      <c r="FW988" s="3"/>
      <c r="FX988" s="3"/>
      <c r="FY988" s="3"/>
      <c r="FZ988" s="3"/>
      <c r="GA988" s="3"/>
      <c r="GB988" s="3"/>
      <c r="GC988" s="3"/>
      <c r="GD988" s="3"/>
      <c r="GE988" s="3"/>
      <c r="GF988" s="3"/>
      <c r="GG988" s="3"/>
      <c r="GH988" s="3"/>
      <c r="GI988" s="3"/>
      <c r="GJ988" s="3"/>
      <c r="GK988" s="3"/>
      <c r="GL988" s="3"/>
      <c r="GM988" s="3"/>
      <c r="GN988" s="3"/>
      <c r="GO988" s="3"/>
      <c r="GP988" s="3"/>
      <c r="GQ988" s="3"/>
      <c r="GR988" s="3"/>
      <c r="GS988" s="3"/>
      <c r="GT988" s="3"/>
      <c r="GU988" s="3"/>
      <c r="GV988" s="3"/>
      <c r="GW988" s="3"/>
      <c r="GX988" s="3"/>
      <c r="GY988" s="3"/>
      <c r="GZ988" s="3"/>
      <c r="HA988" s="3"/>
      <c r="HB988" s="3"/>
    </row>
    <row r="989" spans="1:210" ht="15.75" customHeight="1">
      <c r="A989" s="50"/>
      <c r="B989" s="50"/>
      <c r="C989" s="50"/>
      <c r="D989" s="50"/>
      <c r="E989" s="50"/>
      <c r="F989" s="50"/>
      <c r="G989" s="51"/>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c r="AS989" s="50"/>
      <c r="AT989" s="50"/>
      <c r="AU989" s="50"/>
      <c r="AV989" s="50"/>
      <c r="AW989" s="50"/>
      <c r="AX989" s="50"/>
      <c r="AY989" s="50"/>
      <c r="AZ989" s="50"/>
      <c r="BA989" s="50"/>
      <c r="BB989" s="50"/>
      <c r="BC989" s="50"/>
      <c r="BD989" s="50"/>
      <c r="BE989" s="50"/>
      <c r="BF989" s="50"/>
      <c r="BG989" s="50"/>
      <c r="BH989" s="50"/>
      <c r="BI989" s="50"/>
      <c r="BJ989" s="50"/>
      <c r="BK989" s="50"/>
      <c r="BL989" s="50"/>
      <c r="BM989" s="50"/>
      <c r="BN989" s="50"/>
      <c r="BO989" s="50"/>
      <c r="BP989" s="50"/>
      <c r="BQ989" s="50"/>
      <c r="BR989" s="50"/>
      <c r="BS989" s="50"/>
      <c r="BT989" s="50"/>
      <c r="BU989" s="50"/>
      <c r="BV989" s="50"/>
      <c r="BW989" s="50"/>
      <c r="BX989" s="50"/>
      <c r="BY989" s="50"/>
      <c r="BZ989" s="50"/>
      <c r="CA989" s="50"/>
      <c r="CB989" s="50"/>
      <c r="CC989" s="50"/>
      <c r="CD989" s="52"/>
      <c r="CE989" s="50"/>
      <c r="CF989" s="50"/>
      <c r="CG989" s="50"/>
      <c r="CH989" s="50"/>
      <c r="CI989" s="50"/>
      <c r="CJ989" s="50"/>
      <c r="CK989" s="50"/>
      <c r="CL989" s="50"/>
      <c r="CM989" s="50"/>
      <c r="CN989" s="50"/>
      <c r="CO989" s="50"/>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c r="DZ989" s="3"/>
      <c r="EA989" s="3"/>
      <c r="EB989" s="3"/>
      <c r="EC989" s="3"/>
      <c r="ED989" s="3"/>
      <c r="EE989" s="3"/>
      <c r="EF989" s="3"/>
      <c r="EG989" s="3"/>
      <c r="EH989" s="3"/>
      <c r="EI989" s="3"/>
      <c r="EJ989" s="3"/>
      <c r="EK989" s="3"/>
      <c r="EL989" s="3"/>
      <c r="EM989" s="3"/>
      <c r="EN989" s="3"/>
      <c r="EO989" s="3"/>
      <c r="EP989" s="3"/>
      <c r="EQ989" s="3"/>
      <c r="ER989" s="3"/>
      <c r="ES989" s="3"/>
      <c r="ET989" s="3"/>
      <c r="EU989" s="3"/>
      <c r="EV989" s="3"/>
      <c r="EW989" s="3"/>
      <c r="EX989" s="3"/>
      <c r="EY989" s="3"/>
      <c r="EZ989" s="3"/>
      <c r="FA989" s="3"/>
      <c r="FB989" s="3"/>
      <c r="FC989" s="3"/>
      <c r="FD989" s="3"/>
      <c r="FE989" s="3"/>
      <c r="FF989" s="3"/>
      <c r="FG989" s="3"/>
      <c r="FH989" s="3"/>
      <c r="FI989" s="3"/>
      <c r="FJ989" s="3"/>
      <c r="FK989" s="3"/>
      <c r="FL989" s="3"/>
      <c r="FM989" s="3"/>
      <c r="FN989" s="3"/>
      <c r="FO989" s="3"/>
      <c r="FP989" s="3"/>
      <c r="FQ989" s="3"/>
      <c r="FR989" s="3"/>
      <c r="FS989" s="3"/>
      <c r="FT989" s="3"/>
      <c r="FU989" s="3"/>
      <c r="FV989" s="3"/>
      <c r="FW989" s="3"/>
      <c r="FX989" s="3"/>
      <c r="FY989" s="3"/>
      <c r="FZ989" s="3"/>
      <c r="GA989" s="3"/>
      <c r="GB989" s="3"/>
      <c r="GC989" s="3"/>
      <c r="GD989" s="3"/>
      <c r="GE989" s="3"/>
      <c r="GF989" s="3"/>
      <c r="GG989" s="3"/>
      <c r="GH989" s="3"/>
      <c r="GI989" s="3"/>
      <c r="GJ989" s="3"/>
      <c r="GK989" s="3"/>
      <c r="GL989" s="3"/>
      <c r="GM989" s="3"/>
      <c r="GN989" s="3"/>
      <c r="GO989" s="3"/>
      <c r="GP989" s="3"/>
      <c r="GQ989" s="3"/>
      <c r="GR989" s="3"/>
      <c r="GS989" s="3"/>
      <c r="GT989" s="3"/>
      <c r="GU989" s="3"/>
      <c r="GV989" s="3"/>
      <c r="GW989" s="3"/>
      <c r="GX989" s="3"/>
      <c r="GY989" s="3"/>
      <c r="GZ989" s="3"/>
      <c r="HA989" s="3"/>
      <c r="HB989" s="3"/>
    </row>
    <row r="990" spans="1:210" ht="15.75" customHeight="1">
      <c r="A990" s="50"/>
      <c r="B990" s="50"/>
      <c r="C990" s="50"/>
      <c r="D990" s="50"/>
      <c r="E990" s="50"/>
      <c r="F990" s="50"/>
      <c r="G990" s="51"/>
      <c r="H990" s="50"/>
      <c r="I990" s="50"/>
      <c r="J990" s="50"/>
      <c r="K990" s="50"/>
      <c r="L990" s="50"/>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c r="AK990" s="50"/>
      <c r="AL990" s="50"/>
      <c r="AM990" s="50"/>
      <c r="AN990" s="50"/>
      <c r="AO990" s="50"/>
      <c r="AP990" s="50"/>
      <c r="AQ990" s="50"/>
      <c r="AR990" s="50"/>
      <c r="AS990" s="50"/>
      <c r="AT990" s="50"/>
      <c r="AU990" s="50"/>
      <c r="AV990" s="50"/>
      <c r="AW990" s="50"/>
      <c r="AX990" s="50"/>
      <c r="AY990" s="50"/>
      <c r="AZ990" s="50"/>
      <c r="BA990" s="50"/>
      <c r="BB990" s="50"/>
      <c r="BC990" s="50"/>
      <c r="BD990" s="50"/>
      <c r="BE990" s="50"/>
      <c r="BF990" s="50"/>
      <c r="BG990" s="50"/>
      <c r="BH990" s="50"/>
      <c r="BI990" s="50"/>
      <c r="BJ990" s="50"/>
      <c r="BK990" s="50"/>
      <c r="BL990" s="50"/>
      <c r="BM990" s="50"/>
      <c r="BN990" s="50"/>
      <c r="BO990" s="50"/>
      <c r="BP990" s="50"/>
      <c r="BQ990" s="50"/>
      <c r="BR990" s="50"/>
      <c r="BS990" s="50"/>
      <c r="BT990" s="50"/>
      <c r="BU990" s="50"/>
      <c r="BV990" s="50"/>
      <c r="BW990" s="50"/>
      <c r="BX990" s="50"/>
      <c r="BY990" s="50"/>
      <c r="BZ990" s="50"/>
      <c r="CA990" s="50"/>
      <c r="CB990" s="50"/>
      <c r="CC990" s="50"/>
      <c r="CD990" s="52"/>
      <c r="CE990" s="50"/>
      <c r="CF990" s="50"/>
      <c r="CG990" s="50"/>
      <c r="CH990" s="50"/>
      <c r="CI990" s="50"/>
      <c r="CJ990" s="50"/>
      <c r="CK990" s="50"/>
      <c r="CL990" s="50"/>
      <c r="CM990" s="50"/>
      <c r="CN990" s="50"/>
      <c r="CO990" s="50"/>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c r="DZ990" s="3"/>
      <c r="EA990" s="3"/>
      <c r="EB990" s="3"/>
      <c r="EC990" s="3"/>
      <c r="ED990" s="3"/>
      <c r="EE990" s="3"/>
      <c r="EF990" s="3"/>
      <c r="EG990" s="3"/>
      <c r="EH990" s="3"/>
      <c r="EI990" s="3"/>
      <c r="EJ990" s="3"/>
      <c r="EK990" s="3"/>
      <c r="EL990" s="3"/>
      <c r="EM990" s="3"/>
      <c r="EN990" s="3"/>
      <c r="EO990" s="3"/>
      <c r="EP990" s="3"/>
      <c r="EQ990" s="3"/>
      <c r="ER990" s="3"/>
      <c r="ES990" s="3"/>
      <c r="ET990" s="3"/>
      <c r="EU990" s="3"/>
      <c r="EV990" s="3"/>
      <c r="EW990" s="3"/>
      <c r="EX990" s="3"/>
      <c r="EY990" s="3"/>
      <c r="EZ990" s="3"/>
      <c r="FA990" s="3"/>
      <c r="FB990" s="3"/>
      <c r="FC990" s="3"/>
      <c r="FD990" s="3"/>
      <c r="FE990" s="3"/>
      <c r="FF990" s="3"/>
      <c r="FG990" s="3"/>
      <c r="FH990" s="3"/>
      <c r="FI990" s="3"/>
      <c r="FJ990" s="3"/>
      <c r="FK990" s="3"/>
      <c r="FL990" s="3"/>
      <c r="FM990" s="3"/>
      <c r="FN990" s="3"/>
      <c r="FO990" s="3"/>
      <c r="FP990" s="3"/>
      <c r="FQ990" s="3"/>
      <c r="FR990" s="3"/>
      <c r="FS990" s="3"/>
      <c r="FT990" s="3"/>
      <c r="FU990" s="3"/>
      <c r="FV990" s="3"/>
      <c r="FW990" s="3"/>
      <c r="FX990" s="3"/>
      <c r="FY990" s="3"/>
      <c r="FZ990" s="3"/>
      <c r="GA990" s="3"/>
      <c r="GB990" s="3"/>
      <c r="GC990" s="3"/>
      <c r="GD990" s="3"/>
      <c r="GE990" s="3"/>
      <c r="GF990" s="3"/>
      <c r="GG990" s="3"/>
      <c r="GH990" s="3"/>
      <c r="GI990" s="3"/>
      <c r="GJ990" s="3"/>
      <c r="GK990" s="3"/>
      <c r="GL990" s="3"/>
      <c r="GM990" s="3"/>
      <c r="GN990" s="3"/>
      <c r="GO990" s="3"/>
      <c r="GP990" s="3"/>
      <c r="GQ990" s="3"/>
      <c r="GR990" s="3"/>
      <c r="GS990" s="3"/>
      <c r="GT990" s="3"/>
      <c r="GU990" s="3"/>
      <c r="GV990" s="3"/>
      <c r="GW990" s="3"/>
      <c r="GX990" s="3"/>
      <c r="GY990" s="3"/>
      <c r="GZ990" s="3"/>
      <c r="HA990" s="3"/>
      <c r="HB990" s="3"/>
    </row>
    <row r="991" spans="1:210" ht="15.75" customHeight="1">
      <c r="A991" s="50"/>
      <c r="B991" s="50"/>
      <c r="C991" s="50"/>
      <c r="D991" s="50"/>
      <c r="E991" s="50"/>
      <c r="F991" s="50"/>
      <c r="G991" s="51"/>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c r="AS991" s="50"/>
      <c r="AT991" s="50"/>
      <c r="AU991" s="50"/>
      <c r="AV991" s="50"/>
      <c r="AW991" s="50"/>
      <c r="AX991" s="50"/>
      <c r="AY991" s="50"/>
      <c r="AZ991" s="50"/>
      <c r="BA991" s="50"/>
      <c r="BB991" s="50"/>
      <c r="BC991" s="50"/>
      <c r="BD991" s="50"/>
      <c r="BE991" s="50"/>
      <c r="BF991" s="50"/>
      <c r="BG991" s="50"/>
      <c r="BH991" s="50"/>
      <c r="BI991" s="50"/>
      <c r="BJ991" s="50"/>
      <c r="BK991" s="50"/>
      <c r="BL991" s="50"/>
      <c r="BM991" s="50"/>
      <c r="BN991" s="50"/>
      <c r="BO991" s="50"/>
      <c r="BP991" s="50"/>
      <c r="BQ991" s="50"/>
      <c r="BR991" s="50"/>
      <c r="BS991" s="50"/>
      <c r="BT991" s="50"/>
      <c r="BU991" s="50"/>
      <c r="BV991" s="50"/>
      <c r="BW991" s="50"/>
      <c r="BX991" s="50"/>
      <c r="BY991" s="50"/>
      <c r="BZ991" s="50"/>
      <c r="CA991" s="50"/>
      <c r="CB991" s="50"/>
      <c r="CC991" s="50"/>
      <c r="CD991" s="52"/>
      <c r="CE991" s="50"/>
      <c r="CF991" s="50"/>
      <c r="CG991" s="50"/>
      <c r="CH991" s="50"/>
      <c r="CI991" s="50"/>
      <c r="CJ991" s="50"/>
      <c r="CK991" s="50"/>
      <c r="CL991" s="50"/>
      <c r="CM991" s="50"/>
      <c r="CN991" s="50"/>
      <c r="CO991" s="50"/>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c r="DZ991" s="3"/>
      <c r="EA991" s="3"/>
      <c r="EB991" s="3"/>
      <c r="EC991" s="3"/>
      <c r="ED991" s="3"/>
      <c r="EE991" s="3"/>
      <c r="EF991" s="3"/>
      <c r="EG991" s="3"/>
      <c r="EH991" s="3"/>
      <c r="EI991" s="3"/>
      <c r="EJ991" s="3"/>
      <c r="EK991" s="3"/>
      <c r="EL991" s="3"/>
      <c r="EM991" s="3"/>
      <c r="EN991" s="3"/>
      <c r="EO991" s="3"/>
      <c r="EP991" s="3"/>
      <c r="EQ991" s="3"/>
      <c r="ER991" s="3"/>
      <c r="ES991" s="3"/>
      <c r="ET991" s="3"/>
      <c r="EU991" s="3"/>
      <c r="EV991" s="3"/>
      <c r="EW991" s="3"/>
      <c r="EX991" s="3"/>
      <c r="EY991" s="3"/>
      <c r="EZ991" s="3"/>
      <c r="FA991" s="3"/>
      <c r="FB991" s="3"/>
      <c r="FC991" s="3"/>
      <c r="FD991" s="3"/>
      <c r="FE991" s="3"/>
      <c r="FF991" s="3"/>
      <c r="FG991" s="3"/>
      <c r="FH991" s="3"/>
      <c r="FI991" s="3"/>
      <c r="FJ991" s="3"/>
      <c r="FK991" s="3"/>
      <c r="FL991" s="3"/>
      <c r="FM991" s="3"/>
      <c r="FN991" s="3"/>
      <c r="FO991" s="3"/>
      <c r="FP991" s="3"/>
      <c r="FQ991" s="3"/>
      <c r="FR991" s="3"/>
      <c r="FS991" s="3"/>
      <c r="FT991" s="3"/>
      <c r="FU991" s="3"/>
      <c r="FV991" s="3"/>
      <c r="FW991" s="3"/>
      <c r="FX991" s="3"/>
      <c r="FY991" s="3"/>
      <c r="FZ991" s="3"/>
      <c r="GA991" s="3"/>
      <c r="GB991" s="3"/>
      <c r="GC991" s="3"/>
      <c r="GD991" s="3"/>
      <c r="GE991" s="3"/>
      <c r="GF991" s="3"/>
      <c r="GG991" s="3"/>
      <c r="GH991" s="3"/>
      <c r="GI991" s="3"/>
      <c r="GJ991" s="3"/>
      <c r="GK991" s="3"/>
      <c r="GL991" s="3"/>
      <c r="GM991" s="3"/>
      <c r="GN991" s="3"/>
      <c r="GO991" s="3"/>
      <c r="GP991" s="3"/>
      <c r="GQ991" s="3"/>
      <c r="GR991" s="3"/>
      <c r="GS991" s="3"/>
      <c r="GT991" s="3"/>
      <c r="GU991" s="3"/>
      <c r="GV991" s="3"/>
      <c r="GW991" s="3"/>
      <c r="GX991" s="3"/>
      <c r="GY991" s="3"/>
      <c r="GZ991" s="3"/>
      <c r="HA991" s="3"/>
      <c r="HB991" s="3"/>
    </row>
    <row r="992" spans="1:210" ht="15.75" customHeight="1">
      <c r="A992" s="50"/>
      <c r="B992" s="50"/>
      <c r="C992" s="50"/>
      <c r="D992" s="50"/>
      <c r="E992" s="50"/>
      <c r="F992" s="50"/>
      <c r="G992" s="51"/>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c r="AS992" s="50"/>
      <c r="AT992" s="50"/>
      <c r="AU992" s="50"/>
      <c r="AV992" s="50"/>
      <c r="AW992" s="50"/>
      <c r="AX992" s="50"/>
      <c r="AY992" s="50"/>
      <c r="AZ992" s="50"/>
      <c r="BA992" s="50"/>
      <c r="BB992" s="50"/>
      <c r="BC992" s="50"/>
      <c r="BD992" s="50"/>
      <c r="BE992" s="50"/>
      <c r="BF992" s="50"/>
      <c r="BG992" s="50"/>
      <c r="BH992" s="50"/>
      <c r="BI992" s="50"/>
      <c r="BJ992" s="50"/>
      <c r="BK992" s="50"/>
      <c r="BL992" s="50"/>
      <c r="BM992" s="50"/>
      <c r="BN992" s="50"/>
      <c r="BO992" s="50"/>
      <c r="BP992" s="50"/>
      <c r="BQ992" s="50"/>
      <c r="BR992" s="50"/>
      <c r="BS992" s="50"/>
      <c r="BT992" s="50"/>
      <c r="BU992" s="50"/>
      <c r="BV992" s="50"/>
      <c r="BW992" s="50"/>
      <c r="BX992" s="50"/>
      <c r="BY992" s="50"/>
      <c r="BZ992" s="50"/>
      <c r="CA992" s="50"/>
      <c r="CB992" s="50"/>
      <c r="CC992" s="50"/>
      <c r="CD992" s="52"/>
      <c r="CE992" s="50"/>
      <c r="CF992" s="50"/>
      <c r="CG992" s="50"/>
      <c r="CH992" s="50"/>
      <c r="CI992" s="50"/>
      <c r="CJ992" s="50"/>
      <c r="CK992" s="50"/>
      <c r="CL992" s="50"/>
      <c r="CM992" s="50"/>
      <c r="CN992" s="50"/>
      <c r="CO992" s="50"/>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c r="DZ992" s="3"/>
      <c r="EA992" s="3"/>
      <c r="EB992" s="3"/>
      <c r="EC992" s="3"/>
      <c r="ED992" s="3"/>
      <c r="EE992" s="3"/>
      <c r="EF992" s="3"/>
      <c r="EG992" s="3"/>
      <c r="EH992" s="3"/>
      <c r="EI992" s="3"/>
      <c r="EJ992" s="3"/>
      <c r="EK992" s="3"/>
      <c r="EL992" s="3"/>
      <c r="EM992" s="3"/>
      <c r="EN992" s="3"/>
      <c r="EO992" s="3"/>
      <c r="EP992" s="3"/>
      <c r="EQ992" s="3"/>
      <c r="ER992" s="3"/>
      <c r="ES992" s="3"/>
      <c r="ET992" s="3"/>
      <c r="EU992" s="3"/>
      <c r="EV992" s="3"/>
      <c r="EW992" s="3"/>
      <c r="EX992" s="3"/>
      <c r="EY992" s="3"/>
      <c r="EZ992" s="3"/>
      <c r="FA992" s="3"/>
      <c r="FB992" s="3"/>
      <c r="FC992" s="3"/>
      <c r="FD992" s="3"/>
      <c r="FE992" s="3"/>
      <c r="FF992" s="3"/>
      <c r="FG992" s="3"/>
      <c r="FH992" s="3"/>
      <c r="FI992" s="3"/>
      <c r="FJ992" s="3"/>
      <c r="FK992" s="3"/>
      <c r="FL992" s="3"/>
      <c r="FM992" s="3"/>
      <c r="FN992" s="3"/>
      <c r="FO992" s="3"/>
      <c r="FP992" s="3"/>
      <c r="FQ992" s="3"/>
      <c r="FR992" s="3"/>
      <c r="FS992" s="3"/>
      <c r="FT992" s="3"/>
      <c r="FU992" s="3"/>
      <c r="FV992" s="3"/>
      <c r="FW992" s="3"/>
      <c r="FX992" s="3"/>
      <c r="FY992" s="3"/>
      <c r="FZ992" s="3"/>
      <c r="GA992" s="3"/>
      <c r="GB992" s="3"/>
      <c r="GC992" s="3"/>
      <c r="GD992" s="3"/>
      <c r="GE992" s="3"/>
      <c r="GF992" s="3"/>
      <c r="GG992" s="3"/>
      <c r="GH992" s="3"/>
      <c r="GI992" s="3"/>
      <c r="GJ992" s="3"/>
      <c r="GK992" s="3"/>
      <c r="GL992" s="3"/>
      <c r="GM992" s="3"/>
      <c r="GN992" s="3"/>
      <c r="GO992" s="3"/>
      <c r="GP992" s="3"/>
      <c r="GQ992" s="3"/>
      <c r="GR992" s="3"/>
      <c r="GS992" s="3"/>
      <c r="GT992" s="3"/>
      <c r="GU992" s="3"/>
      <c r="GV992" s="3"/>
      <c r="GW992" s="3"/>
      <c r="GX992" s="3"/>
      <c r="GY992" s="3"/>
      <c r="GZ992" s="3"/>
      <c r="HA992" s="3"/>
      <c r="HB992" s="3"/>
    </row>
    <row r="993" spans="1:210" ht="15.75" customHeight="1">
      <c r="A993" s="50"/>
      <c r="B993" s="50"/>
      <c r="C993" s="50"/>
      <c r="D993" s="50"/>
      <c r="E993" s="50"/>
      <c r="F993" s="50"/>
      <c r="G993" s="51"/>
      <c r="H993" s="50"/>
      <c r="I993" s="50"/>
      <c r="J993" s="50"/>
      <c r="K993" s="50"/>
      <c r="L993" s="50"/>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c r="AK993" s="50"/>
      <c r="AL993" s="50"/>
      <c r="AM993" s="50"/>
      <c r="AN993" s="50"/>
      <c r="AO993" s="50"/>
      <c r="AP993" s="50"/>
      <c r="AQ993" s="50"/>
      <c r="AR993" s="50"/>
      <c r="AS993" s="50"/>
      <c r="AT993" s="50"/>
      <c r="AU993" s="50"/>
      <c r="AV993" s="50"/>
      <c r="AW993" s="50"/>
      <c r="AX993" s="50"/>
      <c r="AY993" s="50"/>
      <c r="AZ993" s="50"/>
      <c r="BA993" s="50"/>
      <c r="BB993" s="50"/>
      <c r="BC993" s="50"/>
      <c r="BD993" s="50"/>
      <c r="BE993" s="50"/>
      <c r="BF993" s="50"/>
      <c r="BG993" s="50"/>
      <c r="BH993" s="50"/>
      <c r="BI993" s="50"/>
      <c r="BJ993" s="50"/>
      <c r="BK993" s="50"/>
      <c r="BL993" s="50"/>
      <c r="BM993" s="50"/>
      <c r="BN993" s="50"/>
      <c r="BO993" s="50"/>
      <c r="BP993" s="50"/>
      <c r="BQ993" s="50"/>
      <c r="BR993" s="50"/>
      <c r="BS993" s="50"/>
      <c r="BT993" s="50"/>
      <c r="BU993" s="50"/>
      <c r="BV993" s="50"/>
      <c r="BW993" s="50"/>
      <c r="BX993" s="50"/>
      <c r="BY993" s="50"/>
      <c r="BZ993" s="50"/>
      <c r="CA993" s="50"/>
      <c r="CB993" s="50"/>
      <c r="CC993" s="50"/>
      <c r="CD993" s="52"/>
      <c r="CE993" s="50"/>
      <c r="CF993" s="50"/>
      <c r="CG993" s="50"/>
      <c r="CH993" s="50"/>
      <c r="CI993" s="50"/>
      <c r="CJ993" s="50"/>
      <c r="CK993" s="50"/>
      <c r="CL993" s="50"/>
      <c r="CM993" s="50"/>
      <c r="CN993" s="50"/>
      <c r="CO993" s="50"/>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c r="DZ993" s="3"/>
      <c r="EA993" s="3"/>
      <c r="EB993" s="3"/>
      <c r="EC993" s="3"/>
      <c r="ED993" s="3"/>
      <c r="EE993" s="3"/>
      <c r="EF993" s="3"/>
      <c r="EG993" s="3"/>
      <c r="EH993" s="3"/>
      <c r="EI993" s="3"/>
      <c r="EJ993" s="3"/>
      <c r="EK993" s="3"/>
      <c r="EL993" s="3"/>
      <c r="EM993" s="3"/>
      <c r="EN993" s="3"/>
      <c r="EO993" s="3"/>
      <c r="EP993" s="3"/>
      <c r="EQ993" s="3"/>
      <c r="ER993" s="3"/>
      <c r="ES993" s="3"/>
      <c r="ET993" s="3"/>
      <c r="EU993" s="3"/>
      <c r="EV993" s="3"/>
      <c r="EW993" s="3"/>
      <c r="EX993" s="3"/>
      <c r="EY993" s="3"/>
      <c r="EZ993" s="3"/>
      <c r="FA993" s="3"/>
      <c r="FB993" s="3"/>
      <c r="FC993" s="3"/>
      <c r="FD993" s="3"/>
      <c r="FE993" s="3"/>
      <c r="FF993" s="3"/>
      <c r="FG993" s="3"/>
      <c r="FH993" s="3"/>
      <c r="FI993" s="3"/>
      <c r="FJ993" s="3"/>
      <c r="FK993" s="3"/>
      <c r="FL993" s="3"/>
      <c r="FM993" s="3"/>
      <c r="FN993" s="3"/>
      <c r="FO993" s="3"/>
      <c r="FP993" s="3"/>
      <c r="FQ993" s="3"/>
      <c r="FR993" s="3"/>
      <c r="FS993" s="3"/>
      <c r="FT993" s="3"/>
      <c r="FU993" s="3"/>
      <c r="FV993" s="3"/>
      <c r="FW993" s="3"/>
      <c r="FX993" s="3"/>
      <c r="FY993" s="3"/>
      <c r="FZ993" s="3"/>
      <c r="GA993" s="3"/>
      <c r="GB993" s="3"/>
      <c r="GC993" s="3"/>
      <c r="GD993" s="3"/>
      <c r="GE993" s="3"/>
      <c r="GF993" s="3"/>
      <c r="GG993" s="3"/>
      <c r="GH993" s="3"/>
      <c r="GI993" s="3"/>
      <c r="GJ993" s="3"/>
      <c r="GK993" s="3"/>
      <c r="GL993" s="3"/>
      <c r="GM993" s="3"/>
      <c r="GN993" s="3"/>
      <c r="GO993" s="3"/>
      <c r="GP993" s="3"/>
      <c r="GQ993" s="3"/>
      <c r="GR993" s="3"/>
      <c r="GS993" s="3"/>
      <c r="GT993" s="3"/>
      <c r="GU993" s="3"/>
      <c r="GV993" s="3"/>
      <c r="GW993" s="3"/>
      <c r="GX993" s="3"/>
      <c r="GY993" s="3"/>
      <c r="GZ993" s="3"/>
      <c r="HA993" s="3"/>
      <c r="HB993" s="3"/>
    </row>
    <row r="994" spans="1:210" ht="15.75" customHeight="1">
      <c r="A994" s="50"/>
      <c r="B994" s="50"/>
      <c r="C994" s="50"/>
      <c r="D994" s="50"/>
      <c r="E994" s="50"/>
      <c r="F994" s="50"/>
      <c r="G994" s="51"/>
      <c r="H994" s="50"/>
      <c r="I994" s="50"/>
      <c r="J994" s="50"/>
      <c r="K994" s="50"/>
      <c r="L994" s="50"/>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c r="AK994" s="50"/>
      <c r="AL994" s="50"/>
      <c r="AM994" s="50"/>
      <c r="AN994" s="50"/>
      <c r="AO994" s="50"/>
      <c r="AP994" s="50"/>
      <c r="AQ994" s="50"/>
      <c r="AR994" s="50"/>
      <c r="AS994" s="50"/>
      <c r="AT994" s="50"/>
      <c r="AU994" s="50"/>
      <c r="AV994" s="50"/>
      <c r="AW994" s="50"/>
      <c r="AX994" s="50"/>
      <c r="AY994" s="50"/>
      <c r="AZ994" s="50"/>
      <c r="BA994" s="50"/>
      <c r="BB994" s="50"/>
      <c r="BC994" s="50"/>
      <c r="BD994" s="50"/>
      <c r="BE994" s="50"/>
      <c r="BF994" s="50"/>
      <c r="BG994" s="50"/>
      <c r="BH994" s="50"/>
      <c r="BI994" s="50"/>
      <c r="BJ994" s="50"/>
      <c r="BK994" s="50"/>
      <c r="BL994" s="50"/>
      <c r="BM994" s="50"/>
      <c r="BN994" s="50"/>
      <c r="BO994" s="50"/>
      <c r="BP994" s="50"/>
      <c r="BQ994" s="50"/>
      <c r="BR994" s="50"/>
      <c r="BS994" s="50"/>
      <c r="BT994" s="50"/>
      <c r="BU994" s="50"/>
      <c r="BV994" s="50"/>
      <c r="BW994" s="50"/>
      <c r="BX994" s="50"/>
      <c r="BY994" s="50"/>
      <c r="BZ994" s="50"/>
      <c r="CA994" s="50"/>
      <c r="CB994" s="50"/>
      <c r="CC994" s="50"/>
      <c r="CD994" s="52"/>
      <c r="CE994" s="50"/>
      <c r="CF994" s="50"/>
      <c r="CG994" s="50"/>
      <c r="CH994" s="50"/>
      <c r="CI994" s="50"/>
      <c r="CJ994" s="50"/>
      <c r="CK994" s="50"/>
      <c r="CL994" s="50"/>
      <c r="CM994" s="50"/>
      <c r="CN994" s="50"/>
      <c r="CO994" s="50"/>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c r="DZ994" s="3"/>
      <c r="EA994" s="3"/>
      <c r="EB994" s="3"/>
      <c r="EC994" s="3"/>
      <c r="ED994" s="3"/>
      <c r="EE994" s="3"/>
      <c r="EF994" s="3"/>
      <c r="EG994" s="3"/>
      <c r="EH994" s="3"/>
      <c r="EI994" s="3"/>
      <c r="EJ994" s="3"/>
      <c r="EK994" s="3"/>
      <c r="EL994" s="3"/>
      <c r="EM994" s="3"/>
      <c r="EN994" s="3"/>
      <c r="EO994" s="3"/>
      <c r="EP994" s="3"/>
      <c r="EQ994" s="3"/>
      <c r="ER994" s="3"/>
      <c r="ES994" s="3"/>
      <c r="ET994" s="3"/>
      <c r="EU994" s="3"/>
      <c r="EV994" s="3"/>
      <c r="EW994" s="3"/>
      <c r="EX994" s="3"/>
      <c r="EY994" s="3"/>
      <c r="EZ994" s="3"/>
      <c r="FA994" s="3"/>
      <c r="FB994" s="3"/>
      <c r="FC994" s="3"/>
      <c r="FD994" s="3"/>
      <c r="FE994" s="3"/>
      <c r="FF994" s="3"/>
      <c r="FG994" s="3"/>
      <c r="FH994" s="3"/>
      <c r="FI994" s="3"/>
      <c r="FJ994" s="3"/>
      <c r="FK994" s="3"/>
      <c r="FL994" s="3"/>
      <c r="FM994" s="3"/>
      <c r="FN994" s="3"/>
      <c r="FO994" s="3"/>
      <c r="FP994" s="3"/>
      <c r="FQ994" s="3"/>
      <c r="FR994" s="3"/>
      <c r="FS994" s="3"/>
      <c r="FT994" s="3"/>
      <c r="FU994" s="3"/>
      <c r="FV994" s="3"/>
      <c r="FW994" s="3"/>
      <c r="FX994" s="3"/>
      <c r="FY994" s="3"/>
      <c r="FZ994" s="3"/>
      <c r="GA994" s="3"/>
      <c r="GB994" s="3"/>
      <c r="GC994" s="3"/>
      <c r="GD994" s="3"/>
      <c r="GE994" s="3"/>
      <c r="GF994" s="3"/>
      <c r="GG994" s="3"/>
      <c r="GH994" s="3"/>
      <c r="GI994" s="3"/>
      <c r="GJ994" s="3"/>
      <c r="GK994" s="3"/>
      <c r="GL994" s="3"/>
      <c r="GM994" s="3"/>
      <c r="GN994" s="3"/>
      <c r="GO994" s="3"/>
      <c r="GP994" s="3"/>
      <c r="GQ994" s="3"/>
      <c r="GR994" s="3"/>
      <c r="GS994" s="3"/>
      <c r="GT994" s="3"/>
      <c r="GU994" s="3"/>
      <c r="GV994" s="3"/>
      <c r="GW994" s="3"/>
      <c r="GX994" s="3"/>
      <c r="GY994" s="3"/>
      <c r="GZ994" s="3"/>
      <c r="HA994" s="3"/>
      <c r="HB994" s="3"/>
    </row>
    <row r="995" spans="1:210" ht="15.75" customHeight="1">
      <c r="A995" s="50"/>
      <c r="B995" s="50"/>
      <c r="C995" s="50"/>
      <c r="D995" s="50"/>
      <c r="E995" s="50"/>
      <c r="F995" s="50"/>
      <c r="G995" s="51"/>
      <c r="H995" s="50"/>
      <c r="I995" s="50"/>
      <c r="J995" s="50"/>
      <c r="K995" s="50"/>
      <c r="L995" s="50"/>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c r="AK995" s="50"/>
      <c r="AL995" s="50"/>
      <c r="AM995" s="50"/>
      <c r="AN995" s="50"/>
      <c r="AO995" s="50"/>
      <c r="AP995" s="50"/>
      <c r="AQ995" s="50"/>
      <c r="AR995" s="50"/>
      <c r="AS995" s="50"/>
      <c r="AT995" s="50"/>
      <c r="AU995" s="50"/>
      <c r="AV995" s="50"/>
      <c r="AW995" s="50"/>
      <c r="AX995" s="50"/>
      <c r="AY995" s="50"/>
      <c r="AZ995" s="50"/>
      <c r="BA995" s="50"/>
      <c r="BB995" s="50"/>
      <c r="BC995" s="50"/>
      <c r="BD995" s="50"/>
      <c r="BE995" s="50"/>
      <c r="BF995" s="50"/>
      <c r="BG995" s="50"/>
      <c r="BH995" s="50"/>
      <c r="BI995" s="50"/>
      <c r="BJ995" s="50"/>
      <c r="BK995" s="50"/>
      <c r="BL995" s="50"/>
      <c r="BM995" s="50"/>
      <c r="BN995" s="50"/>
      <c r="BO995" s="50"/>
      <c r="BP995" s="50"/>
      <c r="BQ995" s="50"/>
      <c r="BR995" s="50"/>
      <c r="BS995" s="50"/>
      <c r="BT995" s="50"/>
      <c r="BU995" s="50"/>
      <c r="BV995" s="50"/>
      <c r="BW995" s="50"/>
      <c r="BX995" s="50"/>
      <c r="BY995" s="50"/>
      <c r="BZ995" s="50"/>
      <c r="CA995" s="50"/>
      <c r="CB995" s="50"/>
      <c r="CC995" s="50"/>
      <c r="CD995" s="52"/>
      <c r="CE995" s="50"/>
      <c r="CF995" s="50"/>
      <c r="CG995" s="50"/>
      <c r="CH995" s="50"/>
      <c r="CI995" s="50"/>
      <c r="CJ995" s="50"/>
      <c r="CK995" s="50"/>
      <c r="CL995" s="50"/>
      <c r="CM995" s="50"/>
      <c r="CN995" s="50"/>
      <c r="CO995" s="50"/>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c r="DZ995" s="3"/>
      <c r="EA995" s="3"/>
      <c r="EB995" s="3"/>
      <c r="EC995" s="3"/>
      <c r="ED995" s="3"/>
      <c r="EE995" s="3"/>
      <c r="EF995" s="3"/>
      <c r="EG995" s="3"/>
      <c r="EH995" s="3"/>
      <c r="EI995" s="3"/>
      <c r="EJ995" s="3"/>
      <c r="EK995" s="3"/>
      <c r="EL995" s="3"/>
      <c r="EM995" s="3"/>
      <c r="EN995" s="3"/>
      <c r="EO995" s="3"/>
      <c r="EP995" s="3"/>
      <c r="EQ995" s="3"/>
      <c r="ER995" s="3"/>
      <c r="ES995" s="3"/>
      <c r="ET995" s="3"/>
      <c r="EU995" s="3"/>
      <c r="EV995" s="3"/>
      <c r="EW995" s="3"/>
      <c r="EX995" s="3"/>
      <c r="EY995" s="3"/>
      <c r="EZ995" s="3"/>
      <c r="FA995" s="3"/>
      <c r="FB995" s="3"/>
      <c r="FC995" s="3"/>
      <c r="FD995" s="3"/>
      <c r="FE995" s="3"/>
      <c r="FF995" s="3"/>
      <c r="FG995" s="3"/>
      <c r="FH995" s="3"/>
      <c r="FI995" s="3"/>
      <c r="FJ995" s="3"/>
      <c r="FK995" s="3"/>
      <c r="FL995" s="3"/>
      <c r="FM995" s="3"/>
      <c r="FN995" s="3"/>
      <c r="FO995" s="3"/>
      <c r="FP995" s="3"/>
      <c r="FQ995" s="3"/>
      <c r="FR995" s="3"/>
      <c r="FS995" s="3"/>
      <c r="FT995" s="3"/>
      <c r="FU995" s="3"/>
      <c r="FV995" s="3"/>
      <c r="FW995" s="3"/>
      <c r="FX995" s="3"/>
      <c r="FY995" s="3"/>
      <c r="FZ995" s="3"/>
      <c r="GA995" s="3"/>
      <c r="GB995" s="3"/>
      <c r="GC995" s="3"/>
      <c r="GD995" s="3"/>
      <c r="GE995" s="3"/>
      <c r="GF995" s="3"/>
      <c r="GG995" s="3"/>
      <c r="GH995" s="3"/>
      <c r="GI995" s="3"/>
      <c r="GJ995" s="3"/>
      <c r="GK995" s="3"/>
      <c r="GL995" s="3"/>
      <c r="GM995" s="3"/>
      <c r="GN995" s="3"/>
      <c r="GO995" s="3"/>
      <c r="GP995" s="3"/>
      <c r="GQ995" s="3"/>
      <c r="GR995" s="3"/>
      <c r="GS995" s="3"/>
      <c r="GT995" s="3"/>
      <c r="GU995" s="3"/>
      <c r="GV995" s="3"/>
      <c r="GW995" s="3"/>
      <c r="GX995" s="3"/>
      <c r="GY995" s="3"/>
      <c r="GZ995" s="3"/>
      <c r="HA995" s="3"/>
      <c r="HB995" s="3"/>
    </row>
  </sheetData>
  <hyperlinks>
    <hyperlink ref="V10" r:id="rId1" xr:uid="{00000000-0004-0000-0100-000000000000}"/>
    <hyperlink ref="AZ10" r:id="rId2" xr:uid="{00000000-0004-0000-0100-000001000000}"/>
    <hyperlink ref="AZ23" r:id="rId3" xr:uid="{00000000-0004-0000-0100-000002000000}"/>
    <hyperlink ref="V50" r:id="rId4" xr:uid="{00000000-0004-0000-0100-000003000000}"/>
    <hyperlink ref="V51" r:id="rId5" xr:uid="{00000000-0004-0000-0100-000005000000}"/>
    <hyperlink ref="K75" r:id="rId6" xr:uid="{00000000-0004-0000-0100-000006000000}"/>
    <hyperlink ref="L75" r:id="rId7" display="https://www.nature.com/articles/s41588-024-02039-4" xr:uid="{00000000-0004-0000-0100-000007000000}"/>
    <hyperlink ref="P75" r:id="rId8" xr:uid="{00000000-0004-0000-0100-000008000000}"/>
    <hyperlink ref="R75" r:id="rId9" xr:uid="{00000000-0004-0000-0100-000009000000}"/>
    <hyperlink ref="AR75" r:id="rId10" xr:uid="{00000000-0004-0000-0100-00000A000000}"/>
    <hyperlink ref="AS75" r:id="rId11" xr:uid="{00000000-0004-0000-0100-00000B000000}"/>
    <hyperlink ref="AZ75" r:id="rId12" xr:uid="{00000000-0004-0000-0100-00000C000000}"/>
    <hyperlink ref="BA75" r:id="rId13" xr:uid="{00000000-0004-0000-0100-00000D000000}"/>
  </hyperlinks>
  <pageMargins left="0.7" right="0.7" top="0.75" bottom="0.75" header="0.3" footer="0.3"/>
  <tableParts count="8">
    <tablePart r:id="rId14"/>
    <tablePart r:id="rId15"/>
    <tablePart r:id="rId16"/>
    <tablePart r:id="rId17"/>
    <tablePart r:id="rId18"/>
    <tablePart r:id="rId19"/>
    <tablePart r:id="rId20"/>
    <tablePart r:id="rId2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8"/>
  <sheetViews>
    <sheetView workbookViewId="0"/>
  </sheetViews>
  <sheetFormatPr baseColWidth="10" defaultColWidth="12.6640625" defaultRowHeight="15" customHeight="1"/>
  <cols>
    <col min="1" max="1" width="28.6640625" customWidth="1"/>
    <col min="2" max="2" width="26.6640625" customWidth="1"/>
  </cols>
  <sheetData>
    <row r="1" spans="1:2">
      <c r="A1" s="2" t="s">
        <v>1</v>
      </c>
      <c r="B1" s="2" t="s">
        <v>4</v>
      </c>
    </row>
    <row r="2" spans="1:2">
      <c r="A2" s="4" t="s">
        <v>9</v>
      </c>
      <c r="B2" s="4" t="s">
        <v>15</v>
      </c>
    </row>
    <row r="3" spans="1:2">
      <c r="A3" s="4" t="s">
        <v>20</v>
      </c>
      <c r="B3" s="4" t="s">
        <v>23</v>
      </c>
    </row>
    <row r="4" spans="1:2">
      <c r="A4" s="4" t="s">
        <v>26</v>
      </c>
      <c r="B4" s="4" t="s">
        <v>29</v>
      </c>
    </row>
    <row r="5" spans="1:2">
      <c r="A5" s="4" t="s">
        <v>32</v>
      </c>
      <c r="B5" s="4" t="s">
        <v>15</v>
      </c>
    </row>
    <row r="6" spans="1:2">
      <c r="A6" s="5" t="s">
        <v>37</v>
      </c>
      <c r="B6" s="6" t="s">
        <v>42</v>
      </c>
    </row>
    <row r="7" spans="1:2">
      <c r="A7" s="5" t="s">
        <v>45</v>
      </c>
      <c r="B7" s="6" t="s">
        <v>42</v>
      </c>
    </row>
    <row r="8" spans="1:2">
      <c r="A8" s="6" t="s">
        <v>49</v>
      </c>
      <c r="B8" s="6"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Column Definitions</vt:lpstr>
      <vt:lpstr>Curation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Jeremy Stone</cp:lastModifiedBy>
  <dcterms:modified xsi:type="dcterms:W3CDTF">2026-09-15T04:43:25Z</dcterms:modified>
</cp:coreProperties>
</file>