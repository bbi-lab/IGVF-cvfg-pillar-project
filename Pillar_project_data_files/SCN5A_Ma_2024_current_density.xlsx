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lvikatejura/Downloads/"/>
    </mc:Choice>
  </mc:AlternateContent>
  <xr:revisionPtr revIDLastSave="0" documentId="8_{156C78C9-8869-4F4C-8348-88072B20B5CE}" xr6:coauthVersionLast="47" xr6:coauthVersionMax="47" xr10:uidLastSave="{00000000-0000-0000-0000-000000000000}"/>
  <bookViews>
    <workbookView xWindow="1180" yWindow="1500" windowWidth="27240" windowHeight="15940" xr2:uid="{855535EE-76E7-074F-8F0E-EA108CA03B8F}"/>
  </bookViews>
  <sheets>
    <sheet name="Table S3. EP data - combined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51" i="1" l="1"/>
  <c r="P51" i="1"/>
  <c r="K51" i="1"/>
  <c r="F51" i="1"/>
  <c r="V51" i="1" s="1"/>
  <c r="U50" i="1"/>
  <c r="P50" i="1"/>
  <c r="K50" i="1"/>
  <c r="F50" i="1"/>
  <c r="V50" i="1" s="1"/>
  <c r="U49" i="1"/>
  <c r="P49" i="1"/>
  <c r="K49" i="1"/>
  <c r="F49" i="1"/>
  <c r="V49" i="1" s="1"/>
  <c r="U48" i="1"/>
  <c r="P48" i="1"/>
  <c r="K48" i="1"/>
  <c r="F48" i="1"/>
  <c r="V48" i="1" s="1"/>
  <c r="U47" i="1"/>
  <c r="P47" i="1"/>
  <c r="K47" i="1"/>
  <c r="F47" i="1"/>
  <c r="V47" i="1" s="1"/>
  <c r="F46" i="1"/>
  <c r="V46" i="1" s="1"/>
  <c r="V45" i="1"/>
  <c r="U45" i="1"/>
  <c r="P45" i="1"/>
  <c r="K45" i="1"/>
  <c r="F45" i="1"/>
  <c r="V44" i="1"/>
  <c r="U44" i="1"/>
  <c r="P44" i="1"/>
  <c r="K44" i="1"/>
  <c r="F44" i="1"/>
  <c r="U43" i="1"/>
  <c r="P43" i="1"/>
  <c r="K43" i="1"/>
  <c r="F43" i="1"/>
  <c r="V43" i="1" s="1"/>
  <c r="V42" i="1"/>
  <c r="U42" i="1"/>
  <c r="P42" i="1"/>
  <c r="K42" i="1"/>
  <c r="F42" i="1"/>
  <c r="U41" i="1"/>
  <c r="P41" i="1"/>
  <c r="K41" i="1"/>
  <c r="F41" i="1"/>
  <c r="V41" i="1" s="1"/>
  <c r="U40" i="1"/>
  <c r="P40" i="1"/>
  <c r="K40" i="1"/>
  <c r="F40" i="1"/>
  <c r="V40" i="1" s="1"/>
  <c r="V39" i="1"/>
  <c r="U39" i="1"/>
  <c r="P39" i="1"/>
  <c r="K39" i="1"/>
  <c r="F39" i="1"/>
  <c r="U38" i="1"/>
  <c r="P38" i="1"/>
  <c r="K38" i="1"/>
  <c r="F38" i="1"/>
  <c r="V38" i="1" s="1"/>
  <c r="V37" i="1"/>
  <c r="U37" i="1"/>
  <c r="P37" i="1"/>
  <c r="K37" i="1"/>
  <c r="F37" i="1"/>
  <c r="V36" i="1"/>
  <c r="U36" i="1"/>
  <c r="P36" i="1"/>
  <c r="K36" i="1"/>
  <c r="F36" i="1"/>
  <c r="U35" i="1"/>
  <c r="P35" i="1"/>
  <c r="K35" i="1"/>
  <c r="F35" i="1"/>
  <c r="V35" i="1" s="1"/>
  <c r="V34" i="1"/>
  <c r="U34" i="1"/>
  <c r="P34" i="1"/>
  <c r="K34" i="1"/>
  <c r="F34" i="1"/>
  <c r="U33" i="1"/>
  <c r="P33" i="1"/>
  <c r="K33" i="1"/>
  <c r="F33" i="1"/>
  <c r="V33" i="1" s="1"/>
  <c r="U32" i="1"/>
  <c r="P32" i="1"/>
  <c r="K32" i="1"/>
  <c r="F32" i="1"/>
  <c r="V32" i="1" s="1"/>
  <c r="V31" i="1"/>
  <c r="P31" i="1"/>
  <c r="K31" i="1"/>
  <c r="F31" i="1"/>
  <c r="F30" i="1"/>
  <c r="V30" i="1" s="1"/>
  <c r="U29" i="1"/>
  <c r="P29" i="1"/>
  <c r="F29" i="1"/>
  <c r="V29" i="1" s="1"/>
  <c r="V28" i="1"/>
  <c r="U28" i="1"/>
  <c r="P28" i="1"/>
  <c r="K28" i="1"/>
  <c r="F28" i="1"/>
  <c r="V27" i="1"/>
  <c r="U27" i="1"/>
  <c r="P27" i="1"/>
  <c r="K27" i="1"/>
  <c r="F27" i="1"/>
  <c r="U26" i="1"/>
  <c r="P26" i="1"/>
  <c r="K26" i="1"/>
  <c r="F26" i="1"/>
  <c r="V26" i="1" s="1"/>
  <c r="V25" i="1"/>
  <c r="U25" i="1"/>
  <c r="P25" i="1"/>
  <c r="K25" i="1"/>
  <c r="F25" i="1"/>
  <c r="U24" i="1"/>
  <c r="P24" i="1"/>
  <c r="K24" i="1"/>
  <c r="F24" i="1"/>
  <c r="V24" i="1" s="1"/>
  <c r="U23" i="1"/>
  <c r="P23" i="1"/>
  <c r="K23" i="1"/>
  <c r="F23" i="1"/>
  <c r="V23" i="1" s="1"/>
  <c r="V22" i="1"/>
  <c r="U22" i="1"/>
  <c r="P22" i="1"/>
  <c r="K22" i="1"/>
  <c r="F22" i="1"/>
  <c r="U21" i="1"/>
  <c r="P21" i="1"/>
  <c r="K21" i="1"/>
  <c r="F21" i="1"/>
  <c r="V21" i="1" s="1"/>
  <c r="V20" i="1"/>
  <c r="U20" i="1"/>
  <c r="P20" i="1"/>
  <c r="K20" i="1"/>
  <c r="F20" i="1"/>
  <c r="V19" i="1"/>
  <c r="U19" i="1"/>
  <c r="P19" i="1"/>
  <c r="K19" i="1"/>
  <c r="F19" i="1"/>
  <c r="U18" i="1"/>
  <c r="P18" i="1"/>
  <c r="K18" i="1"/>
  <c r="F18" i="1"/>
  <c r="V18" i="1" s="1"/>
  <c r="V17" i="1"/>
  <c r="U17" i="1"/>
  <c r="P17" i="1"/>
  <c r="K17" i="1"/>
  <c r="F17" i="1"/>
  <c r="U16" i="1"/>
  <c r="P16" i="1"/>
  <c r="K16" i="1"/>
  <c r="F16" i="1"/>
  <c r="V16" i="1" s="1"/>
  <c r="K15" i="1"/>
  <c r="F15" i="1"/>
  <c r="V15" i="1" s="1"/>
  <c r="U14" i="1"/>
  <c r="P14" i="1"/>
  <c r="K14" i="1"/>
  <c r="F14" i="1"/>
  <c r="V14" i="1" s="1"/>
  <c r="U13" i="1"/>
  <c r="P13" i="1"/>
  <c r="K13" i="1"/>
  <c r="F13" i="1"/>
  <c r="V13" i="1" s="1"/>
  <c r="V12" i="1"/>
  <c r="U12" i="1"/>
  <c r="P12" i="1"/>
  <c r="K12" i="1"/>
  <c r="F12" i="1"/>
  <c r="U11" i="1"/>
  <c r="P11" i="1"/>
  <c r="K11" i="1"/>
  <c r="F11" i="1"/>
  <c r="V11" i="1" s="1"/>
  <c r="V10" i="1"/>
  <c r="U10" i="1"/>
  <c r="P10" i="1"/>
  <c r="K10" i="1"/>
  <c r="F10" i="1"/>
  <c r="V9" i="1"/>
  <c r="U9" i="1"/>
  <c r="P9" i="1"/>
  <c r="K9" i="1"/>
  <c r="F9" i="1"/>
  <c r="U8" i="1"/>
  <c r="P8" i="1"/>
  <c r="K8" i="1"/>
  <c r="F8" i="1"/>
  <c r="V8" i="1" s="1"/>
  <c r="V7" i="1"/>
  <c r="U7" i="1"/>
  <c r="P7" i="1"/>
  <c r="K7" i="1"/>
  <c r="F7" i="1"/>
  <c r="U6" i="1"/>
  <c r="P6" i="1"/>
  <c r="K6" i="1"/>
  <c r="F6" i="1"/>
  <c r="V6" i="1" s="1"/>
  <c r="U5" i="1"/>
  <c r="P5" i="1"/>
  <c r="K5" i="1"/>
  <c r="F5" i="1"/>
  <c r="V5" i="1" s="1"/>
  <c r="V4" i="1"/>
  <c r="U4" i="1"/>
  <c r="P4" i="1"/>
  <c r="F4" i="1"/>
  <c r="U3" i="1"/>
  <c r="P3" i="1"/>
  <c r="K3" i="1"/>
  <c r="F3" i="1"/>
  <c r="V3" i="1" s="1"/>
  <c r="V2" i="1"/>
  <c r="U2" i="1"/>
  <c r="P2" i="1"/>
  <c r="K2" i="1"/>
  <c r="F2" i="1"/>
</calcChain>
</file>

<file path=xl/sharedStrings.xml><?xml version="1.0" encoding="utf-8"?>
<sst xmlns="http://schemas.openxmlformats.org/spreadsheetml/2006/main" count="71" uniqueCount="61">
  <si>
    <t>Cell line</t>
  </si>
  <si>
    <t>Number of values</t>
  </si>
  <si>
    <t>CD sqrtNORM(-120mV) Mean</t>
  </si>
  <si>
    <t>Std. Deviation</t>
  </si>
  <si>
    <t>Std. Error of Mean</t>
  </si>
  <si>
    <t>Z-score</t>
  </si>
  <si>
    <t># SSA</t>
  </si>
  <si>
    <t>Mean</t>
  </si>
  <si>
    <t># SSI</t>
  </si>
  <si>
    <t>RFI Mean</t>
  </si>
  <si>
    <t>class</t>
  </si>
  <si>
    <t>SCN5A</t>
  </si>
  <si>
    <t>R34C</t>
  </si>
  <si>
    <t>R104W</t>
  </si>
  <si>
    <t>R104Q</t>
  </si>
  <si>
    <t>R121W</t>
  </si>
  <si>
    <t>E161K</t>
  </si>
  <si>
    <t>A185T</t>
  </si>
  <si>
    <t>R190G</t>
  </si>
  <si>
    <t>S216L</t>
  </si>
  <si>
    <t>T220I</t>
  </si>
  <si>
    <t>A286S</t>
  </si>
  <si>
    <t>L299M</t>
  </si>
  <si>
    <t>D356N</t>
  </si>
  <si>
    <t>R367H</t>
  </si>
  <si>
    <t>E446K</t>
  </si>
  <si>
    <t>L461V</t>
  </si>
  <si>
    <t>R481W</t>
  </si>
  <si>
    <t>S524Y</t>
  </si>
  <si>
    <t>A572D</t>
  </si>
  <si>
    <t>A572S</t>
  </si>
  <si>
    <t>A572V</t>
  </si>
  <si>
    <t>L618F</t>
  </si>
  <si>
    <t>P656L</t>
  </si>
  <si>
    <t>A672T</t>
  </si>
  <si>
    <t>Q692K</t>
  </si>
  <si>
    <t>A735V</t>
  </si>
  <si>
    <t>G752R</t>
  </si>
  <si>
    <t>R878C</t>
  </si>
  <si>
    <t>R878H</t>
  </si>
  <si>
    <t>E901K</t>
  </si>
  <si>
    <t>S910L</t>
  </si>
  <si>
    <t>P1089L</t>
  </si>
  <si>
    <t>L1221R</t>
  </si>
  <si>
    <t>E1224K</t>
  </si>
  <si>
    <t>F1292S</t>
  </si>
  <si>
    <t>L1307F</t>
  </si>
  <si>
    <t>G1407R</t>
  </si>
  <si>
    <t>L1461Q</t>
  </si>
  <si>
    <t>Y1448C</t>
  </si>
  <si>
    <t>E1573K</t>
  </si>
  <si>
    <t>R1631H</t>
  </si>
  <si>
    <t>R1631C</t>
  </si>
  <si>
    <t>R1643C</t>
  </si>
  <si>
    <t>G1742E</t>
  </si>
  <si>
    <t>G1742R</t>
  </si>
  <si>
    <t>E1783K</t>
  </si>
  <si>
    <t>I1835T</t>
  </si>
  <si>
    <t>V1950L</t>
  </si>
  <si>
    <t>F2003L</t>
  </si>
  <si>
    <t>P2005A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</si>
</sst>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name val="Arial"/>
      <family val="2"/>
    </font>
    <font>
      <b/>
      <sz val="10"/>
      <color rgb="FFC00000"/>
      <name val="Arial"/>
      <family val="2"/>
    </font>
    <font>
      <b/>
      <sz val="10"/>
      <color theme="9"/>
      <name val="Arial"/>
      <family val="2"/>
    </font>
    <font>
      <b/>
      <sz val="10"/>
      <color theme="5"/>
      <name val="Arial"/>
      <family val="2"/>
    </font>
    <font>
      <b/>
      <sz val="10"/>
      <color rgb="FF7030A0"/>
      <name val="Arial"/>
      <family val="2"/>
    </font>
    <font>
      <b/>
      <sz val="11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2" fillId="0" borderId="0" xfId="1" applyFont="1" applyAlignment="1">
      <alignment horizontal="center"/>
    </xf>
    <xf numFmtId="0" fontId="3" fillId="0" borderId="0" xfId="1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/>
    <xf numFmtId="0" fontId="5" fillId="0" borderId="0" xfId="0" applyFont="1" applyAlignment="1">
      <alignment horizontal="left"/>
    </xf>
    <xf numFmtId="0" fontId="5" fillId="0" borderId="0" xfId="1" applyFont="1" applyAlignment="1">
      <alignment horizontal="left"/>
    </xf>
    <xf numFmtId="0" fontId="6" fillId="0" borderId="0" xfId="1" applyFont="1" applyAlignment="1">
      <alignment horizontal="left"/>
    </xf>
    <xf numFmtId="0" fontId="6" fillId="0" borderId="0" xfId="1" applyFont="1" applyAlignment="1">
      <alignment horizontal="center"/>
    </xf>
    <xf numFmtId="0" fontId="7" fillId="0" borderId="0" xfId="1" applyFont="1"/>
    <xf numFmtId="0" fontId="8" fillId="0" borderId="0" xfId="1" applyFont="1" applyAlignment="1">
      <alignment horizontal="center"/>
    </xf>
    <xf numFmtId="2" fontId="2" fillId="0" borderId="0" xfId="1" applyNumberFormat="1" applyFont="1"/>
    <xf numFmtId="0" fontId="8" fillId="0" borderId="0" xfId="0" applyFont="1"/>
    <xf numFmtId="2" fontId="8" fillId="0" borderId="0" xfId="0" applyNumberFormat="1" applyFont="1"/>
    <xf numFmtId="0" fontId="8" fillId="0" borderId="0" xfId="1" applyFont="1"/>
    <xf numFmtId="0" fontId="1" fillId="0" borderId="0" xfId="1"/>
    <xf numFmtId="2" fontId="8" fillId="0" borderId="0" xfId="1" applyNumberFormat="1" applyFont="1"/>
    <xf numFmtId="0" fontId="2" fillId="0" borderId="0" xfId="1" applyFont="1"/>
  </cellXfs>
  <cellStyles count="2">
    <cellStyle name="Normal" xfId="0" builtinId="0"/>
    <cellStyle name="Normal 2" xfId="1" xr:uid="{1288B955-46E0-EF4F-B959-5BA81A4EFA5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225BE-5819-1740-B7AB-EEA26BFDC0E2}">
  <dimension ref="A1:BU55"/>
  <sheetViews>
    <sheetView tabSelected="1" zoomScale="90" zoomScaleNormal="90" workbookViewId="0">
      <selection activeCell="Y32" sqref="Y32"/>
    </sheetView>
  </sheetViews>
  <sheetFormatPr baseColWidth="10" defaultColWidth="9" defaultRowHeight="15" x14ac:dyDescent="0.2"/>
  <cols>
    <col min="1" max="1" width="9" style="15"/>
    <col min="2" max="5" width="9" style="15" customWidth="1"/>
    <col min="6" max="6" width="9" style="9" customWidth="1"/>
    <col min="7" max="7" width="9.6640625" style="15" customWidth="1"/>
    <col min="8" max="10" width="9" style="15" customWidth="1"/>
    <col min="11" max="11" width="9" style="9" customWidth="1"/>
    <col min="12" max="15" width="9" style="15" customWidth="1"/>
    <col min="16" max="16" width="9" style="9" customWidth="1"/>
    <col min="17" max="20" width="9" style="15"/>
    <col min="21" max="21" width="9" style="9"/>
    <col min="22" max="16384" width="9" style="15"/>
  </cols>
  <sheetData>
    <row r="1" spans="1:73" s="9" customForma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3</v>
      </c>
      <c r="J1" s="3" t="s">
        <v>4</v>
      </c>
      <c r="K1" s="4" t="s">
        <v>5</v>
      </c>
      <c r="L1" s="5" t="s">
        <v>8</v>
      </c>
      <c r="M1" s="5" t="s">
        <v>7</v>
      </c>
      <c r="N1" s="5" t="s">
        <v>3</v>
      </c>
      <c r="O1" s="5" t="s">
        <v>4</v>
      </c>
      <c r="P1" s="6" t="s">
        <v>5</v>
      </c>
      <c r="Q1" s="7" t="s">
        <v>1</v>
      </c>
      <c r="R1" s="7" t="s">
        <v>9</v>
      </c>
      <c r="S1" s="7" t="s">
        <v>3</v>
      </c>
      <c r="T1" s="7" t="s">
        <v>4</v>
      </c>
      <c r="U1" s="8">
        <v>0.93313303846153828</v>
      </c>
      <c r="V1" s="1" t="s">
        <v>10</v>
      </c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</row>
    <row r="2" spans="1:73" x14ac:dyDescent="0.2">
      <c r="A2" s="10" t="s">
        <v>11</v>
      </c>
      <c r="B2" s="1"/>
      <c r="C2" s="1">
        <v>100</v>
      </c>
      <c r="D2" s="1"/>
      <c r="E2" s="1"/>
      <c r="F2" s="11">
        <f>(C2-94.193)/10.343</f>
        <v>0.56144252151213403</v>
      </c>
      <c r="G2" s="12">
        <v>1581</v>
      </c>
      <c r="H2" s="13">
        <v>4.2779999999999997E-3</v>
      </c>
      <c r="I2" s="13">
        <v>5.7590000000000003</v>
      </c>
      <c r="J2" s="13">
        <v>0.14480000000000001</v>
      </c>
      <c r="K2" s="11">
        <f>(H2--0.318)/1.467</f>
        <v>0.21968507157464212</v>
      </c>
      <c r="L2" s="12">
        <v>1818</v>
      </c>
      <c r="M2" s="13">
        <v>0</v>
      </c>
      <c r="N2" s="13">
        <v>10.3</v>
      </c>
      <c r="O2" s="13">
        <v>0.24160000000000001</v>
      </c>
      <c r="P2" s="11">
        <f t="shared" ref="P2" si="0">(M2--0.864)/2.258</f>
        <v>0.38263950398582813</v>
      </c>
      <c r="Q2" s="12">
        <v>1723</v>
      </c>
      <c r="R2" s="13">
        <v>0</v>
      </c>
      <c r="S2" s="13">
        <v>4.9790000000000001</v>
      </c>
      <c r="T2" s="13">
        <v>0.11990000000000001</v>
      </c>
      <c r="U2" s="11">
        <f t="shared" ref="U2" si="1">(R2-0.931)/1.769</f>
        <v>-0.52628603730921431</v>
      </c>
      <c r="V2" s="14" t="str">
        <f>IF(AND(F2 &gt; -2, F2 &lt; 2), "normal", IF(AND(F2 &lt; -2, F2 &gt; -4), "moderate LOF", IF(F2 &lt; -4, "severe LOF", "")))</f>
        <v>normal</v>
      </c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</row>
    <row r="3" spans="1:73" x14ac:dyDescent="0.2">
      <c r="A3" s="10" t="s">
        <v>12</v>
      </c>
      <c r="B3" s="14">
        <v>141</v>
      </c>
      <c r="C3" s="16">
        <v>99.21</v>
      </c>
      <c r="D3" s="16">
        <v>35.71</v>
      </c>
      <c r="E3" s="16">
        <v>3.0070000000000001</v>
      </c>
      <c r="F3" s="11">
        <f>(C3-94.193)/10.343</f>
        <v>0.48506236101711264</v>
      </c>
      <c r="G3" s="12">
        <v>76</v>
      </c>
      <c r="H3" s="13">
        <v>-1.028</v>
      </c>
      <c r="I3" s="13">
        <v>5.3319999999999999</v>
      </c>
      <c r="J3" s="13">
        <v>0.61160000000000003</v>
      </c>
      <c r="K3" s="11">
        <f>(H3--0.318)/1.467</f>
        <v>-0.48398091342876615</v>
      </c>
      <c r="L3" s="12">
        <v>82</v>
      </c>
      <c r="M3" s="13">
        <v>0.83240000000000003</v>
      </c>
      <c r="N3" s="13">
        <v>8.1669999999999998</v>
      </c>
      <c r="O3" s="13">
        <v>0.90190000000000003</v>
      </c>
      <c r="P3" s="11">
        <f>(M3--0.864)/2.258</f>
        <v>0.75128432240921172</v>
      </c>
      <c r="Q3" s="12">
        <v>91</v>
      </c>
      <c r="R3" s="13">
        <v>5.7790000000000003E-3</v>
      </c>
      <c r="S3" s="13">
        <v>4.8739999999999997</v>
      </c>
      <c r="T3" s="13">
        <v>0.51090000000000002</v>
      </c>
      <c r="U3" s="11">
        <f>(R3-0.931)/1.769</f>
        <v>-0.52301921989824762</v>
      </c>
      <c r="V3" s="14" t="str">
        <f t="shared" ref="V3:V51" si="2">IF(AND(F3 &gt; -2, F3 &lt; 2), "normal", IF(AND(F3 &lt; -2, F3 &gt; -4), "moderate LOF", IF(F3 &lt; -4, "severe LOF", "")))</f>
        <v>normal</v>
      </c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</row>
    <row r="4" spans="1:73" ht="13.5" customHeight="1" x14ac:dyDescent="0.2">
      <c r="A4" s="10" t="s">
        <v>13</v>
      </c>
      <c r="B4" s="14">
        <v>163</v>
      </c>
      <c r="C4" s="16">
        <v>16.47</v>
      </c>
      <c r="D4" s="16">
        <v>8.8439999999999994</v>
      </c>
      <c r="E4" s="16">
        <v>0.69269999999999998</v>
      </c>
      <c r="F4" s="11">
        <f t="shared" ref="F4:F51" si="3">(C4-94.193)/10.343</f>
        <v>-7.5145509039930385</v>
      </c>
      <c r="G4" s="12">
        <v>0</v>
      </c>
      <c r="H4" s="13"/>
      <c r="I4" s="13"/>
      <c r="J4" s="13"/>
      <c r="K4" s="11"/>
      <c r="L4" s="12">
        <v>2</v>
      </c>
      <c r="M4" s="13">
        <v>-10.37</v>
      </c>
      <c r="N4" s="13">
        <v>26.68</v>
      </c>
      <c r="O4" s="13">
        <v>18.87</v>
      </c>
      <c r="P4" s="11">
        <f t="shared" ref="P4:P51" si="4">(M4--0.864)/2.258</f>
        <v>-4.2099202834366691</v>
      </c>
      <c r="Q4" s="12">
        <v>1</v>
      </c>
      <c r="R4" s="13">
        <v>-2</v>
      </c>
      <c r="S4" s="13">
        <v>0</v>
      </c>
      <c r="T4" s="13">
        <v>0</v>
      </c>
      <c r="U4" s="11">
        <f t="shared" ref="U4:U51" si="5">(R4-0.931)/1.769</f>
        <v>-1.6568682871678915</v>
      </c>
      <c r="V4" s="14" t="str">
        <f t="shared" si="2"/>
        <v>severe LOF</v>
      </c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</row>
    <row r="5" spans="1:73" ht="13.5" customHeight="1" x14ac:dyDescent="0.2">
      <c r="A5" s="10" t="s">
        <v>14</v>
      </c>
      <c r="B5" s="14">
        <v>169</v>
      </c>
      <c r="C5" s="16">
        <v>16.7</v>
      </c>
      <c r="D5" s="16">
        <v>10.34</v>
      </c>
      <c r="E5" s="16">
        <v>0.7954</v>
      </c>
      <c r="F5" s="11">
        <f t="shared" si="3"/>
        <v>-7.4923136420767662</v>
      </c>
      <c r="G5" s="12">
        <v>4</v>
      </c>
      <c r="H5" s="13">
        <v>19.55</v>
      </c>
      <c r="I5" s="13">
        <v>5.2110000000000003</v>
      </c>
      <c r="J5" s="13">
        <v>2.6059999999999999</v>
      </c>
      <c r="K5" s="11">
        <f t="shared" ref="K5:K51" si="6">(H5--0.318)/1.467</f>
        <v>13.54328561690525</v>
      </c>
      <c r="L5" s="12">
        <v>2</v>
      </c>
      <c r="M5" s="13">
        <v>-1.1499999999999999</v>
      </c>
      <c r="N5" s="13">
        <v>5.0199999999999996</v>
      </c>
      <c r="O5" s="13">
        <v>3.55</v>
      </c>
      <c r="P5" s="11">
        <f t="shared" si="4"/>
        <v>-0.12666076173604957</v>
      </c>
      <c r="Q5" s="12">
        <v>2</v>
      </c>
      <c r="R5" s="13">
        <v>-4.1500000000000004</v>
      </c>
      <c r="S5" s="13">
        <v>6.5759999999999996</v>
      </c>
      <c r="T5" s="13">
        <v>4.6500000000000004</v>
      </c>
      <c r="U5" s="11">
        <f t="shared" si="5"/>
        <v>-2.8722442057659698</v>
      </c>
      <c r="V5" s="14" t="str">
        <f t="shared" si="2"/>
        <v>severe LOF</v>
      </c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</row>
    <row r="6" spans="1:73" ht="13.5" customHeight="1" x14ac:dyDescent="0.2">
      <c r="A6" s="10" t="s">
        <v>15</v>
      </c>
      <c r="B6" s="14">
        <v>129</v>
      </c>
      <c r="C6" s="16">
        <v>14.69</v>
      </c>
      <c r="D6" s="16">
        <v>6.4640000000000004</v>
      </c>
      <c r="E6" s="16">
        <v>0.56910000000000005</v>
      </c>
      <c r="F6" s="11">
        <f t="shared" si="3"/>
        <v>-7.6866479744754903</v>
      </c>
      <c r="G6" s="12">
        <v>1</v>
      </c>
      <c r="H6" s="13">
        <v>16.600000000000001</v>
      </c>
      <c r="I6" s="13">
        <v>0</v>
      </c>
      <c r="J6" s="13">
        <v>0</v>
      </c>
      <c r="K6" s="11">
        <f t="shared" si="6"/>
        <v>11.532379004771643</v>
      </c>
      <c r="L6" s="12">
        <v>0</v>
      </c>
      <c r="M6" s="13"/>
      <c r="N6" s="13"/>
      <c r="O6" s="13"/>
      <c r="P6" s="11">
        <f t="shared" si="4"/>
        <v>0.38263950398582813</v>
      </c>
      <c r="Q6" s="12">
        <v>1</v>
      </c>
      <c r="R6" s="13">
        <v>-9.8000000000000007</v>
      </c>
      <c r="S6" s="13">
        <v>0</v>
      </c>
      <c r="T6" s="13">
        <v>0</v>
      </c>
      <c r="U6" s="11">
        <f t="shared" si="5"/>
        <v>-6.0661390616167337</v>
      </c>
      <c r="V6" s="14" t="str">
        <f t="shared" si="2"/>
        <v>severe LOF</v>
      </c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</row>
    <row r="7" spans="1:73" ht="13.5" customHeight="1" x14ac:dyDescent="0.2">
      <c r="A7" s="10" t="s">
        <v>16</v>
      </c>
      <c r="B7" s="14">
        <v>102</v>
      </c>
      <c r="C7" s="16">
        <v>40.9</v>
      </c>
      <c r="D7" s="16">
        <v>15.51</v>
      </c>
      <c r="E7" s="16">
        <v>1.5349999999999999</v>
      </c>
      <c r="F7" s="11">
        <f t="shared" si="3"/>
        <v>-5.1525669534951177</v>
      </c>
      <c r="G7" s="12">
        <v>45</v>
      </c>
      <c r="H7" s="13">
        <v>22.58</v>
      </c>
      <c r="I7" s="13">
        <v>6.77</v>
      </c>
      <c r="J7" s="13">
        <v>1.0089999999999999</v>
      </c>
      <c r="K7" s="11">
        <f t="shared" si="6"/>
        <v>15.608725289706884</v>
      </c>
      <c r="L7" s="12">
        <v>42</v>
      </c>
      <c r="M7" s="13">
        <v>-0.62860000000000005</v>
      </c>
      <c r="N7" s="13">
        <v>5.492</v>
      </c>
      <c r="O7" s="13">
        <v>0.84740000000000004</v>
      </c>
      <c r="P7" s="11">
        <f t="shared" si="4"/>
        <v>0.10425155004428695</v>
      </c>
      <c r="Q7" s="12">
        <v>38</v>
      </c>
      <c r="R7" s="13">
        <v>1.4950000000000001</v>
      </c>
      <c r="S7" s="13">
        <v>6.7279999999999998</v>
      </c>
      <c r="T7" s="13">
        <v>1.091</v>
      </c>
      <c r="U7" s="11">
        <f t="shared" si="5"/>
        <v>0.31882419446014704</v>
      </c>
      <c r="V7" s="14" t="str">
        <f t="shared" si="2"/>
        <v>severe LOF</v>
      </c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</row>
    <row r="8" spans="1:73" x14ac:dyDescent="0.2">
      <c r="A8" s="10" t="s">
        <v>17</v>
      </c>
      <c r="B8" s="14">
        <v>118</v>
      </c>
      <c r="C8" s="16">
        <v>97.42</v>
      </c>
      <c r="D8" s="16">
        <v>33.950000000000003</v>
      </c>
      <c r="E8" s="16">
        <v>3.125</v>
      </c>
      <c r="F8" s="11">
        <f t="shared" si="3"/>
        <v>0.31199845306004098</v>
      </c>
      <c r="G8" s="12">
        <v>52</v>
      </c>
      <c r="H8" s="13">
        <v>0.153</v>
      </c>
      <c r="I8" s="13">
        <v>5.1520000000000001</v>
      </c>
      <c r="J8" s="13">
        <v>0.71440000000000003</v>
      </c>
      <c r="K8" s="11">
        <f t="shared" si="6"/>
        <v>0.32106339468302653</v>
      </c>
      <c r="L8" s="12">
        <v>65</v>
      </c>
      <c r="M8" s="13">
        <v>-0.1148</v>
      </c>
      <c r="N8" s="13">
        <v>8.3970000000000002</v>
      </c>
      <c r="O8" s="13">
        <v>1.042</v>
      </c>
      <c r="P8" s="11">
        <f t="shared" si="4"/>
        <v>0.33179805137289636</v>
      </c>
      <c r="Q8" s="12">
        <v>62</v>
      </c>
      <c r="R8" s="13">
        <v>0.36330000000000001</v>
      </c>
      <c r="S8" s="13">
        <v>3.46</v>
      </c>
      <c r="T8" s="13">
        <v>0.43940000000000001</v>
      </c>
      <c r="U8" s="11">
        <f t="shared" si="5"/>
        <v>-0.3209157716223856</v>
      </c>
      <c r="V8" s="14" t="str">
        <f t="shared" si="2"/>
        <v>normal</v>
      </c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</row>
    <row r="9" spans="1:73" x14ac:dyDescent="0.2">
      <c r="A9" s="10" t="s">
        <v>18</v>
      </c>
      <c r="B9" s="14">
        <v>147</v>
      </c>
      <c r="C9" s="16">
        <v>94.72</v>
      </c>
      <c r="D9" s="16">
        <v>33.659999999999997</v>
      </c>
      <c r="E9" s="16">
        <v>2.7759999999999998</v>
      </c>
      <c r="F9" s="11">
        <f t="shared" si="3"/>
        <v>5.0952334912501306E-2</v>
      </c>
      <c r="G9" s="12">
        <v>69</v>
      </c>
      <c r="H9" s="13">
        <v>0.54659999999999997</v>
      </c>
      <c r="I9" s="13">
        <v>6.2380000000000004</v>
      </c>
      <c r="J9" s="13">
        <v>0.751</v>
      </c>
      <c r="K9" s="11">
        <f t="shared" si="6"/>
        <v>0.58936605316973412</v>
      </c>
      <c r="L9" s="12">
        <v>88</v>
      </c>
      <c r="M9" s="13">
        <v>0.35289999999999999</v>
      </c>
      <c r="N9" s="13">
        <v>6.1710000000000003</v>
      </c>
      <c r="O9" s="13">
        <v>0.65790000000000004</v>
      </c>
      <c r="P9" s="11">
        <f t="shared" si="4"/>
        <v>0.53892825509300257</v>
      </c>
      <c r="Q9" s="12">
        <v>92</v>
      </c>
      <c r="R9" s="13">
        <v>-0.1032</v>
      </c>
      <c r="S9" s="13">
        <v>2.7189999999999999</v>
      </c>
      <c r="T9" s="13">
        <v>0.28349999999999997</v>
      </c>
      <c r="U9" s="11">
        <f t="shared" si="5"/>
        <v>-0.58462408140192201</v>
      </c>
      <c r="V9" s="14" t="str">
        <f t="shared" si="2"/>
        <v>normal</v>
      </c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</row>
    <row r="10" spans="1:73" x14ac:dyDescent="0.2">
      <c r="A10" s="10" t="s">
        <v>19</v>
      </c>
      <c r="B10" s="14">
        <v>84</v>
      </c>
      <c r="C10" s="16">
        <v>59.13</v>
      </c>
      <c r="D10" s="16">
        <v>20.07</v>
      </c>
      <c r="E10" s="16">
        <v>2.1890000000000001</v>
      </c>
      <c r="F10" s="11">
        <f>(C10-94.193)/10.343</f>
        <v>-3.390022237261916</v>
      </c>
      <c r="G10" s="12">
        <v>64</v>
      </c>
      <c r="H10" s="13">
        <v>1.716</v>
      </c>
      <c r="I10" s="13">
        <v>5.8529999999999998</v>
      </c>
      <c r="J10" s="13">
        <v>0.73160000000000003</v>
      </c>
      <c r="K10" s="11">
        <f t="shared" si="6"/>
        <v>1.3865030674846623</v>
      </c>
      <c r="L10" s="12">
        <v>74</v>
      </c>
      <c r="M10" s="13">
        <v>1.298</v>
      </c>
      <c r="N10" s="13">
        <v>9.6389999999999993</v>
      </c>
      <c r="O10" s="13">
        <v>1.121</v>
      </c>
      <c r="P10" s="11">
        <f t="shared" si="4"/>
        <v>0.95748449955713022</v>
      </c>
      <c r="Q10" s="12">
        <v>62</v>
      </c>
      <c r="R10" s="13">
        <v>-0.75880000000000003</v>
      </c>
      <c r="S10" s="13">
        <v>7.1749999999999998</v>
      </c>
      <c r="T10" s="13">
        <v>0.91120000000000001</v>
      </c>
      <c r="U10" s="11">
        <f t="shared" si="5"/>
        <v>-0.95522894290559646</v>
      </c>
      <c r="V10" s="14" t="str">
        <f t="shared" si="2"/>
        <v>moderate LOF</v>
      </c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</row>
    <row r="11" spans="1:73" x14ac:dyDescent="0.2">
      <c r="A11" s="10" t="s">
        <v>20</v>
      </c>
      <c r="B11" s="14">
        <v>159</v>
      </c>
      <c r="C11" s="16">
        <v>79.180000000000007</v>
      </c>
      <c r="D11" s="16">
        <v>32.71</v>
      </c>
      <c r="E11" s="16">
        <v>2.5939999999999999</v>
      </c>
      <c r="F11" s="11">
        <f t="shared" si="3"/>
        <v>-1.4515131006477802</v>
      </c>
      <c r="G11" s="12">
        <v>82</v>
      </c>
      <c r="H11" s="13">
        <v>7.3899999999999999E-3</v>
      </c>
      <c r="I11" s="13">
        <v>6.6310000000000002</v>
      </c>
      <c r="J11" s="13">
        <v>0.73229999999999995</v>
      </c>
      <c r="K11" s="11">
        <f>(H11--0.318)/1.467</f>
        <v>0.2218064076346285</v>
      </c>
      <c r="L11" s="12">
        <v>110</v>
      </c>
      <c r="M11" s="13">
        <v>-3.7160000000000002</v>
      </c>
      <c r="N11" s="13">
        <v>6.7670000000000003</v>
      </c>
      <c r="O11" s="13">
        <v>0.6452</v>
      </c>
      <c r="P11" s="11">
        <f t="shared" si="4"/>
        <v>-1.263064658990257</v>
      </c>
      <c r="Q11" s="12">
        <v>117</v>
      </c>
      <c r="R11" s="13">
        <v>5.16</v>
      </c>
      <c r="S11" s="13">
        <v>9.2010000000000005</v>
      </c>
      <c r="T11" s="13">
        <v>0.85060000000000002</v>
      </c>
      <c r="U11" s="11">
        <f t="shared" si="5"/>
        <v>2.390616167326173</v>
      </c>
      <c r="V11" s="14" t="str">
        <f t="shared" si="2"/>
        <v>normal</v>
      </c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</row>
    <row r="12" spans="1:73" x14ac:dyDescent="0.2">
      <c r="A12" s="10" t="s">
        <v>21</v>
      </c>
      <c r="B12" s="14">
        <v>97</v>
      </c>
      <c r="C12" s="16">
        <v>98.82</v>
      </c>
      <c r="D12" s="16">
        <v>33.79</v>
      </c>
      <c r="E12" s="16">
        <v>3.43</v>
      </c>
      <c r="F12" s="11">
        <f t="shared" si="3"/>
        <v>0.44735569950691245</v>
      </c>
      <c r="G12" s="12">
        <v>57</v>
      </c>
      <c r="H12" s="13">
        <v>0.89910000000000001</v>
      </c>
      <c r="I12" s="13">
        <v>7.7249999999999996</v>
      </c>
      <c r="J12" s="13">
        <v>1.0229999999999999</v>
      </c>
      <c r="K12" s="11">
        <f t="shared" si="6"/>
        <v>0.82965235173824126</v>
      </c>
      <c r="L12" s="12">
        <v>64</v>
      </c>
      <c r="M12" s="13">
        <v>-0.24859999999999999</v>
      </c>
      <c r="N12" s="13">
        <v>8.5459999999999994</v>
      </c>
      <c r="O12" s="13">
        <v>1.0680000000000001</v>
      </c>
      <c r="P12" s="11">
        <f t="shared" si="4"/>
        <v>0.27254207263064656</v>
      </c>
      <c r="Q12" s="12">
        <v>63</v>
      </c>
      <c r="R12" s="13">
        <v>0.2097</v>
      </c>
      <c r="S12" s="13">
        <v>4.8230000000000004</v>
      </c>
      <c r="T12" s="13">
        <v>0.60770000000000002</v>
      </c>
      <c r="U12" s="11">
        <f t="shared" si="5"/>
        <v>-0.40774448841153199</v>
      </c>
      <c r="V12" s="14" t="str">
        <f t="shared" si="2"/>
        <v>normal</v>
      </c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</row>
    <row r="13" spans="1:73" x14ac:dyDescent="0.2">
      <c r="A13" s="10" t="s">
        <v>22</v>
      </c>
      <c r="B13" s="14">
        <v>133</v>
      </c>
      <c r="C13" s="16">
        <v>94.63</v>
      </c>
      <c r="D13" s="16">
        <v>32.159999999999997</v>
      </c>
      <c r="E13" s="16">
        <v>2.7890000000000001</v>
      </c>
      <c r="F13" s="11">
        <f t="shared" si="3"/>
        <v>4.2250797640916334E-2</v>
      </c>
      <c r="G13" s="12">
        <v>77</v>
      </c>
      <c r="H13" s="13">
        <v>1.488</v>
      </c>
      <c r="I13" s="13">
        <v>5.665</v>
      </c>
      <c r="J13" s="13">
        <v>0.64559999999999995</v>
      </c>
      <c r="K13" s="11">
        <f t="shared" si="6"/>
        <v>1.231083844580777</v>
      </c>
      <c r="L13" s="12">
        <v>84</v>
      </c>
      <c r="M13" s="13">
        <v>1.714</v>
      </c>
      <c r="N13" s="13">
        <v>6.3979999999999997</v>
      </c>
      <c r="O13" s="13">
        <v>0.69810000000000005</v>
      </c>
      <c r="P13" s="11">
        <f t="shared" si="4"/>
        <v>1.1417183348095659</v>
      </c>
      <c r="Q13" s="12">
        <v>83</v>
      </c>
      <c r="R13" s="13">
        <v>-0.88300000000000001</v>
      </c>
      <c r="S13" s="13">
        <v>3.8889999999999998</v>
      </c>
      <c r="T13" s="13">
        <v>0.42680000000000001</v>
      </c>
      <c r="U13" s="11">
        <f t="shared" si="5"/>
        <v>-1.0254381006218203</v>
      </c>
      <c r="V13" s="14" t="str">
        <f t="shared" si="2"/>
        <v>normal</v>
      </c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</row>
    <row r="14" spans="1:73" ht="13.5" customHeight="1" x14ac:dyDescent="0.2">
      <c r="A14" s="10" t="s">
        <v>23</v>
      </c>
      <c r="B14" s="14">
        <v>121</v>
      </c>
      <c r="C14" s="16">
        <v>20.46</v>
      </c>
      <c r="D14" s="16">
        <v>11.03</v>
      </c>
      <c r="E14" s="16">
        <v>1.0029999999999999</v>
      </c>
      <c r="F14" s="11">
        <f t="shared" si="3"/>
        <v>-7.1287827516194531</v>
      </c>
      <c r="G14" s="12">
        <v>1</v>
      </c>
      <c r="H14" s="13">
        <v>31.9</v>
      </c>
      <c r="I14" s="13">
        <v>0</v>
      </c>
      <c r="J14" s="13">
        <v>0</v>
      </c>
      <c r="K14" s="11">
        <f t="shared" si="6"/>
        <v>21.961826857532376</v>
      </c>
      <c r="L14" s="12">
        <v>4</v>
      </c>
      <c r="M14" s="13">
        <v>-0.25</v>
      </c>
      <c r="N14" s="13">
        <v>3.3849999999999998</v>
      </c>
      <c r="O14" s="13">
        <v>1.6919999999999999</v>
      </c>
      <c r="P14" s="11">
        <f t="shared" si="4"/>
        <v>0.27192205491585475</v>
      </c>
      <c r="Q14" s="12">
        <v>4</v>
      </c>
      <c r="R14" s="13">
        <v>6.4749999999999996</v>
      </c>
      <c r="S14" s="13">
        <v>6.0659999999999998</v>
      </c>
      <c r="T14" s="13">
        <v>3.0329999999999999</v>
      </c>
      <c r="U14" s="11">
        <f t="shared" si="5"/>
        <v>3.1339739966082534</v>
      </c>
      <c r="V14" s="14" t="str">
        <f t="shared" si="2"/>
        <v>severe LOF</v>
      </c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</row>
    <row r="15" spans="1:73" ht="13.5" customHeight="1" x14ac:dyDescent="0.2">
      <c r="A15" s="10" t="s">
        <v>24</v>
      </c>
      <c r="B15" s="14">
        <v>145</v>
      </c>
      <c r="C15" s="16">
        <v>18.11</v>
      </c>
      <c r="D15" s="16">
        <v>10.92</v>
      </c>
      <c r="E15" s="16">
        <v>0.9073</v>
      </c>
      <c r="F15" s="11">
        <f t="shared" si="3"/>
        <v>-7.3559895581552741</v>
      </c>
      <c r="G15" s="12">
        <v>1</v>
      </c>
      <c r="H15" s="13">
        <v>16.100000000000001</v>
      </c>
      <c r="I15" s="13">
        <v>0</v>
      </c>
      <c r="J15" s="13">
        <v>0</v>
      </c>
      <c r="K15" s="11">
        <f t="shared" si="6"/>
        <v>11.191547375596457</v>
      </c>
      <c r="L15" s="12">
        <v>0</v>
      </c>
      <c r="M15" s="13"/>
      <c r="N15" s="13"/>
      <c r="O15" s="13"/>
      <c r="P15" s="11"/>
      <c r="Q15" s="12">
        <v>0</v>
      </c>
      <c r="R15" s="13"/>
      <c r="S15" s="13"/>
      <c r="T15" s="13"/>
      <c r="U15" s="11"/>
      <c r="V15" s="14" t="str">
        <f t="shared" si="2"/>
        <v>severe LOF</v>
      </c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</row>
    <row r="16" spans="1:73" x14ac:dyDescent="0.2">
      <c r="A16" s="10" t="s">
        <v>25</v>
      </c>
      <c r="B16" s="14">
        <v>118</v>
      </c>
      <c r="C16" s="16">
        <v>111.3</v>
      </c>
      <c r="D16" s="16">
        <v>37.770000000000003</v>
      </c>
      <c r="E16" s="16">
        <v>3.4769999999999999</v>
      </c>
      <c r="F16" s="11">
        <f t="shared" si="3"/>
        <v>1.6539688678333171</v>
      </c>
      <c r="G16" s="12">
        <v>62</v>
      </c>
      <c r="H16" s="13">
        <v>-0.93740000000000001</v>
      </c>
      <c r="I16" s="13">
        <v>5.5730000000000004</v>
      </c>
      <c r="J16" s="13">
        <v>0.70779999999999998</v>
      </c>
      <c r="K16" s="11">
        <f t="shared" si="6"/>
        <v>-0.42222222222222217</v>
      </c>
      <c r="L16" s="12">
        <v>71</v>
      </c>
      <c r="M16" s="13">
        <v>2.214</v>
      </c>
      <c r="N16" s="13">
        <v>9.4369999999999994</v>
      </c>
      <c r="O16" s="13">
        <v>1.1200000000000001</v>
      </c>
      <c r="P16" s="11">
        <f t="shared" si="4"/>
        <v>1.3631532329495128</v>
      </c>
      <c r="Q16" s="12">
        <v>62</v>
      </c>
      <c r="R16" s="13">
        <v>0.2044</v>
      </c>
      <c r="S16" s="13">
        <v>8.7509999999999994</v>
      </c>
      <c r="T16" s="13">
        <v>1.111</v>
      </c>
      <c r="U16" s="11">
        <f t="shared" si="5"/>
        <v>-0.41074053137365746</v>
      </c>
      <c r="V16" s="14" t="str">
        <f t="shared" si="2"/>
        <v>normal</v>
      </c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4"/>
      <c r="BU16" s="14"/>
    </row>
    <row r="17" spans="1:73" x14ac:dyDescent="0.2">
      <c r="A17" s="10" t="s">
        <v>26</v>
      </c>
      <c r="B17" s="14">
        <v>96</v>
      </c>
      <c r="C17" s="16">
        <v>99.31</v>
      </c>
      <c r="D17" s="16">
        <v>29.08</v>
      </c>
      <c r="E17" s="16">
        <v>2.968</v>
      </c>
      <c r="F17" s="11">
        <f t="shared" si="3"/>
        <v>0.49473073576331861</v>
      </c>
      <c r="G17" s="12">
        <v>47</v>
      </c>
      <c r="H17" s="13">
        <v>0.3947</v>
      </c>
      <c r="I17" s="13">
        <v>6.9589999999999996</v>
      </c>
      <c r="J17" s="13">
        <v>1.0149999999999999</v>
      </c>
      <c r="K17" s="11">
        <f t="shared" si="6"/>
        <v>0.48582140422631215</v>
      </c>
      <c r="L17" s="12">
        <v>55</v>
      </c>
      <c r="M17" s="13">
        <v>1.4330000000000001</v>
      </c>
      <c r="N17" s="13">
        <v>9.6389999999999993</v>
      </c>
      <c r="O17" s="13">
        <v>1.3</v>
      </c>
      <c r="P17" s="11">
        <f t="shared" si="4"/>
        <v>1.017271922054916</v>
      </c>
      <c r="Q17" s="12">
        <v>63</v>
      </c>
      <c r="R17" s="13">
        <v>-5.9290000000000002E-2</v>
      </c>
      <c r="S17" s="13">
        <v>6.032</v>
      </c>
      <c r="T17" s="13">
        <v>0.76</v>
      </c>
      <c r="U17" s="11">
        <f t="shared" si="5"/>
        <v>-0.55980214810627471</v>
      </c>
      <c r="V17" s="14" t="str">
        <f t="shared" si="2"/>
        <v>normal</v>
      </c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</row>
    <row r="18" spans="1:73" x14ac:dyDescent="0.2">
      <c r="A18" s="10" t="s">
        <v>27</v>
      </c>
      <c r="B18" s="14">
        <v>114</v>
      </c>
      <c r="C18" s="16">
        <v>105.7</v>
      </c>
      <c r="D18" s="16">
        <v>37.450000000000003</v>
      </c>
      <c r="E18" s="16">
        <v>3.508</v>
      </c>
      <c r="F18" s="11">
        <f t="shared" si="3"/>
        <v>1.1125398820458285</v>
      </c>
      <c r="G18" s="12">
        <v>54</v>
      </c>
      <c r="H18" s="13">
        <v>-1.5229999999999999</v>
      </c>
      <c r="I18" s="13">
        <v>5.8090000000000002</v>
      </c>
      <c r="J18" s="13">
        <v>0.79049999999999998</v>
      </c>
      <c r="K18" s="11">
        <f t="shared" si="6"/>
        <v>-0.82140422631220167</v>
      </c>
      <c r="L18" s="12">
        <v>52</v>
      </c>
      <c r="M18" s="13">
        <v>-4.5720000000000001</v>
      </c>
      <c r="N18" s="13">
        <v>6.8179999999999996</v>
      </c>
      <c r="O18" s="13">
        <v>0.94550000000000001</v>
      </c>
      <c r="P18" s="11">
        <f t="shared" si="4"/>
        <v>-1.642161204605846</v>
      </c>
      <c r="Q18" s="12">
        <v>63</v>
      </c>
      <c r="R18" s="13">
        <v>2.5409999999999999</v>
      </c>
      <c r="S18" s="13">
        <v>5.4169999999999998</v>
      </c>
      <c r="T18" s="13">
        <v>0.6825</v>
      </c>
      <c r="U18" s="11">
        <f t="shared" si="5"/>
        <v>0.9101187111362351</v>
      </c>
      <c r="V18" s="14" t="str">
        <f t="shared" si="2"/>
        <v>normal</v>
      </c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</row>
    <row r="19" spans="1:73" x14ac:dyDescent="0.2">
      <c r="A19" s="10" t="s">
        <v>28</v>
      </c>
      <c r="B19" s="14">
        <v>148</v>
      </c>
      <c r="C19" s="16">
        <v>86.9</v>
      </c>
      <c r="D19" s="16">
        <v>35.68</v>
      </c>
      <c r="E19" s="16">
        <v>2.9329999999999998</v>
      </c>
      <c r="F19" s="11">
        <f t="shared" si="3"/>
        <v>-0.70511457024074176</v>
      </c>
      <c r="G19" s="12">
        <v>54</v>
      </c>
      <c r="H19" s="13">
        <v>1.298</v>
      </c>
      <c r="I19" s="13">
        <v>7.6440000000000001</v>
      </c>
      <c r="J19" s="13">
        <v>1.04</v>
      </c>
      <c r="K19" s="11">
        <f t="shared" si="6"/>
        <v>1.1015678254942058</v>
      </c>
      <c r="L19" s="12">
        <v>60</v>
      </c>
      <c r="M19" s="13">
        <v>-2.9039999999999999</v>
      </c>
      <c r="N19" s="13">
        <v>8.016</v>
      </c>
      <c r="O19" s="13">
        <v>1.0349999999999999</v>
      </c>
      <c r="P19" s="11">
        <f t="shared" si="4"/>
        <v>-0.90345438441098314</v>
      </c>
      <c r="Q19" s="12">
        <v>63</v>
      </c>
      <c r="R19" s="13">
        <v>5.915</v>
      </c>
      <c r="S19" s="13">
        <v>14.87</v>
      </c>
      <c r="T19" s="13">
        <v>1.8740000000000001</v>
      </c>
      <c r="U19" s="11">
        <f t="shared" si="5"/>
        <v>2.8174109666478238</v>
      </c>
      <c r="V19" s="14" t="str">
        <f t="shared" si="2"/>
        <v>normal</v>
      </c>
    </row>
    <row r="20" spans="1:73" x14ac:dyDescent="0.2">
      <c r="A20" s="10" t="s">
        <v>29</v>
      </c>
      <c r="B20" s="14">
        <v>113</v>
      </c>
      <c r="C20" s="16">
        <v>93.36</v>
      </c>
      <c r="D20" s="16">
        <v>32.74</v>
      </c>
      <c r="E20" s="16">
        <v>3.08</v>
      </c>
      <c r="F20" s="11">
        <f t="shared" si="3"/>
        <v>-8.0537561635888849E-2</v>
      </c>
      <c r="G20" s="12">
        <v>47</v>
      </c>
      <c r="H20" s="13">
        <v>-2.2970000000000002</v>
      </c>
      <c r="I20" s="13">
        <v>4.8940000000000001</v>
      </c>
      <c r="J20" s="13">
        <v>0.71389999999999998</v>
      </c>
      <c r="K20" s="11">
        <f t="shared" si="6"/>
        <v>-1.3490115882753919</v>
      </c>
      <c r="L20" s="12">
        <v>62</v>
      </c>
      <c r="M20" s="13">
        <v>-2.9660000000000002</v>
      </c>
      <c r="N20" s="13">
        <v>7.4820000000000002</v>
      </c>
      <c r="O20" s="13">
        <v>0.95030000000000003</v>
      </c>
      <c r="P20" s="11">
        <f t="shared" si="4"/>
        <v>-0.93091231178033673</v>
      </c>
      <c r="Q20" s="12">
        <v>51</v>
      </c>
      <c r="R20" s="13">
        <v>5.0029999999999998E-2</v>
      </c>
      <c r="S20" s="13">
        <v>3.0590000000000002</v>
      </c>
      <c r="T20" s="13">
        <v>0.42830000000000001</v>
      </c>
      <c r="U20" s="11">
        <f t="shared" si="5"/>
        <v>-0.4980045223289995</v>
      </c>
      <c r="V20" s="14" t="str">
        <f t="shared" si="2"/>
        <v>normal</v>
      </c>
    </row>
    <row r="21" spans="1:73" x14ac:dyDescent="0.2">
      <c r="A21" s="10" t="s">
        <v>30</v>
      </c>
      <c r="B21" s="14">
        <v>135</v>
      </c>
      <c r="C21" s="16">
        <v>92.46</v>
      </c>
      <c r="D21" s="16">
        <v>33.840000000000003</v>
      </c>
      <c r="E21" s="16">
        <v>2.9119999999999999</v>
      </c>
      <c r="F21" s="11">
        <f t="shared" si="3"/>
        <v>-0.16755293435173588</v>
      </c>
      <c r="G21" s="12">
        <v>62</v>
      </c>
      <c r="H21" s="13">
        <v>-2.16</v>
      </c>
      <c r="I21" s="13">
        <v>4.7480000000000002</v>
      </c>
      <c r="J21" s="13">
        <v>0.60299999999999998</v>
      </c>
      <c r="K21" s="11">
        <f t="shared" si="6"/>
        <v>-1.2556237218813906</v>
      </c>
      <c r="L21" s="12">
        <v>70</v>
      </c>
      <c r="M21" s="13">
        <v>-1.58</v>
      </c>
      <c r="N21" s="13">
        <v>7.9349999999999996</v>
      </c>
      <c r="O21" s="13">
        <v>0.94840000000000002</v>
      </c>
      <c r="P21" s="11">
        <f t="shared" si="4"/>
        <v>-0.31709477413640391</v>
      </c>
      <c r="Q21" s="12">
        <v>76</v>
      </c>
      <c r="R21" s="13">
        <v>0.69869999999999999</v>
      </c>
      <c r="S21" s="13">
        <v>4.0220000000000002</v>
      </c>
      <c r="T21" s="13">
        <v>0.46139999999999998</v>
      </c>
      <c r="U21" s="11">
        <f t="shared" si="5"/>
        <v>-0.13131712832108541</v>
      </c>
      <c r="V21" s="14" t="str">
        <f t="shared" si="2"/>
        <v>normal</v>
      </c>
    </row>
    <row r="22" spans="1:73" x14ac:dyDescent="0.2">
      <c r="A22" s="10" t="s">
        <v>31</v>
      </c>
      <c r="B22" s="14">
        <v>119</v>
      </c>
      <c r="C22" s="16">
        <v>90.03</v>
      </c>
      <c r="D22" s="16">
        <v>31.32</v>
      </c>
      <c r="E22" s="16">
        <v>2.871</v>
      </c>
      <c r="F22" s="11">
        <f t="shared" si="3"/>
        <v>-0.40249444068452062</v>
      </c>
      <c r="G22" s="12">
        <v>60</v>
      </c>
      <c r="H22" s="13">
        <v>-6.4310000000000006E-2</v>
      </c>
      <c r="I22" s="13">
        <v>7.2329999999999997</v>
      </c>
      <c r="J22" s="13">
        <v>0.93369999999999997</v>
      </c>
      <c r="K22" s="11">
        <f t="shared" si="6"/>
        <v>0.17293115201090659</v>
      </c>
      <c r="L22" s="12">
        <v>72</v>
      </c>
      <c r="M22" s="13">
        <v>0.85270000000000001</v>
      </c>
      <c r="N22" s="13">
        <v>8.01</v>
      </c>
      <c r="O22" s="13">
        <v>0.94399999999999995</v>
      </c>
      <c r="P22" s="11">
        <f t="shared" si="4"/>
        <v>0.76027457927369346</v>
      </c>
      <c r="Q22" s="12">
        <v>67</v>
      </c>
      <c r="R22" s="13">
        <v>0.92090000000000005</v>
      </c>
      <c r="S22" s="13">
        <v>4.2569999999999997</v>
      </c>
      <c r="T22" s="13">
        <v>0.52010000000000001</v>
      </c>
      <c r="U22" s="11">
        <f t="shared" si="5"/>
        <v>-5.7094403617863193E-3</v>
      </c>
      <c r="V22" s="14" t="str">
        <f t="shared" si="2"/>
        <v>normal</v>
      </c>
      <c r="W22" s="10"/>
    </row>
    <row r="23" spans="1:73" x14ac:dyDescent="0.2">
      <c r="A23" s="10" t="s">
        <v>32</v>
      </c>
      <c r="B23" s="14">
        <v>178</v>
      </c>
      <c r="C23" s="16">
        <v>103</v>
      </c>
      <c r="D23" s="16">
        <v>36.6</v>
      </c>
      <c r="E23" s="16">
        <v>2.7429999999999999</v>
      </c>
      <c r="F23" s="11">
        <f t="shared" si="3"/>
        <v>0.8514937638982889</v>
      </c>
      <c r="G23" s="12">
        <v>93</v>
      </c>
      <c r="H23" s="13">
        <v>-1.7569999999999999</v>
      </c>
      <c r="I23" s="13">
        <v>6.1280000000000001</v>
      </c>
      <c r="J23" s="13">
        <v>0.63539999999999996</v>
      </c>
      <c r="K23" s="11">
        <f t="shared" si="6"/>
        <v>-0.98091342876618937</v>
      </c>
      <c r="L23" s="12">
        <v>100</v>
      </c>
      <c r="M23" s="13">
        <v>-3.5510000000000002</v>
      </c>
      <c r="N23" s="13">
        <v>7.1159999999999997</v>
      </c>
      <c r="O23" s="13">
        <v>0.71160000000000001</v>
      </c>
      <c r="P23" s="11">
        <f t="shared" si="4"/>
        <v>-1.1899911426040746</v>
      </c>
      <c r="Q23" s="12">
        <v>118</v>
      </c>
      <c r="R23" s="13">
        <v>1.708</v>
      </c>
      <c r="S23" s="13">
        <v>4.3170000000000002</v>
      </c>
      <c r="T23" s="13">
        <v>0.39739999999999998</v>
      </c>
      <c r="U23" s="11">
        <f t="shared" si="5"/>
        <v>0.43923120407009608</v>
      </c>
      <c r="V23" s="14" t="str">
        <f t="shared" si="2"/>
        <v>normal</v>
      </c>
      <c r="W23" s="10"/>
    </row>
    <row r="24" spans="1:73" x14ac:dyDescent="0.2">
      <c r="A24" s="10" t="s">
        <v>33</v>
      </c>
      <c r="B24" s="14">
        <v>176</v>
      </c>
      <c r="C24" s="16">
        <v>92.18</v>
      </c>
      <c r="D24" s="16">
        <v>38.119999999999997</v>
      </c>
      <c r="E24" s="16">
        <v>2.8730000000000002</v>
      </c>
      <c r="F24" s="11">
        <f t="shared" si="3"/>
        <v>-0.19462438364110907</v>
      </c>
      <c r="G24" s="12">
        <v>79</v>
      </c>
      <c r="H24" s="13">
        <v>-2.1019999999999999</v>
      </c>
      <c r="I24" s="13">
        <v>5.2779999999999996</v>
      </c>
      <c r="J24" s="13">
        <v>0.59379999999999999</v>
      </c>
      <c r="K24" s="11">
        <f t="shared" si="6"/>
        <v>-1.2160872528970688</v>
      </c>
      <c r="L24" s="12">
        <v>102</v>
      </c>
      <c r="M24" s="13">
        <v>-1.147</v>
      </c>
      <c r="N24" s="13">
        <v>7.5979999999999999</v>
      </c>
      <c r="O24" s="13">
        <v>0.75229999999999997</v>
      </c>
      <c r="P24" s="11">
        <f t="shared" si="4"/>
        <v>-0.12533215234720993</v>
      </c>
      <c r="Q24" s="12">
        <v>101</v>
      </c>
      <c r="R24" s="13">
        <v>3.3170000000000002</v>
      </c>
      <c r="S24" s="13">
        <v>9.218</v>
      </c>
      <c r="T24" s="13">
        <v>0.9173</v>
      </c>
      <c r="U24" s="11">
        <f t="shared" si="5"/>
        <v>1.3487846240814021</v>
      </c>
      <c r="V24" s="14" t="str">
        <f t="shared" si="2"/>
        <v>normal</v>
      </c>
      <c r="W24" s="10"/>
    </row>
    <row r="25" spans="1:73" x14ac:dyDescent="0.2">
      <c r="A25" s="10" t="s">
        <v>34</v>
      </c>
      <c r="B25" s="14">
        <v>129</v>
      </c>
      <c r="C25" s="16">
        <v>98.38</v>
      </c>
      <c r="D25" s="16">
        <v>31.53</v>
      </c>
      <c r="E25" s="16">
        <v>2.7759999999999998</v>
      </c>
      <c r="F25" s="11">
        <f t="shared" si="3"/>
        <v>0.40481485062360995</v>
      </c>
      <c r="G25" s="12">
        <v>54</v>
      </c>
      <c r="H25" s="13">
        <v>-3.8479999999999999</v>
      </c>
      <c r="I25" s="13">
        <v>4.9390000000000001</v>
      </c>
      <c r="J25" s="13">
        <v>0.67210000000000003</v>
      </c>
      <c r="K25" s="11">
        <f t="shared" si="6"/>
        <v>-2.4062713019768234</v>
      </c>
      <c r="L25" s="12">
        <v>58</v>
      </c>
      <c r="M25" s="13">
        <v>-1.35</v>
      </c>
      <c r="N25" s="13">
        <v>7.92</v>
      </c>
      <c r="O25" s="13">
        <v>1.04</v>
      </c>
      <c r="P25" s="11">
        <f t="shared" si="4"/>
        <v>-0.21523472099202839</v>
      </c>
      <c r="Q25" s="12">
        <v>78</v>
      </c>
      <c r="R25" s="13">
        <v>2.081</v>
      </c>
      <c r="S25" s="13">
        <v>5.3010000000000002</v>
      </c>
      <c r="T25" s="13">
        <v>0.60019999999999996</v>
      </c>
      <c r="U25" s="11">
        <f t="shared" si="5"/>
        <v>0.65008479366873939</v>
      </c>
      <c r="V25" s="14" t="str">
        <f t="shared" si="2"/>
        <v>normal</v>
      </c>
      <c r="W25" s="10"/>
    </row>
    <row r="26" spans="1:73" x14ac:dyDescent="0.2">
      <c r="A26" s="10" t="s">
        <v>35</v>
      </c>
      <c r="B26" s="14">
        <v>123</v>
      </c>
      <c r="C26" s="16">
        <v>98.48</v>
      </c>
      <c r="D26" s="16">
        <v>45.27</v>
      </c>
      <c r="E26" s="16">
        <v>4.0819999999999999</v>
      </c>
      <c r="F26" s="11">
        <f t="shared" si="3"/>
        <v>0.41448322536981591</v>
      </c>
      <c r="G26" s="12">
        <v>62</v>
      </c>
      <c r="H26" s="13">
        <v>-1.5049999999999999</v>
      </c>
      <c r="I26" s="13">
        <v>7.0090000000000003</v>
      </c>
      <c r="J26" s="13">
        <v>0.89019999999999999</v>
      </c>
      <c r="K26" s="11">
        <f t="shared" si="6"/>
        <v>-0.80913428766189488</v>
      </c>
      <c r="L26" s="12">
        <v>71</v>
      </c>
      <c r="M26" s="13">
        <v>1.9990000000000001</v>
      </c>
      <c r="N26" s="13">
        <v>7.9119999999999999</v>
      </c>
      <c r="O26" s="13">
        <v>0.93899999999999995</v>
      </c>
      <c r="P26" s="11">
        <f t="shared" si="4"/>
        <v>1.2679362267493357</v>
      </c>
      <c r="Q26" s="12">
        <v>70</v>
      </c>
      <c r="R26" s="13">
        <v>-0.58140000000000003</v>
      </c>
      <c r="S26" s="13">
        <v>8.4969999999999999</v>
      </c>
      <c r="T26" s="13">
        <v>1.016</v>
      </c>
      <c r="U26" s="11">
        <f t="shared" si="5"/>
        <v>-0.85494629734313177</v>
      </c>
      <c r="V26" s="14" t="str">
        <f t="shared" si="2"/>
        <v>normal</v>
      </c>
      <c r="W26" s="10"/>
    </row>
    <row r="27" spans="1:73" ht="13.5" customHeight="1" x14ac:dyDescent="0.2">
      <c r="A27" s="10" t="s">
        <v>36</v>
      </c>
      <c r="B27" s="14">
        <v>107</v>
      </c>
      <c r="C27" s="16">
        <v>50.85</v>
      </c>
      <c r="D27" s="16">
        <v>22.3</v>
      </c>
      <c r="E27" s="16">
        <v>2.1560000000000001</v>
      </c>
      <c r="F27" s="11">
        <f t="shared" si="3"/>
        <v>-4.1905636662477033</v>
      </c>
      <c r="G27" s="12">
        <v>48</v>
      </c>
      <c r="H27" s="13">
        <v>15.14</v>
      </c>
      <c r="I27" s="13">
        <v>5.4359999999999999</v>
      </c>
      <c r="J27" s="13">
        <v>0.78469999999999995</v>
      </c>
      <c r="K27" s="11">
        <f t="shared" si="6"/>
        <v>10.537150647580095</v>
      </c>
      <c r="L27" s="12">
        <v>55</v>
      </c>
      <c r="M27" s="13">
        <v>-4.74</v>
      </c>
      <c r="N27" s="13">
        <v>5.99</v>
      </c>
      <c r="O27" s="13">
        <v>0.80769999999999997</v>
      </c>
      <c r="P27" s="11">
        <f t="shared" si="4"/>
        <v>-1.7165633303808681</v>
      </c>
      <c r="Q27" s="12">
        <v>52</v>
      </c>
      <c r="R27" s="13">
        <v>9.6159999999999997</v>
      </c>
      <c r="S27" s="13">
        <v>12.39</v>
      </c>
      <c r="T27" s="13">
        <v>1.7190000000000001</v>
      </c>
      <c r="U27" s="11">
        <f t="shared" si="5"/>
        <v>4.9095534200113056</v>
      </c>
      <c r="V27" s="14" t="str">
        <f t="shared" si="2"/>
        <v>severe LOF</v>
      </c>
      <c r="W27" s="10"/>
    </row>
    <row r="28" spans="1:73" ht="13.5" customHeight="1" x14ac:dyDescent="0.2">
      <c r="A28" s="10" t="s">
        <v>37</v>
      </c>
      <c r="B28" s="14">
        <v>96</v>
      </c>
      <c r="C28" s="16">
        <v>41.86</v>
      </c>
      <c r="D28" s="16">
        <v>15.84</v>
      </c>
      <c r="E28" s="16">
        <v>1.617</v>
      </c>
      <c r="F28" s="11">
        <f t="shared" si="3"/>
        <v>-5.0597505559315481</v>
      </c>
      <c r="G28" s="12">
        <v>44</v>
      </c>
      <c r="H28" s="13">
        <v>23.47</v>
      </c>
      <c r="I28" s="13">
        <v>7.4459999999999997</v>
      </c>
      <c r="J28" s="13">
        <v>1.123</v>
      </c>
      <c r="K28" s="11">
        <f t="shared" si="6"/>
        <v>16.215405589638717</v>
      </c>
      <c r="L28" s="12">
        <v>42</v>
      </c>
      <c r="M28" s="13">
        <v>-1.526</v>
      </c>
      <c r="N28" s="13">
        <v>6.8360000000000003</v>
      </c>
      <c r="O28" s="13">
        <v>1.0549999999999999</v>
      </c>
      <c r="P28" s="11">
        <f t="shared" si="4"/>
        <v>-0.29317980513728964</v>
      </c>
      <c r="Q28" s="12">
        <v>28</v>
      </c>
      <c r="R28" s="13">
        <v>5.1040000000000001</v>
      </c>
      <c r="S28" s="13">
        <v>8.0779999999999994</v>
      </c>
      <c r="T28" s="13">
        <v>1.5269999999999999</v>
      </c>
      <c r="U28" s="11">
        <f t="shared" si="5"/>
        <v>2.3589598643301302</v>
      </c>
      <c r="V28" s="14" t="str">
        <f t="shared" si="2"/>
        <v>severe LOF</v>
      </c>
      <c r="W28" s="10"/>
    </row>
    <row r="29" spans="1:73" ht="13.5" customHeight="1" x14ac:dyDescent="0.2">
      <c r="A29" s="10" t="s">
        <v>38</v>
      </c>
      <c r="B29" s="14">
        <v>145</v>
      </c>
      <c r="C29" s="16">
        <v>13.19</v>
      </c>
      <c r="D29" s="16">
        <v>7.9349999999999996</v>
      </c>
      <c r="E29" s="16">
        <v>0.65900000000000003</v>
      </c>
      <c r="F29" s="11">
        <f t="shared" si="3"/>
        <v>-7.8316735956685681</v>
      </c>
      <c r="G29" s="12">
        <v>0</v>
      </c>
      <c r="H29" s="13"/>
      <c r="I29" s="13"/>
      <c r="J29" s="13"/>
      <c r="K29" s="11"/>
      <c r="L29" s="12">
        <v>1</v>
      </c>
      <c r="M29" s="13">
        <v>5.7</v>
      </c>
      <c r="N29" s="13">
        <v>0</v>
      </c>
      <c r="O29" s="13">
        <v>0</v>
      </c>
      <c r="P29" s="11">
        <f t="shared" si="4"/>
        <v>2.9069973427812221</v>
      </c>
      <c r="Q29" s="12">
        <v>1</v>
      </c>
      <c r="R29" s="13">
        <v>-5.2</v>
      </c>
      <c r="S29" s="13">
        <v>0</v>
      </c>
      <c r="T29" s="13">
        <v>0</v>
      </c>
      <c r="U29" s="11">
        <f t="shared" si="5"/>
        <v>-3.4657998869417752</v>
      </c>
      <c r="V29" s="14" t="str">
        <f t="shared" si="2"/>
        <v>severe LOF</v>
      </c>
      <c r="W29" s="10"/>
    </row>
    <row r="30" spans="1:73" ht="13.5" customHeight="1" x14ac:dyDescent="0.2">
      <c r="A30" s="10" t="s">
        <v>39</v>
      </c>
      <c r="B30" s="14">
        <v>136</v>
      </c>
      <c r="C30" s="16">
        <v>13.11</v>
      </c>
      <c r="D30" s="16">
        <v>7.8879999999999999</v>
      </c>
      <c r="E30" s="16">
        <v>0.6764</v>
      </c>
      <c r="F30" s="11">
        <f t="shared" si="3"/>
        <v>-7.8394082954655318</v>
      </c>
      <c r="G30" s="12">
        <v>0</v>
      </c>
      <c r="H30" s="13"/>
      <c r="I30" s="13"/>
      <c r="J30" s="13"/>
      <c r="K30" s="11"/>
      <c r="L30" s="12">
        <v>0</v>
      </c>
      <c r="M30" s="13"/>
      <c r="N30" s="13"/>
      <c r="O30" s="13"/>
      <c r="P30" s="11"/>
      <c r="Q30" s="12">
        <v>0</v>
      </c>
      <c r="R30" s="13"/>
      <c r="S30" s="13"/>
      <c r="T30" s="13"/>
      <c r="U30" s="11"/>
      <c r="V30" s="14" t="str">
        <f t="shared" si="2"/>
        <v>severe LOF</v>
      </c>
      <c r="W30" s="10"/>
    </row>
    <row r="31" spans="1:73" ht="13.5" customHeight="1" x14ac:dyDescent="0.2">
      <c r="A31" s="10" t="s">
        <v>40</v>
      </c>
      <c r="B31" s="14">
        <v>104</v>
      </c>
      <c r="C31" s="16">
        <v>22.7</v>
      </c>
      <c r="D31" s="16">
        <v>10.47</v>
      </c>
      <c r="E31" s="16">
        <v>1.0269999999999999</v>
      </c>
      <c r="F31" s="11">
        <f t="shared" si="3"/>
        <v>-6.9122111573044567</v>
      </c>
      <c r="G31" s="12">
        <v>1</v>
      </c>
      <c r="H31" s="13">
        <v>13.9</v>
      </c>
      <c r="I31" s="13">
        <v>0</v>
      </c>
      <c r="J31" s="13">
        <v>0</v>
      </c>
      <c r="K31" s="11">
        <f t="shared" si="6"/>
        <v>9.6918882072256292</v>
      </c>
      <c r="L31" s="12">
        <v>2</v>
      </c>
      <c r="M31" s="13">
        <v>7.3</v>
      </c>
      <c r="N31" s="13">
        <v>8.3439999999999994</v>
      </c>
      <c r="O31" s="13">
        <v>5.9</v>
      </c>
      <c r="P31" s="11">
        <f t="shared" si="4"/>
        <v>3.6155890168290523</v>
      </c>
      <c r="Q31" s="12">
        <v>0</v>
      </c>
      <c r="R31" s="13"/>
      <c r="S31" s="13"/>
      <c r="T31" s="13"/>
      <c r="U31" s="11"/>
      <c r="V31" s="14" t="str">
        <f t="shared" si="2"/>
        <v>severe LOF</v>
      </c>
    </row>
    <row r="32" spans="1:73" ht="13.5" customHeight="1" x14ac:dyDescent="0.2">
      <c r="A32" s="10" t="s">
        <v>41</v>
      </c>
      <c r="B32" s="14">
        <v>129</v>
      </c>
      <c r="C32" s="16">
        <v>18.350000000000001</v>
      </c>
      <c r="D32" s="16">
        <v>8.8840000000000003</v>
      </c>
      <c r="E32" s="16">
        <v>0.78220000000000001</v>
      </c>
      <c r="F32" s="11">
        <f t="shared" si="3"/>
        <v>-7.3327854587643806</v>
      </c>
      <c r="G32" s="12">
        <v>2</v>
      </c>
      <c r="H32" s="13">
        <v>23.75</v>
      </c>
      <c r="I32" s="13">
        <v>2.899</v>
      </c>
      <c r="J32" s="13">
        <v>2.0499999999999998</v>
      </c>
      <c r="K32" s="11">
        <f t="shared" si="6"/>
        <v>16.406271301976822</v>
      </c>
      <c r="L32" s="12">
        <v>4</v>
      </c>
      <c r="M32" s="13">
        <v>9.0749999999999993</v>
      </c>
      <c r="N32" s="13">
        <v>4.9740000000000002</v>
      </c>
      <c r="O32" s="13">
        <v>2.4870000000000001</v>
      </c>
      <c r="P32" s="11">
        <f t="shared" si="4"/>
        <v>4.4016829052258633</v>
      </c>
      <c r="Q32" s="12">
        <v>2</v>
      </c>
      <c r="R32" s="13">
        <v>-9.5500000000000007</v>
      </c>
      <c r="S32" s="13">
        <v>0.63639999999999997</v>
      </c>
      <c r="T32" s="13">
        <v>0.45</v>
      </c>
      <c r="U32" s="11">
        <f t="shared" si="5"/>
        <v>-5.9248162803843991</v>
      </c>
      <c r="V32" s="14" t="str">
        <f t="shared" si="2"/>
        <v>severe LOF</v>
      </c>
    </row>
    <row r="33" spans="1:22" x14ac:dyDescent="0.2">
      <c r="A33" s="10" t="s">
        <v>42</v>
      </c>
      <c r="B33" s="14">
        <v>119</v>
      </c>
      <c r="C33" s="16">
        <v>81.44</v>
      </c>
      <c r="D33" s="16">
        <v>47.87</v>
      </c>
      <c r="E33" s="16">
        <v>4.3879999999999999</v>
      </c>
      <c r="F33" s="11">
        <f t="shared" si="3"/>
        <v>-1.2330078313835444</v>
      </c>
      <c r="G33" s="12">
        <v>41</v>
      </c>
      <c r="H33" s="13">
        <v>0.15490000000000001</v>
      </c>
      <c r="I33" s="13">
        <v>4.4139999999999997</v>
      </c>
      <c r="J33" s="13">
        <v>0.68940000000000001</v>
      </c>
      <c r="K33" s="11">
        <f t="shared" si="6"/>
        <v>0.32235855487389226</v>
      </c>
      <c r="L33" s="12">
        <v>49</v>
      </c>
      <c r="M33" s="13">
        <v>-2.0779999999999998</v>
      </c>
      <c r="N33" s="13">
        <v>8.0050000000000008</v>
      </c>
      <c r="O33" s="13">
        <v>1.1439999999999999</v>
      </c>
      <c r="P33" s="11">
        <f t="shared" si="4"/>
        <v>-0.53764393268379096</v>
      </c>
      <c r="Q33" s="12">
        <v>49</v>
      </c>
      <c r="R33" s="13">
        <v>-0.39679999999999999</v>
      </c>
      <c r="S33" s="13">
        <v>4.63</v>
      </c>
      <c r="T33" s="13">
        <v>0.66139999999999999</v>
      </c>
      <c r="U33" s="11">
        <f t="shared" si="5"/>
        <v>-0.75059355568117592</v>
      </c>
      <c r="V33" s="14" t="str">
        <f t="shared" si="2"/>
        <v>normal</v>
      </c>
    </row>
    <row r="34" spans="1:22" ht="13.5" customHeight="1" x14ac:dyDescent="0.2">
      <c r="A34" s="10" t="s">
        <v>43</v>
      </c>
      <c r="B34" s="14">
        <v>107</v>
      </c>
      <c r="C34" s="16">
        <v>38.6</v>
      </c>
      <c r="D34" s="16">
        <v>17.100000000000001</v>
      </c>
      <c r="E34" s="16">
        <v>1.653</v>
      </c>
      <c r="F34" s="11">
        <f t="shared" si="3"/>
        <v>-5.3749395726578362</v>
      </c>
      <c r="G34" s="12">
        <v>39</v>
      </c>
      <c r="H34" s="13">
        <v>20.059999999999999</v>
      </c>
      <c r="I34" s="13">
        <v>6.6429999999999998</v>
      </c>
      <c r="J34" s="13">
        <v>1.0640000000000001</v>
      </c>
      <c r="K34" s="11">
        <f t="shared" si="6"/>
        <v>13.890933878663938</v>
      </c>
      <c r="L34" s="12">
        <v>46</v>
      </c>
      <c r="M34" s="13">
        <v>25.32</v>
      </c>
      <c r="N34" s="13">
        <v>7.8730000000000002</v>
      </c>
      <c r="O34" s="13">
        <v>1.161</v>
      </c>
      <c r="P34" s="11">
        <f t="shared" si="4"/>
        <v>11.596102745792738</v>
      </c>
      <c r="Q34" s="12">
        <v>34</v>
      </c>
      <c r="R34" s="13">
        <v>-20.399999999999999</v>
      </c>
      <c r="S34" s="13">
        <v>3.3239999999999998</v>
      </c>
      <c r="T34" s="13">
        <v>0.56999999999999995</v>
      </c>
      <c r="U34" s="11">
        <f t="shared" si="5"/>
        <v>-12.058224985867723</v>
      </c>
      <c r="V34" s="14" t="str">
        <f t="shared" si="2"/>
        <v>severe LOF</v>
      </c>
    </row>
    <row r="35" spans="1:22" x14ac:dyDescent="0.2">
      <c r="A35" s="10" t="s">
        <v>44</v>
      </c>
      <c r="B35" s="14">
        <v>76</v>
      </c>
      <c r="C35" s="16">
        <v>66.63</v>
      </c>
      <c r="D35" s="16">
        <v>27.26</v>
      </c>
      <c r="E35" s="16">
        <v>3.1259999999999999</v>
      </c>
      <c r="F35" s="11">
        <f t="shared" si="3"/>
        <v>-2.6648941312965291</v>
      </c>
      <c r="G35" s="12">
        <v>28</v>
      </c>
      <c r="H35" s="13">
        <v>11.23</v>
      </c>
      <c r="I35" s="13">
        <v>5.0860000000000003</v>
      </c>
      <c r="J35" s="13">
        <v>0.96109999999999995</v>
      </c>
      <c r="K35" s="11">
        <f t="shared" si="6"/>
        <v>7.8718473074301292</v>
      </c>
      <c r="L35" s="12">
        <v>41</v>
      </c>
      <c r="M35" s="13">
        <v>18.03</v>
      </c>
      <c r="N35" s="13">
        <v>10.97</v>
      </c>
      <c r="O35" s="13">
        <v>1.714</v>
      </c>
      <c r="P35" s="11">
        <f t="shared" si="4"/>
        <v>8.3675819309123121</v>
      </c>
      <c r="Q35" s="12">
        <v>34</v>
      </c>
      <c r="R35" s="13">
        <v>-11.9</v>
      </c>
      <c r="S35" s="13">
        <v>7.5090000000000003</v>
      </c>
      <c r="T35" s="13">
        <v>1.288</v>
      </c>
      <c r="U35" s="11">
        <f t="shared" si="5"/>
        <v>-7.2532504239683435</v>
      </c>
      <c r="V35" s="14" t="str">
        <f t="shared" si="2"/>
        <v>moderate LOF</v>
      </c>
    </row>
    <row r="36" spans="1:22" x14ac:dyDescent="0.2">
      <c r="A36" s="10" t="s">
        <v>45</v>
      </c>
      <c r="B36" s="14">
        <v>121</v>
      </c>
      <c r="C36" s="16">
        <v>95.05</v>
      </c>
      <c r="D36" s="16">
        <v>34.770000000000003</v>
      </c>
      <c r="E36" s="16">
        <v>3.161</v>
      </c>
      <c r="F36" s="11">
        <f t="shared" si="3"/>
        <v>8.2857971574978179E-2</v>
      </c>
      <c r="G36" s="12">
        <v>69</v>
      </c>
      <c r="H36" s="13">
        <v>0.84489999999999998</v>
      </c>
      <c r="I36" s="13">
        <v>5.27</v>
      </c>
      <c r="J36" s="13">
        <v>0.63439999999999996</v>
      </c>
      <c r="K36" s="11">
        <f t="shared" si="6"/>
        <v>0.79270620313565099</v>
      </c>
      <c r="L36" s="12">
        <v>69</v>
      </c>
      <c r="M36" s="13">
        <v>-1.427</v>
      </c>
      <c r="N36" s="13">
        <v>8.2189999999999994</v>
      </c>
      <c r="O36" s="13">
        <v>0.98939999999999995</v>
      </c>
      <c r="P36" s="11">
        <f t="shared" si="4"/>
        <v>-0.2493356953055802</v>
      </c>
      <c r="Q36" s="12">
        <v>79</v>
      </c>
      <c r="R36" s="13">
        <v>1.982</v>
      </c>
      <c r="S36" s="13">
        <v>4.5469999999999997</v>
      </c>
      <c r="T36" s="13">
        <v>0.51160000000000005</v>
      </c>
      <c r="U36" s="11">
        <f t="shared" si="5"/>
        <v>0.59412097230073491</v>
      </c>
      <c r="V36" s="14" t="str">
        <f t="shared" si="2"/>
        <v>normal</v>
      </c>
    </row>
    <row r="37" spans="1:22" x14ac:dyDescent="0.2">
      <c r="A37" s="10" t="s">
        <v>46</v>
      </c>
      <c r="B37" s="14">
        <v>134</v>
      </c>
      <c r="C37" s="16">
        <v>100.8</v>
      </c>
      <c r="D37" s="16">
        <v>32.33</v>
      </c>
      <c r="E37" s="16">
        <v>2.7930000000000001</v>
      </c>
      <c r="F37" s="11">
        <f t="shared" si="3"/>
        <v>0.63878951948177509</v>
      </c>
      <c r="G37" s="12">
        <v>61</v>
      </c>
      <c r="H37" s="13">
        <v>-0.59309999999999996</v>
      </c>
      <c r="I37" s="13">
        <v>5.01</v>
      </c>
      <c r="J37" s="13">
        <v>0.64139999999999997</v>
      </c>
      <c r="K37" s="11">
        <f t="shared" si="6"/>
        <v>-0.18752556237218809</v>
      </c>
      <c r="L37" s="12">
        <v>73</v>
      </c>
      <c r="M37" s="13">
        <v>2.4980000000000002</v>
      </c>
      <c r="N37" s="13">
        <v>7.5860000000000003</v>
      </c>
      <c r="O37" s="13">
        <v>0.88790000000000002</v>
      </c>
      <c r="P37" s="11">
        <f t="shared" si="4"/>
        <v>1.4889282550930028</v>
      </c>
      <c r="Q37" s="12">
        <v>67</v>
      </c>
      <c r="R37" s="13">
        <v>-0.26590000000000003</v>
      </c>
      <c r="S37" s="13">
        <v>4.5229999999999997</v>
      </c>
      <c r="T37" s="13">
        <v>0.55259999999999998</v>
      </c>
      <c r="U37" s="11">
        <f t="shared" si="5"/>
        <v>-0.67659694742792542</v>
      </c>
      <c r="V37" s="14" t="str">
        <f t="shared" si="2"/>
        <v>normal</v>
      </c>
    </row>
    <row r="38" spans="1:22" ht="13.5" customHeight="1" x14ac:dyDescent="0.2">
      <c r="A38" s="10" t="s">
        <v>47</v>
      </c>
      <c r="B38" s="14">
        <v>143</v>
      </c>
      <c r="C38" s="16">
        <v>15.61</v>
      </c>
      <c r="D38" s="16">
        <v>8.1460000000000008</v>
      </c>
      <c r="E38" s="16">
        <v>0.68120000000000003</v>
      </c>
      <c r="F38" s="11">
        <f t="shared" si="3"/>
        <v>-7.5976989268104029</v>
      </c>
      <c r="G38" s="12">
        <v>1</v>
      </c>
      <c r="H38" s="13">
        <v>18.2</v>
      </c>
      <c r="I38" s="13">
        <v>0</v>
      </c>
      <c r="J38" s="13">
        <v>0</v>
      </c>
      <c r="K38" s="11">
        <f t="shared" si="6"/>
        <v>12.623040218132243</v>
      </c>
      <c r="L38" s="12">
        <v>1</v>
      </c>
      <c r="M38" s="13">
        <v>27.2</v>
      </c>
      <c r="N38" s="13">
        <v>0</v>
      </c>
      <c r="O38" s="13">
        <v>0</v>
      </c>
      <c r="P38" s="11">
        <f t="shared" si="4"/>
        <v>12.428697962798937</v>
      </c>
      <c r="Q38" s="12">
        <v>1</v>
      </c>
      <c r="R38" s="13">
        <v>-17.899999999999999</v>
      </c>
      <c r="S38" s="13">
        <v>0</v>
      </c>
      <c r="T38" s="13">
        <v>0</v>
      </c>
      <c r="U38" s="11">
        <f t="shared" si="5"/>
        <v>-10.644997173544375</v>
      </c>
      <c r="V38" s="14" t="str">
        <f t="shared" si="2"/>
        <v>severe LOF</v>
      </c>
    </row>
    <row r="39" spans="1:22" ht="13.5" customHeight="1" x14ac:dyDescent="0.2">
      <c r="A39" s="10" t="s">
        <v>48</v>
      </c>
      <c r="B39" s="14">
        <v>113</v>
      </c>
      <c r="C39" s="16">
        <v>34.19</v>
      </c>
      <c r="D39" s="16">
        <v>13.66</v>
      </c>
      <c r="E39" s="16">
        <v>1.2849999999999999</v>
      </c>
      <c r="F39" s="11">
        <f t="shared" si="3"/>
        <v>-5.8013148989654839</v>
      </c>
      <c r="G39" s="12">
        <v>35</v>
      </c>
      <c r="H39" s="13">
        <v>21.19</v>
      </c>
      <c r="I39" s="13">
        <v>4.6879999999999997</v>
      </c>
      <c r="J39" s="13">
        <v>0.79249999999999998</v>
      </c>
      <c r="K39" s="11">
        <f t="shared" si="6"/>
        <v>14.661213360599865</v>
      </c>
      <c r="L39" s="12">
        <v>35</v>
      </c>
      <c r="M39" s="13">
        <v>-10.5</v>
      </c>
      <c r="N39" s="13">
        <v>6.101</v>
      </c>
      <c r="O39" s="13">
        <v>1.0309999999999999</v>
      </c>
      <c r="P39" s="11">
        <f t="shared" si="4"/>
        <v>-4.2674933569530555</v>
      </c>
      <c r="Q39" s="12">
        <v>16</v>
      </c>
      <c r="R39" s="13">
        <v>18.88</v>
      </c>
      <c r="S39" s="13">
        <v>13.27</v>
      </c>
      <c r="T39" s="13">
        <v>3.3170000000000002</v>
      </c>
      <c r="U39" s="11">
        <f t="shared" si="5"/>
        <v>10.146410401356698</v>
      </c>
      <c r="V39" s="14" t="str">
        <f t="shared" si="2"/>
        <v>severe LOF</v>
      </c>
    </row>
    <row r="40" spans="1:22" ht="13.5" customHeight="1" x14ac:dyDescent="0.2">
      <c r="A40" s="10" t="s">
        <v>49</v>
      </c>
      <c r="B40" s="14">
        <v>133</v>
      </c>
      <c r="C40" s="16">
        <v>29.43</v>
      </c>
      <c r="D40" s="16">
        <v>11.68</v>
      </c>
      <c r="E40" s="16">
        <v>1.0129999999999999</v>
      </c>
      <c r="F40" s="11">
        <f t="shared" si="3"/>
        <v>-6.2615295368848498</v>
      </c>
      <c r="G40" s="12">
        <v>30</v>
      </c>
      <c r="H40" s="13">
        <v>11.19</v>
      </c>
      <c r="I40" s="13">
        <v>6.8040000000000003</v>
      </c>
      <c r="J40" s="13">
        <v>1.242</v>
      </c>
      <c r="K40" s="11">
        <f t="shared" si="6"/>
        <v>7.8445807770961133</v>
      </c>
      <c r="L40" s="12">
        <v>24</v>
      </c>
      <c r="M40" s="13">
        <v>3.6920000000000002</v>
      </c>
      <c r="N40" s="13">
        <v>6.2060000000000004</v>
      </c>
      <c r="O40" s="13">
        <v>1.2669999999999999</v>
      </c>
      <c r="P40" s="11">
        <f t="shared" si="4"/>
        <v>2.017714791851196</v>
      </c>
      <c r="Q40" s="12">
        <v>19</v>
      </c>
      <c r="R40" s="13">
        <v>-3.9</v>
      </c>
      <c r="S40" s="13">
        <v>4.5430000000000001</v>
      </c>
      <c r="T40" s="13">
        <v>1.042</v>
      </c>
      <c r="U40" s="11">
        <f t="shared" si="5"/>
        <v>-2.7309214245336348</v>
      </c>
      <c r="V40" s="14" t="str">
        <f t="shared" si="2"/>
        <v>severe LOF</v>
      </c>
    </row>
    <row r="41" spans="1:22" ht="19.5" customHeight="1" x14ac:dyDescent="0.2">
      <c r="A41" s="10" t="s">
        <v>50</v>
      </c>
      <c r="B41" s="14">
        <v>53</v>
      </c>
      <c r="C41" s="16">
        <v>54.42</v>
      </c>
      <c r="D41" s="16">
        <v>30.73</v>
      </c>
      <c r="E41" s="16">
        <v>4.2210000000000001</v>
      </c>
      <c r="F41" s="11">
        <f t="shared" si="3"/>
        <v>-3.8454026878081793</v>
      </c>
      <c r="G41" s="12">
        <v>18</v>
      </c>
      <c r="H41" s="13">
        <v>4.4039999999999999</v>
      </c>
      <c r="I41" s="13">
        <v>7.7160000000000002</v>
      </c>
      <c r="J41" s="13">
        <v>1.819</v>
      </c>
      <c r="K41" s="11">
        <f t="shared" si="6"/>
        <v>3.2188139059304697</v>
      </c>
      <c r="L41" s="12">
        <v>17</v>
      </c>
      <c r="M41" s="13">
        <v>2.4540000000000002</v>
      </c>
      <c r="N41" s="13">
        <v>7.6680000000000001</v>
      </c>
      <c r="O41" s="13">
        <v>1.86</v>
      </c>
      <c r="P41" s="11">
        <f t="shared" si="4"/>
        <v>1.4694419840566875</v>
      </c>
      <c r="Q41" s="12">
        <v>11</v>
      </c>
      <c r="R41" s="13">
        <v>-0.2727</v>
      </c>
      <c r="S41" s="13">
        <v>6.944</v>
      </c>
      <c r="T41" s="13">
        <v>2.0939999999999999</v>
      </c>
      <c r="U41" s="11">
        <f t="shared" si="5"/>
        <v>-0.68044092707744497</v>
      </c>
      <c r="V41" s="14" t="str">
        <f t="shared" si="2"/>
        <v>moderate LOF</v>
      </c>
    </row>
    <row r="42" spans="1:22" x14ac:dyDescent="0.2">
      <c r="A42" s="10" t="s">
        <v>51</v>
      </c>
      <c r="B42" s="14">
        <v>111</v>
      </c>
      <c r="C42" s="16">
        <v>77.67</v>
      </c>
      <c r="D42" s="16">
        <v>37.93</v>
      </c>
      <c r="E42" s="16">
        <v>3.6</v>
      </c>
      <c r="F42" s="11">
        <f t="shared" si="3"/>
        <v>-1.5975055593154788</v>
      </c>
      <c r="G42" s="12">
        <v>33</v>
      </c>
      <c r="H42" s="13">
        <v>3.2829999999999999</v>
      </c>
      <c r="I42" s="13">
        <v>4.4249999999999998</v>
      </c>
      <c r="J42" s="13">
        <v>0.77029999999999998</v>
      </c>
      <c r="K42" s="11">
        <f t="shared" si="6"/>
        <v>2.4546693933196999</v>
      </c>
      <c r="L42" s="12">
        <v>42</v>
      </c>
      <c r="M42" s="13">
        <v>-20.9</v>
      </c>
      <c r="N42" s="13">
        <v>4.3899999999999997</v>
      </c>
      <c r="O42" s="13">
        <v>0.6774</v>
      </c>
      <c r="P42" s="11">
        <f t="shared" si="4"/>
        <v>-8.8733392382639487</v>
      </c>
      <c r="Q42" s="12">
        <v>39</v>
      </c>
      <c r="R42" s="13">
        <v>188.6</v>
      </c>
      <c r="S42" s="13">
        <v>35.46</v>
      </c>
      <c r="T42" s="13">
        <v>5.6779999999999999</v>
      </c>
      <c r="U42" s="11">
        <f t="shared" si="5"/>
        <v>106.08762012436404</v>
      </c>
      <c r="V42" s="14" t="str">
        <f t="shared" si="2"/>
        <v>normal</v>
      </c>
    </row>
    <row r="43" spans="1:22" x14ac:dyDescent="0.2">
      <c r="A43" s="10" t="s">
        <v>52</v>
      </c>
      <c r="B43" s="14">
        <v>102</v>
      </c>
      <c r="C43" s="16">
        <v>50.28</v>
      </c>
      <c r="D43" s="16">
        <v>21.73</v>
      </c>
      <c r="E43" s="16">
        <v>2.1509999999999998</v>
      </c>
      <c r="F43" s="11">
        <f t="shared" si="3"/>
        <v>-4.2456734023010725</v>
      </c>
      <c r="G43" s="12">
        <v>44</v>
      </c>
      <c r="H43" s="13">
        <v>7.2489999999999997</v>
      </c>
      <c r="I43" s="13">
        <v>5.7229999999999999</v>
      </c>
      <c r="J43" s="13">
        <v>0.86280000000000001</v>
      </c>
      <c r="K43" s="11">
        <f t="shared" si="6"/>
        <v>5.1581458759372865</v>
      </c>
      <c r="L43" s="12">
        <v>65</v>
      </c>
      <c r="M43" s="13">
        <v>-28.04</v>
      </c>
      <c r="N43" s="13">
        <v>5.8390000000000004</v>
      </c>
      <c r="O43" s="13">
        <v>0.72419999999999995</v>
      </c>
      <c r="P43" s="11">
        <f t="shared" si="4"/>
        <v>-12.03542958370239</v>
      </c>
      <c r="Q43" s="12">
        <v>48</v>
      </c>
      <c r="R43" s="13">
        <v>129.6</v>
      </c>
      <c r="S43" s="13">
        <v>55.93</v>
      </c>
      <c r="T43" s="13">
        <v>8.0730000000000004</v>
      </c>
      <c r="U43" s="11">
        <f t="shared" si="5"/>
        <v>72.735443753533062</v>
      </c>
      <c r="V43" s="14" t="str">
        <f t="shared" si="2"/>
        <v>severe LOF</v>
      </c>
    </row>
    <row r="44" spans="1:22" x14ac:dyDescent="0.2">
      <c r="A44" s="10" t="s">
        <v>53</v>
      </c>
      <c r="B44" s="14">
        <v>99</v>
      </c>
      <c r="C44" s="16">
        <v>86.85</v>
      </c>
      <c r="D44" s="16">
        <v>34.159999999999997</v>
      </c>
      <c r="E44" s="16">
        <v>3.4329999999999998</v>
      </c>
      <c r="F44" s="11">
        <f t="shared" si="3"/>
        <v>-0.70994875761384546</v>
      </c>
      <c r="G44" s="12">
        <v>48</v>
      </c>
      <c r="H44" s="13">
        <v>4.306</v>
      </c>
      <c r="I44" s="13">
        <v>6.2629999999999999</v>
      </c>
      <c r="J44" s="13">
        <v>0.90410000000000001</v>
      </c>
      <c r="K44" s="11">
        <f t="shared" si="6"/>
        <v>3.1520109066121331</v>
      </c>
      <c r="L44" s="12">
        <v>60</v>
      </c>
      <c r="M44" s="13">
        <v>0.38729999999999998</v>
      </c>
      <c r="N44" s="13">
        <v>9.1110000000000007</v>
      </c>
      <c r="O44" s="13">
        <v>1.1759999999999999</v>
      </c>
      <c r="P44" s="11">
        <f t="shared" si="4"/>
        <v>0.55416297608503107</v>
      </c>
      <c r="Q44" s="12">
        <v>56</v>
      </c>
      <c r="R44" s="13">
        <v>-4.6769999999999996</v>
      </c>
      <c r="S44" s="13">
        <v>5.4850000000000003</v>
      </c>
      <c r="T44" s="13">
        <v>0.73299999999999998</v>
      </c>
      <c r="U44" s="11">
        <f t="shared" si="5"/>
        <v>-3.1701526286037307</v>
      </c>
      <c r="V44" s="14" t="str">
        <f t="shared" si="2"/>
        <v>normal</v>
      </c>
    </row>
    <row r="45" spans="1:22" x14ac:dyDescent="0.2">
      <c r="A45" s="10" t="s">
        <v>54</v>
      </c>
      <c r="B45" s="14">
        <v>94</v>
      </c>
      <c r="C45" s="16">
        <v>20.84</v>
      </c>
      <c r="D45" s="16">
        <v>8.7769999999999992</v>
      </c>
      <c r="E45" s="16">
        <v>0.90529999999999999</v>
      </c>
      <c r="F45" s="11">
        <f t="shared" si="3"/>
        <v>-7.092042927583873</v>
      </c>
      <c r="G45" s="12">
        <v>1</v>
      </c>
      <c r="H45" s="13">
        <v>28.8</v>
      </c>
      <c r="I45" s="13">
        <v>0</v>
      </c>
      <c r="J45" s="13">
        <v>0</v>
      </c>
      <c r="K45" s="11">
        <f t="shared" si="6"/>
        <v>19.848670756646218</v>
      </c>
      <c r="L45" s="12">
        <v>2</v>
      </c>
      <c r="M45" s="13">
        <v>3.05</v>
      </c>
      <c r="N45" s="13">
        <v>10.82</v>
      </c>
      <c r="O45" s="13">
        <v>7.65</v>
      </c>
      <c r="P45" s="11">
        <f t="shared" si="4"/>
        <v>1.7333923826395039</v>
      </c>
      <c r="Q45" s="12">
        <v>1</v>
      </c>
      <c r="R45" s="13">
        <v>0.8</v>
      </c>
      <c r="S45" s="13">
        <v>0</v>
      </c>
      <c r="T45" s="13">
        <v>0</v>
      </c>
      <c r="U45" s="11">
        <f t="shared" si="5"/>
        <v>-7.4053137365743371E-2</v>
      </c>
      <c r="V45" s="14" t="str">
        <f t="shared" si="2"/>
        <v>severe LOF</v>
      </c>
    </row>
    <row r="46" spans="1:22" x14ac:dyDescent="0.2">
      <c r="A46" s="10" t="s">
        <v>55</v>
      </c>
      <c r="B46" s="14">
        <v>162</v>
      </c>
      <c r="C46" s="16">
        <v>21.58</v>
      </c>
      <c r="D46" s="16">
        <v>12.3</v>
      </c>
      <c r="E46" s="16">
        <v>0.96599999999999997</v>
      </c>
      <c r="F46" s="11">
        <f t="shared" si="3"/>
        <v>-7.0204969544619553</v>
      </c>
      <c r="G46" s="12">
        <v>0</v>
      </c>
      <c r="H46" s="13"/>
      <c r="I46" s="13"/>
      <c r="J46" s="13"/>
      <c r="K46" s="11"/>
      <c r="L46" s="12">
        <v>0</v>
      </c>
      <c r="M46" s="13"/>
      <c r="N46" s="13"/>
      <c r="O46" s="13"/>
      <c r="P46" s="11"/>
      <c r="Q46" s="12">
        <v>0</v>
      </c>
      <c r="R46" s="13"/>
      <c r="S46" s="13"/>
      <c r="T46" s="13"/>
      <c r="U46" s="11"/>
      <c r="V46" s="14" t="str">
        <f t="shared" si="2"/>
        <v>severe LOF</v>
      </c>
    </row>
    <row r="47" spans="1:22" x14ac:dyDescent="0.2">
      <c r="A47" s="10" t="s">
        <v>56</v>
      </c>
      <c r="B47" s="14">
        <v>262</v>
      </c>
      <c r="C47" s="16">
        <v>52.28</v>
      </c>
      <c r="D47" s="16">
        <v>31.19</v>
      </c>
      <c r="E47" s="16">
        <v>1.927</v>
      </c>
      <c r="F47" s="11">
        <f t="shared" si="3"/>
        <v>-4.0523059073769696</v>
      </c>
      <c r="G47" s="12">
        <v>112</v>
      </c>
      <c r="H47" s="13">
        <v>8.766</v>
      </c>
      <c r="I47" s="13">
        <v>6.3289999999999997</v>
      </c>
      <c r="J47" s="13">
        <v>0.59799999999999998</v>
      </c>
      <c r="K47" s="11">
        <f t="shared" si="6"/>
        <v>6.1922290388548049</v>
      </c>
      <c r="L47" s="12">
        <v>99</v>
      </c>
      <c r="M47" s="13">
        <v>-10.6</v>
      </c>
      <c r="N47" s="13">
        <v>10.37</v>
      </c>
      <c r="O47" s="13">
        <v>1.042</v>
      </c>
      <c r="P47" s="11">
        <f t="shared" si="4"/>
        <v>-4.3117803365810445</v>
      </c>
      <c r="Q47" s="12">
        <v>70</v>
      </c>
      <c r="R47" s="13">
        <v>0.23719999999999999</v>
      </c>
      <c r="S47" s="13">
        <v>3.125</v>
      </c>
      <c r="T47" s="13">
        <v>0.37359999999999999</v>
      </c>
      <c r="U47" s="11">
        <f t="shared" si="5"/>
        <v>-0.39219898247597518</v>
      </c>
      <c r="V47" s="14" t="str">
        <f t="shared" si="2"/>
        <v>severe LOF</v>
      </c>
    </row>
    <row r="48" spans="1:22" x14ac:dyDescent="0.2">
      <c r="A48" s="10" t="s">
        <v>57</v>
      </c>
      <c r="B48" s="14">
        <v>135</v>
      </c>
      <c r="C48" s="16">
        <v>103.5</v>
      </c>
      <c r="D48" s="16">
        <v>35.229999999999997</v>
      </c>
      <c r="E48" s="16">
        <v>3.032</v>
      </c>
      <c r="F48" s="11">
        <f t="shared" si="3"/>
        <v>0.89983563762931473</v>
      </c>
      <c r="G48" s="12">
        <v>74</v>
      </c>
      <c r="H48" s="13">
        <v>0.1636</v>
      </c>
      <c r="I48" s="13">
        <v>5.8170000000000002</v>
      </c>
      <c r="J48" s="13">
        <v>0.67620000000000002</v>
      </c>
      <c r="K48" s="11">
        <f t="shared" si="6"/>
        <v>0.32828902522154058</v>
      </c>
      <c r="L48" s="12">
        <v>77</v>
      </c>
      <c r="M48" s="13">
        <v>-0.5716</v>
      </c>
      <c r="N48" s="13">
        <v>8.0570000000000004</v>
      </c>
      <c r="O48" s="13">
        <v>0.91820000000000002</v>
      </c>
      <c r="P48" s="11">
        <f t="shared" si="4"/>
        <v>0.12949512843224092</v>
      </c>
      <c r="Q48" s="12">
        <v>104</v>
      </c>
      <c r="R48" s="13">
        <v>-0.44080000000000003</v>
      </c>
      <c r="S48" s="13">
        <v>4.2359999999999998</v>
      </c>
      <c r="T48" s="13">
        <v>0.41539999999999999</v>
      </c>
      <c r="U48" s="11">
        <f t="shared" si="5"/>
        <v>-0.77546636517806677</v>
      </c>
      <c r="V48" s="14" t="str">
        <f t="shared" si="2"/>
        <v>normal</v>
      </c>
    </row>
    <row r="49" spans="1:22" x14ac:dyDescent="0.2">
      <c r="A49" s="10" t="s">
        <v>58</v>
      </c>
      <c r="B49" s="14">
        <v>98</v>
      </c>
      <c r="C49" s="16">
        <v>82.8</v>
      </c>
      <c r="D49" s="16">
        <v>29.22</v>
      </c>
      <c r="E49" s="16">
        <v>2.9510000000000001</v>
      </c>
      <c r="F49" s="11">
        <f t="shared" si="3"/>
        <v>-1.1015179348351543</v>
      </c>
      <c r="G49" s="12">
        <v>28</v>
      </c>
      <c r="H49" s="13">
        <v>2.8239999999999998</v>
      </c>
      <c r="I49" s="13">
        <v>3.8119999999999998</v>
      </c>
      <c r="J49" s="13">
        <v>0.72030000000000005</v>
      </c>
      <c r="K49" s="11">
        <f t="shared" si="6"/>
        <v>2.1417859577368779</v>
      </c>
      <c r="L49" s="12">
        <v>41</v>
      </c>
      <c r="M49" s="13">
        <v>-1.72</v>
      </c>
      <c r="N49" s="13">
        <v>7.1829999999999998</v>
      </c>
      <c r="O49" s="13">
        <v>1.1220000000000001</v>
      </c>
      <c r="P49" s="11">
        <f t="shared" si="4"/>
        <v>-0.37909654561558903</v>
      </c>
      <c r="Q49" s="12">
        <v>35</v>
      </c>
      <c r="R49" s="13">
        <v>-0.86350000000000005</v>
      </c>
      <c r="S49" s="13">
        <v>5.3579999999999997</v>
      </c>
      <c r="T49" s="13">
        <v>0.90559999999999996</v>
      </c>
      <c r="U49" s="11">
        <f t="shared" si="5"/>
        <v>-1.0144149236856983</v>
      </c>
      <c r="V49" s="14" t="str">
        <f t="shared" si="2"/>
        <v>normal</v>
      </c>
    </row>
    <row r="50" spans="1:22" x14ac:dyDescent="0.2">
      <c r="A50" s="10" t="s">
        <v>59</v>
      </c>
      <c r="B50" s="14">
        <v>106</v>
      </c>
      <c r="C50" s="16">
        <v>90.21</v>
      </c>
      <c r="D50" s="16">
        <v>35.520000000000003</v>
      </c>
      <c r="E50" s="16">
        <v>3.45</v>
      </c>
      <c r="F50" s="11">
        <f t="shared" si="3"/>
        <v>-0.38509136614135203</v>
      </c>
      <c r="G50" s="12">
        <v>34</v>
      </c>
      <c r="H50" s="13">
        <v>-0.52</v>
      </c>
      <c r="I50" s="13">
        <v>6.4580000000000002</v>
      </c>
      <c r="J50" s="13">
        <v>1.1080000000000001</v>
      </c>
      <c r="K50" s="11">
        <f t="shared" si="6"/>
        <v>-0.13769597818677573</v>
      </c>
      <c r="L50" s="12">
        <v>42</v>
      </c>
      <c r="M50" s="13">
        <v>-6.4880000000000004</v>
      </c>
      <c r="N50" s="13">
        <v>8.8179999999999996</v>
      </c>
      <c r="O50" s="13">
        <v>1.361</v>
      </c>
      <c r="P50" s="11">
        <f t="shared" si="4"/>
        <v>-2.4906997342781225</v>
      </c>
      <c r="Q50" s="12">
        <v>53</v>
      </c>
      <c r="R50" s="13">
        <v>1.323</v>
      </c>
      <c r="S50" s="13">
        <v>6.6529999999999996</v>
      </c>
      <c r="T50" s="13">
        <v>0.91379999999999995</v>
      </c>
      <c r="U50" s="11">
        <f t="shared" si="5"/>
        <v>0.22159412097230069</v>
      </c>
      <c r="V50" s="14" t="str">
        <f t="shared" si="2"/>
        <v>normal</v>
      </c>
    </row>
    <row r="51" spans="1:22" x14ac:dyDescent="0.2">
      <c r="A51" s="10" t="s">
        <v>60</v>
      </c>
      <c r="B51" s="14">
        <v>103</v>
      </c>
      <c r="C51" s="16">
        <v>101</v>
      </c>
      <c r="D51" s="16">
        <v>47.21</v>
      </c>
      <c r="E51" s="16">
        <v>4.6520000000000001</v>
      </c>
      <c r="F51" s="11">
        <f t="shared" si="3"/>
        <v>0.65812626897418569</v>
      </c>
      <c r="G51" s="12">
        <v>43</v>
      </c>
      <c r="H51" s="13">
        <v>-0.44009999999999999</v>
      </c>
      <c r="I51" s="13">
        <v>4.7359999999999998</v>
      </c>
      <c r="J51" s="13">
        <v>0.72230000000000005</v>
      </c>
      <c r="K51" s="11">
        <f t="shared" si="6"/>
        <v>-8.3231083844580764E-2</v>
      </c>
      <c r="L51" s="12">
        <v>53</v>
      </c>
      <c r="M51" s="13">
        <v>-1.2230000000000001</v>
      </c>
      <c r="N51" s="13">
        <v>10.33</v>
      </c>
      <c r="O51" s="13">
        <v>1.419</v>
      </c>
      <c r="P51" s="11">
        <f t="shared" si="4"/>
        <v>-0.15899025686448187</v>
      </c>
      <c r="Q51" s="12">
        <v>54</v>
      </c>
      <c r="R51" s="13">
        <v>2.0699999999999998</v>
      </c>
      <c r="S51" s="13">
        <v>5.266</v>
      </c>
      <c r="T51" s="13">
        <v>0.7167</v>
      </c>
      <c r="U51" s="11">
        <f t="shared" si="5"/>
        <v>0.64386659129451662</v>
      </c>
      <c r="V51" s="14" t="str">
        <f t="shared" si="2"/>
        <v>normal</v>
      </c>
    </row>
    <row r="52" spans="1:22" x14ac:dyDescent="0.2">
      <c r="G52" s="12"/>
      <c r="H52" s="12"/>
      <c r="I52" s="12"/>
      <c r="J52" s="12"/>
      <c r="K52" s="17"/>
      <c r="L52" s="12"/>
      <c r="M52" s="12"/>
      <c r="N52" s="12"/>
      <c r="O52" s="12"/>
      <c r="P52" s="17"/>
    </row>
    <row r="53" spans="1:22" x14ac:dyDescent="0.2">
      <c r="G53" s="12"/>
      <c r="H53" s="12"/>
      <c r="I53" s="12"/>
      <c r="J53" s="12"/>
      <c r="K53" s="17"/>
      <c r="L53" s="12"/>
      <c r="M53" s="12"/>
      <c r="N53" s="12"/>
      <c r="O53" s="12"/>
      <c r="P53" s="17"/>
    </row>
    <row r="54" spans="1:22" x14ac:dyDescent="0.2">
      <c r="G54" s="12"/>
      <c r="H54" s="12"/>
      <c r="I54" s="12"/>
      <c r="J54" s="12"/>
      <c r="K54" s="17"/>
      <c r="L54" s="12"/>
      <c r="M54" s="12"/>
      <c r="N54" s="12"/>
      <c r="O54" s="12"/>
      <c r="P54" s="17"/>
    </row>
    <row r="55" spans="1:22" x14ac:dyDescent="0.2">
      <c r="G55" s="12"/>
      <c r="H55" s="12"/>
      <c r="I55" s="12"/>
      <c r="J55" s="12"/>
      <c r="K55" s="17"/>
      <c r="L55" s="12"/>
      <c r="M55" s="12"/>
      <c r="N55" s="12"/>
      <c r="O55" s="12"/>
      <c r="P55" s="17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S3. EP data - combined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mtejura</dc:creator>
  <cp:lastModifiedBy>mtejura</cp:lastModifiedBy>
  <dcterms:created xsi:type="dcterms:W3CDTF">2024-10-10T22:15:23Z</dcterms:created>
  <dcterms:modified xsi:type="dcterms:W3CDTF">2024-10-10T22:16:11Z</dcterms:modified>
</cp:coreProperties>
</file>